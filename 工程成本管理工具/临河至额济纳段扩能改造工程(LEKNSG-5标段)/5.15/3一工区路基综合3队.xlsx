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520" windowHeight="22240"/>
  </bookViews>
  <sheets>
    <sheet name="一工区路基3队" sheetId="3" r:id="rId1"/>
  </sheets>
  <definedNames>
    <definedName name="_xlnm._FilterDatabase" localSheetId="0" hidden="1">一工区路基3队!$A$3:$J$379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<sst xmlns="http://schemas.openxmlformats.org/spreadsheetml/2006/main" count="1764" uniqueCount="410">
  <si>
    <t>一工区路基综合3队分包报价清单</t>
  </si>
  <si>
    <t>工程项目名称：临哈铁路临河至额济纳段扩能改造工程LEKNSG-5标                                       合同编号：2026-HHLH-LWFB-</t>
  </si>
  <si>
    <t>序号</t>
  </si>
  <si>
    <t>工程计价细目</t>
  </si>
  <si>
    <t>单位</t>
  </si>
  <si>
    <t>数量
（暂定）</t>
  </si>
  <si>
    <t>不含增值税单
价（元）</t>
  </si>
  <si>
    <t>不含增值税合
价（元）</t>
  </si>
  <si>
    <t>计量规则</t>
  </si>
  <si>
    <t>费用组成</t>
  </si>
  <si>
    <t>工作内容</t>
  </si>
  <si>
    <t>备注</t>
  </si>
  <si>
    <t>路基土石方工程</t>
  </si>
  <si>
    <t>一</t>
  </si>
  <si>
    <t>区间土石方</t>
  </si>
  <si>
    <t>元</t>
  </si>
  <si>
    <t>（一）</t>
  </si>
  <si>
    <t>土方</t>
  </si>
  <si>
    <t>挖土方利用方</t>
  </si>
  <si>
    <t>m³</t>
  </si>
  <si>
    <t>按施工图断面尺寸计算</t>
  </si>
  <si>
    <t xml:space="preserve">包含全部费用 </t>
  </si>
  <si>
    <t>施工准备、就位、挖、装车，等待装车、安全防护、文明施工等全部工作内容。</t>
  </si>
  <si>
    <t>1km运输</t>
  </si>
  <si>
    <t>1km运输、卸、空回等全部工作内容。</t>
  </si>
  <si>
    <t>利用土填方</t>
  </si>
  <si>
    <t>按施工图断面压实方计算</t>
  </si>
  <si>
    <t>打碎土块、分层匀平、洒水、压实、修整路堤边坡及路面、安全防护、文明施工等全部工作内容。</t>
  </si>
  <si>
    <t>借土填方（1km运输）</t>
  </si>
  <si>
    <t>施工准备、就位、挖、装车，等待装车、1KM运输。</t>
  </si>
  <si>
    <t>借土增运7km</t>
  </si>
  <si>
    <t>按施工图断面尺寸和现场实际测量运距计算</t>
  </si>
  <si>
    <t>运输、卸、空回等全部工作内容。</t>
  </si>
  <si>
    <t>借土填方压实土方</t>
  </si>
  <si>
    <t>施工用水</t>
  </si>
  <si>
    <t>t</t>
  </si>
  <si>
    <t>固定费用</t>
  </si>
  <si>
    <t>水资源购置</t>
  </si>
  <si>
    <t>（二）</t>
  </si>
  <si>
    <t>AB组填料</t>
  </si>
  <si>
    <t>AB组填料借方（1km运输）</t>
  </si>
  <si>
    <t>AB组填料借方增运7km</t>
  </si>
  <si>
    <t>AB组填料压实方</t>
  </si>
  <si>
    <t>施工准备，分层摊铺、推平、洒水、碾压、整平，路面及边坡修整、安全防护、文明施工等全部工作内容。</t>
  </si>
  <si>
    <t>（三）</t>
  </si>
  <si>
    <t>石方</t>
  </si>
  <si>
    <t>挖石方利用方（机械破碎开挖）</t>
  </si>
  <si>
    <t>按施工方案图示尺寸，以现场实际完成的合格数量计算</t>
  </si>
  <si>
    <t>挖石，装石，清理，修整边坡，人工清槽、安全防护、文明施工等全部工作内容。</t>
  </si>
  <si>
    <t>利用石填方</t>
  </si>
  <si>
    <t>（四）</t>
  </si>
  <si>
    <t>挖台阶</t>
  </si>
  <si>
    <t>㎡</t>
  </si>
  <si>
    <t>按开挖平面尺寸水平投影面积计算</t>
  </si>
  <si>
    <t>挂线、开挖，散土，修整断面、安全防护、文明施工等全部工作内容。</t>
  </si>
  <si>
    <t>二</t>
  </si>
  <si>
    <t>房屋土方</t>
  </si>
  <si>
    <t>直放站</t>
  </si>
  <si>
    <t>1</t>
  </si>
  <si>
    <t>施工准备、就位、挖、装车，等待装车、1KM运输、卸、空回，打碎土块、分层匀平、洒水、压实、修整路堤边坡及路面等全部工作内容。</t>
  </si>
  <si>
    <t>2</t>
  </si>
  <si>
    <t>增运7km</t>
  </si>
  <si>
    <t>3</t>
  </si>
  <si>
    <t>AT分区所</t>
  </si>
  <si>
    <t>增运8km</t>
  </si>
  <si>
    <t>探测站</t>
  </si>
  <si>
    <t>增运3km</t>
  </si>
  <si>
    <t>运输、空回等全部工作内容</t>
  </si>
  <si>
    <t>水源井泵房</t>
  </si>
  <si>
    <t>增运10km</t>
  </si>
  <si>
    <t>三</t>
  </si>
  <si>
    <t>附属工程</t>
  </si>
  <si>
    <t>区间路基附属</t>
  </si>
  <si>
    <t>基底重型碾压</t>
  </si>
  <si>
    <t>按实际施工有效碾压面积计算</t>
  </si>
  <si>
    <t>冲击碾压20遍，压实度复合设计要求、安全防护、文明施工。</t>
  </si>
  <si>
    <t>中粗砂填筑</t>
  </si>
  <si>
    <t>m3</t>
  </si>
  <si>
    <t>按实际完成的施工图内数量计算</t>
  </si>
  <si>
    <t>包含全部费用</t>
  </si>
  <si>
    <t>分层推平、铺筑、整平、洒水、碾压、安全防护、文明施工等全部工作内容。</t>
  </si>
  <si>
    <t>铺设复合土工膜</t>
  </si>
  <si>
    <t>按实际铺设面积计算</t>
  </si>
  <si>
    <t>单价包含除土工膜以外的全部费用</t>
  </si>
  <si>
    <t>材料拉运、场内倒运、基底清理整平，锚固沟挖填，土工膜铺设、缝合及锚固、安全防护、文明施工等全部工作内容。</t>
  </si>
  <si>
    <t>铺设土工格栅</t>
  </si>
  <si>
    <t>单价包含除土工格栅以外的全部费用</t>
  </si>
  <si>
    <t>材料拉运、场内倒运、基底清理整平，锚固沟挖填，土工格栅铺设缝合及锚固、安全防护、文明施工等全部工作内容。</t>
  </si>
  <si>
    <t>铺设土工格室</t>
  </si>
  <si>
    <t>单价包含除土工格室以外的全部费用</t>
  </si>
  <si>
    <t>材料拉运、场内倒运、基底清理整平，锚固沟挖填，土工格室铺设、缝合及锚固、安全防护、文明施工等全部工作内容。</t>
  </si>
  <si>
    <t>铺设高强土工布</t>
  </si>
  <si>
    <t>单价包含除土工布栅以外的全部费用</t>
  </si>
  <si>
    <t>材料拉运、场内倒运、基底清理整平，锚固沟挖填，土工布铺设、缝合及锚固、安全防护、文明施工等全部工作内容。</t>
  </si>
  <si>
    <t>拆除既有排水沟</t>
  </si>
  <si>
    <t>按拆除构筑物实际尺寸计算</t>
  </si>
  <si>
    <t>包含除弃碴费外的全部费用</t>
  </si>
  <si>
    <t>机械凿除、清理、安全防护、文明施工。</t>
  </si>
  <si>
    <t>弃运10km</t>
  </si>
  <si>
    <t>按施工图断面尺寸压实方和现场实际测量运距计算</t>
  </si>
  <si>
    <t>施工准备、就位；挖掘机装车，自卸汽车运10Km、卸、空回等全部工作内容。</t>
  </si>
  <si>
    <t>防护隔离网安拆</t>
  </si>
  <si>
    <t>m</t>
  </si>
  <si>
    <t>按实际完成长度计算</t>
  </si>
  <si>
    <t>包含除隔离网主要材料费外全部费用</t>
  </si>
  <si>
    <t>材料拉运、场内倒运、钻孔、角钢立柱插入深1m、外露2m、拌制砂浆、运输、水泥砂浆对钻孔灌注、铁丝网利用铁丝绑扎立柱上，施工完毕后拆除、归还指定地点、安全防护、文明施工。</t>
  </si>
  <si>
    <t>路基附属工程DYK376+091.25-DYK381+000</t>
  </si>
  <si>
    <t>区间新线路基附属</t>
  </si>
  <si>
    <t>边坡防护与加固</t>
  </si>
  <si>
    <t>护肩</t>
  </si>
  <si>
    <t>（1）</t>
  </si>
  <si>
    <t>现浇护肩C25混凝土</t>
  </si>
  <si>
    <t>按施工图尺寸计算实际圬工体积</t>
  </si>
  <si>
    <t>单价包含除混凝土、排水管、土工布外全部费用</t>
  </si>
  <si>
    <t>材料拉运、装卸车、挖路肩土方、弃土、模板制安拆、混凝土浇筑、振捣、养护，安装排水管、排水管端部设置透水土工布，清理工作场地、材料及机具场内倒运，安全防护及文明施工等全部工作内容。</t>
  </si>
  <si>
    <t>排水管、土工布甲供</t>
  </si>
  <si>
    <t>（2）</t>
  </si>
  <si>
    <t>养护用水</t>
  </si>
  <si>
    <t>坡面排水槽（路堤、路堑）</t>
  </si>
  <si>
    <t>排水槽预制块装卸运输（运距290km）</t>
  </si>
  <si>
    <t>单价包含全部费用</t>
  </si>
  <si>
    <t>装卸车、运输至施工地点散落卸车、堆码、安全防护及文明施工等全部工作内容。</t>
  </si>
  <si>
    <t>铺砌排水槽C25混凝土预制块</t>
  </si>
  <si>
    <t>单价包含除预制块外全部费用</t>
  </si>
  <si>
    <t>边坡挖槽、搭、拆跳板、排水槽预制块搬运、拌制砂浆、安砌及勾缝，土方回填、弃土、清理工作场地、材料及机具场内倒运，安全防护及文明施工等全部工作内容。</t>
  </si>
  <si>
    <t>砂浆自供</t>
  </si>
  <si>
    <t>（3）</t>
  </si>
  <si>
    <t>现浇上镶边、下镶边、基础、踏步C25混凝土</t>
  </si>
  <si>
    <t>单价包含除混凝土外的全部费用</t>
  </si>
  <si>
    <t>挖土方、回填土方、弃土，搭、拆跳板、模板制安拆、混凝土浇筑、振捣、养护，伸缩缝设置及施工，清理工作场地、材料及机具场内倒运，安全防护及文明施工等全部工作内容。</t>
  </si>
  <si>
    <t>伸缩缝材料自供</t>
  </si>
  <si>
    <t>（4）</t>
  </si>
  <si>
    <t>骨架拱型护坡</t>
  </si>
  <si>
    <t>现浇骨架护坡混凝土（镶边、骨架、踏步、基础）</t>
  </si>
  <si>
    <t xml:space="preserve">单价包含除混凝土外全部费用 </t>
  </si>
  <si>
    <t xml:space="preserve">挖槽土、搭、拆跳板，模板制安拆、混凝土浇筑、振捣、养护，伸缩缝设置及施工，土方回填、弃土，材料及机具场内倒运，清理工作场地、安全防护及文明施工等全部工作内容。 </t>
  </si>
  <si>
    <t>边坡平台预制块装卸运输（运距290km）</t>
  </si>
  <si>
    <t>铺砌边坡平台预制混凝土块</t>
  </si>
  <si>
    <t xml:space="preserve">边坡平台平整、预制块搬运、拌制砂浆、安砌及勾缝，材料及机具场内倒运、清理工作场地、安全防护及文明施工等全部工作内容。 </t>
  </si>
  <si>
    <t>防冲刷脚墙</t>
  </si>
  <si>
    <t>现浇C35混凝土全埋式脚墙</t>
  </si>
  <si>
    <t>单价包含除混凝土材料外全部费用</t>
  </si>
  <si>
    <t>基坑开挖、回填土及夯实、土方外弃，模板整修、模板安拆、模板加固、混凝土浇筑、振捣及养护，伸缩缝设置及施工，材料及机具场内倒运、清理工作场地，安全防护及文明施工等全部工作内容。</t>
  </si>
  <si>
    <t>边坡预制块装卸运输(运距290km）</t>
  </si>
  <si>
    <t>边坡铺砌钢筋混凝土预制板0.5*0.5*0.1</t>
  </si>
  <si>
    <t>单价包含除预制块、泄水管、土工布外全部费用</t>
  </si>
  <si>
    <t>材料拉运、装卸车、施工准备，搭、拆跳板，挂线、预制板搬运、错位铺砌预制板，砂浆拌制、运输、砂浆抹缝、养护，安泄水孔、泄水孔端部设置透水土工布，伸缩缝设置及施工，材料及机具场内倒运、清理工作场地，安全防护及文明施工等全部工作内容。</t>
  </si>
  <si>
    <t>泄水管、土工布甲供，砂浆、伸缩缝材料自供</t>
  </si>
  <si>
    <t>边坡袋装砂砾石反滤层</t>
  </si>
  <si>
    <t>按施工图尺寸计算体积</t>
  </si>
  <si>
    <t>砂砾石装袋、倒运、边坡堆码、平顺、边坡土方修整、安全防护及文明施工等全部工作内容。</t>
  </si>
  <si>
    <t>编织袋自供</t>
  </si>
  <si>
    <t>（5）</t>
  </si>
  <si>
    <t>踏步热浸锌工艺扶手栏杆</t>
  </si>
  <si>
    <t>单价包含除栏杆外全部费用</t>
  </si>
  <si>
    <t>材料拉运、装卸车、加工制作、安装，焊接、固定、拌制填塞砂浆、灌缝、精调、材料及机具场内倒运、清理工作场地、安全防护及文明施工等全部工作内容。</t>
  </si>
  <si>
    <t>排水工程</t>
  </si>
  <si>
    <t>侧沟沟身</t>
  </si>
  <si>
    <t>沟身预制混凝土块装卸运输(运距290km）</t>
  </si>
  <si>
    <t>安装沟身预制混凝土块</t>
  </si>
  <si>
    <t xml:space="preserve">材料拉运、装卸车、挖槽、弃土、选修预制块及洗刷、拌制砂浆、铺浆找平、预制块搬运、安砌及勾缝、安泄水管及透水土工布、伸缩缝设置及施工、整理及养护，材料及机具场内倒运、清理工作场地、安全防护及文明施工等全部工作内容。 </t>
  </si>
  <si>
    <t>侧沟平台</t>
  </si>
  <si>
    <t>侧沟平台预制混凝土块装卸运输(运距290km）</t>
  </si>
  <si>
    <t>安装侧沟平台预制块</t>
  </si>
  <si>
    <t>平台挖土方、平整，预制块搬运、拌制砂浆、铺浆找平、安砌及勾缝、整理及养护，材料及机具场内倒运、清理工作场地、安全防护及文明施工等全部工作内容。</t>
  </si>
  <si>
    <t>侧沟搭板</t>
  </si>
  <si>
    <t>预制C35混凝土搭板装卸运输(运距290km）</t>
  </si>
  <si>
    <t>安装搭板预制混凝土块0.5*2.6*0.15</t>
  </si>
  <si>
    <t>场内倒运、构件就位、砂浆拌制、安砌，清理工作场地、安全防护及文明施工。</t>
  </si>
  <si>
    <t>散水平台</t>
  </si>
  <si>
    <t>现浇散水平台混凝土（直径为3m半圆形）</t>
  </si>
  <si>
    <t>单价包含除混凝土外全部费用</t>
  </si>
  <si>
    <t>挖基土、弃土、模板安拆、加固、混凝土浇筑、振捣及养护，材料及机具场内倒运、清理工作场地、安全防护及文明施工等全部工作内容。</t>
  </si>
  <si>
    <t>防护栅栏安装</t>
  </si>
  <si>
    <t>基础挖土方</t>
  </si>
  <si>
    <t>按施工图尺寸体积计算</t>
  </si>
  <si>
    <t>全部费用</t>
  </si>
  <si>
    <t>按照设计尺寸挖基坑，坑底清理、安全防护及文明施工。</t>
  </si>
  <si>
    <t>现浇混凝土基础</t>
  </si>
  <si>
    <t>按施工图所示，以体积计算</t>
  </si>
  <si>
    <t>包含除混凝土外全部费用</t>
  </si>
  <si>
    <t>模版安拆、混凝土浇筑、振捣、抹平、养护、混凝土倒运、安全防护及文明施工。</t>
  </si>
  <si>
    <t>回填土方</t>
  </si>
  <si>
    <t>以基坑开挖数量减去基础圬工数量计算</t>
  </si>
  <si>
    <t>平土、夯实、安全防护及文明施工。</t>
  </si>
  <si>
    <t>混凝土立柱装卸运输（运距290km）</t>
  </si>
  <si>
    <t>混凝土立柱安装</t>
  </si>
  <si>
    <t>包含除立柱、角钢外全部费用</t>
  </si>
  <si>
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</si>
  <si>
    <t>金属网片安装</t>
  </si>
  <si>
    <t>按实际施工的有效防护栅栏面积计算</t>
  </si>
  <si>
    <t>包含除金属网片、螺栓、连接板、警示标志、门锁外全部费用</t>
  </si>
  <si>
    <t>金属网片拉运、现场途卸、场内倒运、与立柱螺栓连接、安装固定、安装栅栏门、警示标志及门锁、安全防护及文明施工。</t>
  </si>
  <si>
    <t>电缆槽及电缆井</t>
  </si>
  <si>
    <t>电缆槽</t>
  </si>
  <si>
    <t>预制C30混凝土电缆槽装卸运输(运距290km）</t>
  </si>
  <si>
    <t>电缆槽安装</t>
  </si>
  <si>
    <t>除电缆槽、泄水管、铁丝网外全部费用</t>
  </si>
  <si>
    <r>
      <rPr>
        <sz val="10"/>
        <rFont val="宋体"/>
        <charset val="134"/>
      </rPr>
      <t>材料拉运、装卸车、挖基、弃土、选修预制块及洗刷、拌制砂浆、铺浆找平、安砌、勾缝、安泄水管及铁丝网，清理工作场地，</t>
    </r>
    <r>
      <rPr>
        <sz val="10"/>
        <rFont val="宋体"/>
        <charset val="134"/>
      </rPr>
      <t>含现场倒运、安全防护及文明施工等全部工作内容。</t>
    </r>
  </si>
  <si>
    <t>泄水管、铁丝网甲供，砂浆自供</t>
  </si>
  <si>
    <t>预制C30混凝土电缆槽盖板装卸运输(运距290km）</t>
  </si>
  <si>
    <t>电缆槽盖板安装</t>
  </si>
  <si>
    <t>除电缆槽盖板外全部费用</t>
  </si>
  <si>
    <t>构件就位、砂浆拌制、安砌，清理工作场地，含现场倒运、安全防护及文明施工等全部工作内容。</t>
  </si>
  <si>
    <t>填筑碎石</t>
  </si>
  <si>
    <t>按实际完成的施工图数量计算</t>
  </si>
  <si>
    <t>除碎石外全部费用</t>
  </si>
  <si>
    <t>材料拉运、装卸车、挖、装、运、卸，填筑、整平、夯实、安全防护及文明施工。</t>
  </si>
  <si>
    <t>（6）</t>
  </si>
  <si>
    <t>回填C25混凝土</t>
  </si>
  <si>
    <t>混凝土倒运、混凝土浇筑、振捣、养护、安全防护及文明施工等全部工作内容。</t>
  </si>
  <si>
    <t>（7）</t>
  </si>
  <si>
    <t>上下路基现浇电缆槽</t>
  </si>
  <si>
    <t>混凝土倒运、模版安拆、混凝土浇筑、振捣、养护、排水管安装、安全防护及文明施工等全部工作内容。</t>
  </si>
  <si>
    <t>（8）</t>
  </si>
  <si>
    <t>现浇电缆槽钢筋</t>
  </si>
  <si>
    <t>按设计图示尺寸计数重量，不计搭接、损耗</t>
  </si>
  <si>
    <t>单价包含除钢筋以外的全部费用</t>
  </si>
  <si>
    <t>材料拉运、装卸车、堆放、调直、除锈、切断、弯制，钢筋半成品装运卸，现场焊接及绑扎、安放、定位、校正安装、安全防护及文明施工等全部工作内容</t>
  </si>
  <si>
    <t>电缆井</t>
  </si>
  <si>
    <t>挖土方弃土</t>
  </si>
  <si>
    <t>挖、运至基坑外弃运，包括近坑底标高0.3m以内的土方人工挖运，坑壁及坑底修整，清理工作场地、安全防护及文明施工。</t>
  </si>
  <si>
    <t>现浇C35混凝土垫层</t>
  </si>
  <si>
    <t>混凝土倒运、模版安拆、混凝土浇筑、振捣、养护、安全防护及文明施工等全部工作内容。</t>
  </si>
  <si>
    <t>现浇C35电缆井</t>
  </si>
  <si>
    <t>单价包含除混凝土、排水管外的全部费用</t>
  </si>
  <si>
    <t>材料拉运、装卸车、混凝土倒运、模版安拆、混凝土浇筑、振捣、养护、排水管安装、安全防护及文明施工等全部工作内容。</t>
  </si>
  <si>
    <t>排水管甲供</t>
  </si>
  <si>
    <t>电缆井钢筋制安</t>
  </si>
  <si>
    <t>材料拉运、装卸车、堆放、调直、除锈、切断、弯制，钢筋半成品装运卸，现场焊接及绑扎、安放、定位、校正安装、安全防护及文明施工等全部工作内容。</t>
  </si>
  <si>
    <t>预制C30混凝土电缆井盖板装卸运输(运距290km）</t>
  </si>
  <si>
    <t>电缆井盖板安装</t>
  </si>
  <si>
    <t>除电缆井盖板外全部费用</t>
  </si>
  <si>
    <t>过轨管</t>
  </si>
  <si>
    <t>顶过轨管</t>
  </si>
  <si>
    <t>处</t>
  </si>
  <si>
    <t>按实际过轨量计算</t>
  </si>
  <si>
    <t>单价包含除管材、混凝土外全部费用</t>
  </si>
  <si>
    <t>材料拉运、装卸车、管加工、搬运、堵塞两端管孔、顶管坑开挖、混凝土回填、养护、安全防护及文明施工等全部工作内容。</t>
  </si>
  <si>
    <t>普通过轨钢管敷设</t>
  </si>
  <si>
    <t>按钢管的长度计算</t>
  </si>
  <si>
    <t>单价包含除钢管、混凝土外外的全部费用</t>
  </si>
  <si>
    <t>材料拉运、装卸车、加工、搬运、堵塞两端管孔、土方开挖、铺设及沟坑混凝土恢复、安全防护及文明施工等工作内容。</t>
  </si>
  <si>
    <t>普通过轨PE管敷设</t>
  </si>
  <si>
    <t>按管的长度计算</t>
  </si>
  <si>
    <t>单价包含除PE管、混凝土外外的全部费用</t>
  </si>
  <si>
    <t>既有线提质改造</t>
  </si>
  <si>
    <t>挖基坑、回填、弃土、模版安拆、混凝土浇筑、振捣、抹平、养护、混凝土倒运、安全防护及文明施工。</t>
  </si>
  <si>
    <t>金属网片拉运、现场途卸、场内倒运、与立柱螺栓连接、安装固定、安装栅栏门、警示标志、门锁、安全防护及文明施工。</t>
  </si>
  <si>
    <t>路基附属工程DYK381+000-DYK383+900</t>
  </si>
  <si>
    <t>铺砌M10浆砌片石</t>
  </si>
  <si>
    <t>除片石、土工布、泄水管外全部费用</t>
  </si>
  <si>
    <t>材料拉运、装卸车、挖基、选修片石及洗刷、拌制砂浆、铺浆、沉降缝制施工、安砌及勾缝、安砌水孔、泄水管包裹土工布、整理及养护，材料场内倒运、清理工作场地、、安全防护及文明施工。</t>
  </si>
  <si>
    <t>除片石外全部费用</t>
  </si>
  <si>
    <t>材料拉运、装卸车、平台挖土方、平整、选修片石及洗刷、拌制砂浆、铺浆、安砌及勾缝、整理及养护，材料场内倒运、清理工作场地、安全防护及文明施工。</t>
  </si>
  <si>
    <t>钢筋卸车、堆放、调直、除锈、切断、弯制，钢筋半成品装运卸，现场焊接及绑扎、安放、定位、校正安装、安全防护及文明施工等全部工作内容</t>
  </si>
  <si>
    <t>涵洞工程</t>
  </si>
  <si>
    <t>顶进涵（1-3m及以下7座）</t>
  </si>
  <si>
    <t>地基处理</t>
  </si>
  <si>
    <t>挖土方</t>
  </si>
  <si>
    <t>挖、运至基坑外20m，包括近坑底标高0.3m以内的土方人工挖运，坑壁及坑底修整，清理工作场地</t>
  </si>
  <si>
    <t>基坑回填水泥稳定级配碎石</t>
  </si>
  <si>
    <t>以基坑开挖数量减去基础（承台）圬工数量计算</t>
  </si>
  <si>
    <t>除级配碎石外全部费用</t>
  </si>
  <si>
    <t>装、运、卸、平土、夯实，运距20m内</t>
  </si>
  <si>
    <t>回填土</t>
  </si>
  <si>
    <t>注浆</t>
  </si>
  <si>
    <t>按现场实际完成（不超设计）的体积计算</t>
  </si>
  <si>
    <t>单价包含除水泥、水玻璃以外的全部费用</t>
  </si>
  <si>
    <t>施工准备，水泥浆拌制、压浆，材料运输、倒运，甲供材料到场的卸车、保管，安全文明施工等全部工作内容</t>
  </si>
  <si>
    <t>注浆钢管</t>
  </si>
  <si>
    <t>按现场实际完成（不超设计）的长度计算</t>
  </si>
  <si>
    <t>钻机就位、钻孔、孔位转移等全部工作内容</t>
  </si>
  <si>
    <t>弃土外运（运距1公里）</t>
  </si>
  <si>
    <t>施工准备、就位、挖、装车，运、卸、空回，推土机辅助及清理工作面</t>
  </si>
  <si>
    <t>地基换填级配碎石</t>
  </si>
  <si>
    <t>主体工程</t>
  </si>
  <si>
    <t>出口翼墙基础、泄床混凝土</t>
  </si>
  <si>
    <t>除混凝土外全部费用，含模板费</t>
  </si>
  <si>
    <t>模板安拆、加固，混凝土浇筑、振捣及养护</t>
  </si>
  <si>
    <t>出口涵身基础混凝土</t>
  </si>
  <si>
    <t>φ8护面钢筋网</t>
  </si>
  <si>
    <t>按现场实际完成的施工图内的数量计算</t>
  </si>
  <si>
    <t>除主材外全部费用</t>
  </si>
  <si>
    <t>钢筋调直、下料、制作、运输、挂网安装、点焊、加固</t>
  </si>
  <si>
    <t>涵身基础垫层混凝土</t>
  </si>
  <si>
    <t>按施工图计算圬工体积计算</t>
  </si>
  <si>
    <t>除混凝土外全部费用，含模板费用</t>
  </si>
  <si>
    <t>模板安拆、混凝土浇筑、振捣及养护、接口凿毛</t>
  </si>
  <si>
    <t>涵身钢筋混凝土</t>
  </si>
  <si>
    <t>除混凝土外全部费用，含模板及脚手架费用</t>
  </si>
  <si>
    <t>搭拆脚手架；立拆模；涂脱模剂；模板修整；灌注混凝土、捣固、养护；材料堆放；清理现场等全部工作内容</t>
  </si>
  <si>
    <t>涵身钢筋</t>
  </si>
  <si>
    <t xml:space="preserve">按施工图计算重量，不计搭接及损耗 </t>
  </si>
  <si>
    <t>除钢筋外全部费用</t>
  </si>
  <si>
    <t>现场运输、钢筋除锈、制作、绑扎、安装、定位、校正</t>
  </si>
  <si>
    <t>翼墙墙身混凝土</t>
  </si>
  <si>
    <t>脚手架搭拆，模板制安拆，混凝土浇筑、振捣及养护</t>
  </si>
  <si>
    <t>泄床砂垫层</t>
  </si>
  <si>
    <t>按设计图示压实断面尺寸计算</t>
  </si>
  <si>
    <t>单价包含除砂以外的全部费用</t>
  </si>
  <si>
    <t>分层推平、铺筑、洒水、碾压，整平、排水等全部工作内容</t>
  </si>
  <si>
    <t>帽石混凝土</t>
  </si>
  <si>
    <t>聚氯乙烯胶泥填塞</t>
  </si>
  <si>
    <t>除材料费外全部费用</t>
  </si>
  <si>
    <t>材料运输、填缝等全部工作内容</t>
  </si>
  <si>
    <t>聚乙烯泡沫塑料板填缝</t>
  </si>
  <si>
    <t>除材料外全部费用</t>
  </si>
  <si>
    <t>清理基层、分隔缝嵌缝、刷基层处理剂、刷胶、铺贴防水卷材、收头</t>
  </si>
  <si>
    <t>防水层</t>
  </si>
  <si>
    <t>聚氨酯防水涂料</t>
  </si>
  <si>
    <t>除防水材料外全部费用</t>
  </si>
  <si>
    <t>清理基层、刷基层处理剂、刷聚氨酯防水等一切工作内容</t>
  </si>
  <si>
    <t>排水坡M10水泥砂浆</t>
  </si>
  <si>
    <t>按设计图所示，以现场实际完成的合格数量计算</t>
  </si>
  <si>
    <t>除砂浆外全部费用</t>
  </si>
  <si>
    <t>清理基层,调运砂浆、刷素水泥浆,抹面、压光、养护等</t>
  </si>
  <si>
    <t>防水卷材</t>
  </si>
  <si>
    <t>细石子混凝土</t>
  </si>
  <si>
    <t>按现场实际完成计算</t>
  </si>
  <si>
    <t>除材料费外全部费用，含现场倒运费</t>
  </si>
  <si>
    <t>基面清理、混凝土拌制、运输、浇筑、抹平、养护、安装泄水管、螺母套丝</t>
  </si>
  <si>
    <t>沉降缝</t>
  </si>
  <si>
    <t>中埋止水带</t>
  </si>
  <si>
    <t>运料、加工、安装、检查</t>
  </si>
  <si>
    <t>橡胶止水条</t>
  </si>
  <si>
    <t>(五)</t>
  </si>
  <si>
    <t>顶进工程</t>
  </si>
  <si>
    <t>工作坑底板混凝土</t>
  </si>
  <si>
    <t>底板钢筋</t>
  </si>
  <si>
    <t>按施工图计算重量，不计搭接及损耗。</t>
  </si>
  <si>
    <t>现场运输，钢筋除锈、制作、绑扎、安装、定位、校正</t>
  </si>
  <si>
    <t>工作坑底板下铺碎石</t>
  </si>
  <si>
    <t>锚梁混凝土</t>
  </si>
  <si>
    <t>模板制安拆，混凝土浇筑、振捣及养护，顶面抹平</t>
  </si>
  <si>
    <t>导向墩混凝土</t>
  </si>
  <si>
    <t>导向墩钢筋</t>
  </si>
  <si>
    <t>钢筋除锈、制作，划线定位、绑扎，检查、校正</t>
  </si>
  <si>
    <t>润滑层（机油:滑石粉3:7厚3mm）</t>
  </si>
  <si>
    <t>砂浆制作、抹平、养护，铺设润滑剂、塑料布等</t>
  </si>
  <si>
    <t>后背墙浆砌片石</t>
  </si>
  <si>
    <t>按现场实际完成的施工图数量内合格圬工体积计算</t>
  </si>
  <si>
    <t xml:space="preserve">除片石、水泥外全部费用 </t>
  </si>
  <si>
    <t>搭拆脚手板，选、修、洗石，砂浆拌制、安砌及养护</t>
  </si>
  <si>
    <t>后背梁混凝土</t>
  </si>
  <si>
    <t>工作坑挖土方</t>
  </si>
  <si>
    <t>基坑回填</t>
  </si>
  <si>
    <t>后背填土</t>
  </si>
  <si>
    <t>拆除钢筋混凝土</t>
  </si>
  <si>
    <t>机械凿除、清理</t>
  </si>
  <si>
    <t>拆除砌体结构</t>
  </si>
  <si>
    <t>拆除混凝土</t>
  </si>
  <si>
    <t>（六）</t>
  </si>
  <si>
    <t>线路加固</t>
  </si>
  <si>
    <t>钢筋</t>
  </si>
  <si>
    <t>喷早强混凝土</t>
  </si>
  <si>
    <t>按实际施工的有效面积收方</t>
  </si>
  <si>
    <t>除混凝土外的全部费用</t>
  </si>
  <si>
    <t>操作平台移动，安拆转移机具设备，清理工作面，挂网、混凝土制作、喷射，喷射机安装拆卸及混凝土养护等全部工作内容</t>
  </si>
  <si>
    <t>砂浆锚杆（φ22，单根长2.5m）</t>
  </si>
  <si>
    <t>按实际施工有效长度计算</t>
  </si>
  <si>
    <t>除锚杆、砂浆外全部费用</t>
  </si>
  <si>
    <t>搭拆简易脚手架、测量、定位、钻孔、砂浆拌制、灌注，锚杆制安等</t>
  </si>
  <si>
    <t>拆除钢筋混凝土（防护桩、盖梁）</t>
  </si>
  <si>
    <t>（七）</t>
  </si>
  <si>
    <t>顺沟土方</t>
  </si>
  <si>
    <t>出口边坡、沟床、锥体碎石垫层</t>
  </si>
  <si>
    <t>按施工图所示，以成型顶面积计算</t>
  </si>
  <si>
    <t>除垫层料外包含全部费用</t>
  </si>
  <si>
    <t>施工准备、铺筑、整平、洒水、碾压、清理工作场地。（如果要求用摊铺机施工，套用路面基层摊铺机施工）</t>
  </si>
  <si>
    <t>出口边坡、锥体混凝土</t>
  </si>
  <si>
    <t>按施工图计算圬工体积计算，不含回填砼</t>
  </si>
  <si>
    <t>出口沟床、垂裙混凝土</t>
  </si>
  <si>
    <t>检查台阶混凝土</t>
  </si>
  <si>
    <t>挖基、模板制安拆，混凝土拌制、浇筑、振捣及养护，清理工作场地</t>
  </si>
  <si>
    <t>排水涵入口边坡混凝土预制六棱砖</t>
  </si>
  <si>
    <t>除主要材料外全部费用</t>
  </si>
  <si>
    <t>挖基、选修预制块及洗刷、拌制砂浆、铺浆、安砌及勾缝、安砌水孔、整理及养护，清理工作场地，含现场倒运。</t>
  </si>
  <si>
    <t>排水涵入口边坡碎石垫层</t>
  </si>
  <si>
    <t>（八）</t>
  </si>
  <si>
    <t>防腐措施</t>
  </si>
  <si>
    <t>涂刷石油沥青聚氨酯涂料</t>
  </si>
  <si>
    <t>清扫圬工表面,防水涂料调匀涂料,涂刷</t>
  </si>
  <si>
    <t>基底隔离层沥青混凝土</t>
  </si>
  <si>
    <t>除沥青混凝土外全部费用</t>
  </si>
  <si>
    <t>基面清理、沥青混合料拌和、运输、机械摊铺、整型、碾压、养护等工作。</t>
  </si>
  <si>
    <t>热沥青喷涂(两遍)</t>
  </si>
  <si>
    <t>混凝土保护层</t>
  </si>
  <si>
    <t>除混凝土外全部费用，含现场倒运费</t>
  </si>
  <si>
    <t>保护层内钢筋网</t>
  </si>
  <si>
    <t>顶进涵（1-3m及以上2座）</t>
  </si>
  <si>
    <t>按施工图计算重量，不计搭接及损耗</t>
  </si>
  <si>
    <t>接长涵（1-3m及以下1座）</t>
  </si>
  <si>
    <t>（五）</t>
  </si>
  <si>
    <t>框架与拆除挡墙间塞缝混凝土</t>
  </si>
  <si>
    <t>打拔钢板桩（基坑防护，三个月）</t>
  </si>
  <si>
    <t>以实际施工钢板重量计算</t>
  </si>
  <si>
    <t xml:space="preserve">除钢板桩外全部费用 </t>
  </si>
  <si>
    <t xml:space="preserve">组拼、捻缝、安卸桩帽、打桩、校正，拔桩、堆码解体存放 </t>
  </si>
  <si>
    <t>涵洞清砂</t>
  </si>
  <si>
    <t>挖、运至基坑外20m，包括近坑底标高0.3m以内的土方人工挖运，坑壁及坑底修整；挖抽水坑、抽水、排水沟开挖；清理工作场地</t>
  </si>
  <si>
    <t>四</t>
  </si>
  <si>
    <t>固定用量</t>
  </si>
  <si>
    <t>水资源采购及运输</t>
  </si>
  <si>
    <t>不含税合价</t>
  </si>
  <si>
    <t>人民币大写：</t>
  </si>
  <si>
    <t>增值税税率</t>
  </si>
  <si>
    <t>含税合价</t>
  </si>
  <si>
    <t>单位负责人：</t>
  </si>
  <si>
    <t>报价单位（公章）：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</si>
</sst>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0_);[Red]\(0.00\)"/>
    <numFmt numFmtId="179" formatCode="\T\L@"/>
    <numFmt numFmtId="180" formatCode="0_);[Red]\(0\)"/>
    <numFmt numFmtId="181" formatCode="[DBNum2][$RMB]General;[Red][DBNum2][$RMB]General"/>
  </numFmts>
  <fonts count="36">
    <font>
      <sz val="11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b/>
      <sz val="16"/>
      <name val="宋体"/>
      <charset val="134"/>
    </font>
    <font>
      <sz val="12"/>
      <name val="Microsoft YaHei"/>
      <charset val="134"/>
    </font>
    <font>
      <b/>
      <sz val="12"/>
      <name val="Microsoft YaHei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sz val="10"/>
      <name val="宋体"/>
      <charset val="204"/>
    </font>
    <font>
      <sz val="9"/>
      <name val="宋体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color indexed="8"/>
      <name val="Arial"/>
      <charset val="134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3" fillId="0" borderId="0">
      <protection locked="0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4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24" fillId="6" borderId="11" applyNumberFormat="0" applyAlignment="0" applyProtection="0">
      <alignment vertical="center"/>
    </xf>
    <xf numFmtId="0" fontId="25" fillId="7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0" fillId="0" borderId="0">
      <protection locked="0"/>
    </xf>
    <xf numFmtId="0" fontId="34" fillId="0" borderId="0">
      <protection locked="0"/>
    </xf>
    <xf numFmtId="0" fontId="35" fillId="0" borderId="0">
      <protection locked="0"/>
    </xf>
    <xf numFmtId="0" fontId="35" fillId="0" borderId="0">
      <protection locked="0"/>
    </xf>
  </cellStyleXfs>
  <cellXfs count="131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Fill="1">
      <alignment vertical="center"/>
    </xf>
    <xf numFmtId="0" fontId="4" fillId="0" borderId="0" xfId="0" applyNumberFormat="1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right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justify" vertical="center" wrapText="1"/>
    </xf>
    <xf numFmtId="49" fontId="2" fillId="0" borderId="1" xfId="0" applyNumberFormat="1" applyFont="1" applyFill="1" applyBorder="1" applyAlignment="1">
      <alignment horizontal="justify" vertical="center" wrapText="1"/>
    </xf>
    <xf numFmtId="0" fontId="2" fillId="0" borderId="1" xfId="49" applyFont="1" applyFill="1" applyBorder="1" applyAlignment="1" applyProtection="1">
      <alignment horizontal="center" vertical="center" wrapText="1"/>
    </xf>
    <xf numFmtId="0" fontId="2" fillId="0" borderId="1" xfId="49" applyFont="1" applyFill="1" applyBorder="1" applyAlignment="1" applyProtection="1">
      <alignment horizontal="left" vertical="center" wrapText="1"/>
    </xf>
    <xf numFmtId="176" fontId="2" fillId="0" borderId="1" xfId="49" applyNumberFormat="1" applyFont="1" applyFill="1" applyBorder="1" applyAlignment="1" applyProtection="1">
      <alignment horizontal="right" vertical="center" wrapText="1"/>
    </xf>
    <xf numFmtId="176" fontId="6" fillId="2" borderId="1" xfId="49" applyNumberFormat="1" applyFont="1" applyFill="1" applyBorder="1" applyAlignment="1" applyProtection="1">
      <alignment horizontal="center" vertical="center" wrapText="1"/>
    </xf>
    <xf numFmtId="0" fontId="2" fillId="0" borderId="1" xfId="49" applyFont="1" applyFill="1" applyBorder="1" applyAlignment="1" applyProtection="1">
      <alignment horizontal="justify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left" vertical="center" wrapText="1"/>
    </xf>
    <xf numFmtId="176" fontId="6" fillId="2" borderId="1" xfId="50" applyNumberFormat="1" applyFont="1" applyFill="1" applyBorder="1" applyAlignment="1" applyProtection="1">
      <alignment horizontal="center" vertical="center" wrapText="1"/>
    </xf>
    <xf numFmtId="176" fontId="2" fillId="0" borderId="1" xfId="50" applyNumberFormat="1" applyFont="1" applyFill="1" applyBorder="1" applyAlignment="1" applyProtection="1">
      <alignment horizontal="right" vertical="center" wrapText="1"/>
    </xf>
    <xf numFmtId="0" fontId="2" fillId="0" borderId="1" xfId="51" applyFont="1" applyFill="1" applyBorder="1" applyAlignment="1" applyProtection="1">
      <alignment horizontal="justify" vertical="center" wrapText="1"/>
    </xf>
    <xf numFmtId="0" fontId="1" fillId="0" borderId="1" xfId="49" applyFont="1" applyFill="1" applyBorder="1" applyAlignment="1" applyProtection="1">
      <alignment horizontal="center" vertical="center"/>
    </xf>
    <xf numFmtId="49" fontId="1" fillId="0" borderId="4" xfId="0" applyNumberFormat="1" applyFont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right" vertical="center" wrapText="1"/>
    </xf>
    <xf numFmtId="176" fontId="5" fillId="2" borderId="1" xfId="50" applyNumberFormat="1" applyFont="1" applyFill="1" applyBorder="1" applyAlignment="1" applyProtection="1">
      <alignment horizontal="center" vertical="center" wrapText="1"/>
    </xf>
    <xf numFmtId="176" fontId="1" fillId="0" borderId="1" xfId="50" applyNumberFormat="1" applyFont="1" applyFill="1" applyBorder="1" applyAlignment="1" applyProtection="1">
      <alignment horizontal="right" vertical="center" wrapText="1"/>
    </xf>
    <xf numFmtId="177" fontId="1" fillId="0" borderId="1" xfId="0" applyNumberFormat="1" applyFont="1" applyFill="1" applyBorder="1" applyAlignment="1">
      <alignment horizontal="justify" vertical="center" wrapText="1"/>
    </xf>
    <xf numFmtId="178" fontId="1" fillId="0" borderId="1" xfId="0" applyNumberFormat="1" applyFont="1" applyFill="1" applyBorder="1" applyAlignment="1">
      <alignment horizontal="justify" vertical="center" wrapText="1"/>
    </xf>
    <xf numFmtId="0" fontId="1" fillId="0" borderId="1" xfId="51" applyFont="1" applyFill="1" applyBorder="1" applyAlignment="1" applyProtection="1">
      <alignment horizontal="justify" vertical="center" wrapText="1"/>
    </xf>
    <xf numFmtId="179" fontId="1" fillId="0" borderId="1" xfId="51" applyNumberFormat="1" applyFont="1" applyFill="1" applyBorder="1" applyAlignment="1" applyProtection="1">
      <alignment horizontal="justify" vertical="center" wrapText="1"/>
    </xf>
    <xf numFmtId="0" fontId="1" fillId="0" borderId="1" xfId="52" applyFont="1" applyFill="1" applyBorder="1" applyAlignment="1" applyProtection="1">
      <alignment horizontal="justify" vertical="center" wrapText="1"/>
    </xf>
    <xf numFmtId="0" fontId="1" fillId="0" borderId="1" xfId="0" applyFont="1" applyFill="1" applyBorder="1" applyAlignment="1">
      <alignment horizontal="justify" vertical="center" wrapText="1"/>
    </xf>
    <xf numFmtId="0" fontId="2" fillId="0" borderId="1" xfId="49" applyFont="1" applyFill="1" applyBorder="1" applyAlignment="1" applyProtection="1">
      <alignment horizontal="center" vertical="center"/>
    </xf>
    <xf numFmtId="179" fontId="2" fillId="0" borderId="1" xfId="51" applyNumberFormat="1" applyFont="1" applyFill="1" applyBorder="1" applyAlignment="1" applyProtection="1">
      <alignment horizontal="justify" vertical="center" wrapText="1"/>
    </xf>
    <xf numFmtId="0" fontId="1" fillId="0" borderId="1" xfId="49" applyFont="1" applyFill="1" applyBorder="1" applyAlignment="1" applyProtection="1">
      <alignment horizontal="justify" vertical="center" wrapText="1"/>
    </xf>
    <xf numFmtId="176" fontId="1" fillId="0" borderId="4" xfId="50" applyNumberFormat="1" applyFont="1" applyFill="1" applyBorder="1" applyAlignment="1" applyProtection="1">
      <alignment horizontal="righ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176" fontId="2" fillId="0" borderId="4" xfId="0" applyNumberFormat="1" applyFont="1" applyFill="1" applyBorder="1" applyAlignment="1">
      <alignment horizontal="right" vertical="center" wrapText="1"/>
    </xf>
    <xf numFmtId="176" fontId="6" fillId="2" borderId="4" xfId="50" applyNumberFormat="1" applyFont="1" applyFill="1" applyBorder="1" applyAlignment="1" applyProtection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176" fontId="1" fillId="0" borderId="4" xfId="0" applyNumberFormat="1" applyFont="1" applyFill="1" applyBorder="1" applyAlignment="1">
      <alignment horizontal="right" vertical="center" wrapText="1"/>
    </xf>
    <xf numFmtId="176" fontId="5" fillId="2" borderId="4" xfId="50" applyNumberFormat="1" applyFont="1" applyFill="1" applyBorder="1" applyAlignment="1" applyProtection="1">
      <alignment horizontal="center" vertical="center" wrapText="1"/>
    </xf>
    <xf numFmtId="0" fontId="1" fillId="0" borderId="1" xfId="53" applyFont="1" applyFill="1" applyBorder="1" applyAlignment="1" applyProtection="1">
      <alignment horizontal="justify" vertical="center" wrapText="1"/>
    </xf>
    <xf numFmtId="0" fontId="1" fillId="0" borderId="1" xfId="51" applyNumberFormat="1" applyFont="1" applyFill="1" applyBorder="1" applyAlignment="1" applyProtection="1">
      <alignment horizontal="justify" vertical="center" wrapText="1"/>
    </xf>
    <xf numFmtId="179" fontId="1" fillId="0" borderId="4" xfId="51" applyNumberFormat="1" applyFont="1" applyFill="1" applyBorder="1" applyAlignment="1" applyProtection="1">
      <alignment horizontal="justify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justify" vertical="center" wrapText="1"/>
    </xf>
    <xf numFmtId="179" fontId="2" fillId="0" borderId="4" xfId="51" applyNumberFormat="1" applyFont="1" applyFill="1" applyBorder="1" applyAlignment="1" applyProtection="1">
      <alignment horizontal="justify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justify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right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1" xfId="52" applyFont="1" applyFill="1" applyBorder="1" applyAlignment="1" applyProtection="1">
      <alignment horizontal="justify" vertical="center" wrapText="1"/>
    </xf>
    <xf numFmtId="176" fontId="8" fillId="0" borderId="1" xfId="0" applyNumberFormat="1" applyFont="1" applyFill="1" applyBorder="1" applyAlignment="1">
      <alignment horizontal="right" vertical="center" wrapText="1"/>
    </xf>
    <xf numFmtId="0" fontId="2" fillId="0" borderId="4" xfId="49" applyFont="1" applyFill="1" applyBorder="1" applyAlignment="1" applyProtection="1">
      <alignment horizontal="justify" vertical="center" wrapText="1"/>
    </xf>
    <xf numFmtId="49" fontId="2" fillId="0" borderId="4" xfId="0" applyNumberFormat="1" applyFont="1" applyFill="1" applyBorder="1" applyAlignment="1">
      <alignment horizontal="left" vertical="center" wrapText="1"/>
    </xf>
    <xf numFmtId="176" fontId="2" fillId="0" borderId="4" xfId="0" applyNumberFormat="1" applyFont="1" applyBorder="1" applyAlignment="1">
      <alignment horizontal="right" vertical="center" wrapText="1"/>
    </xf>
    <xf numFmtId="176" fontId="6" fillId="2" borderId="4" xfId="0" applyNumberFormat="1" applyFont="1" applyFill="1" applyBorder="1" applyAlignment="1">
      <alignment horizontal="center" vertical="center" wrapText="1"/>
    </xf>
    <xf numFmtId="178" fontId="2" fillId="0" borderId="1" xfId="51" applyNumberFormat="1" applyFont="1" applyFill="1" applyBorder="1" applyAlignment="1" applyProtection="1">
      <alignment horizontal="justify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left" vertical="center" wrapText="1"/>
    </xf>
    <xf numFmtId="176" fontId="1" fillId="0" borderId="4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right" vertical="center" wrapText="1"/>
    </xf>
    <xf numFmtId="176" fontId="5" fillId="2" borderId="4" xfId="0" applyNumberFormat="1" applyFont="1" applyFill="1" applyBorder="1" applyAlignment="1">
      <alignment horizontal="center" vertical="center" wrapText="1"/>
    </xf>
    <xf numFmtId="178" fontId="1" fillId="0" borderId="1" xfId="51" applyNumberFormat="1" applyFont="1" applyFill="1" applyBorder="1" applyAlignment="1" applyProtection="1">
      <alignment horizontal="justify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3" xfId="0" applyNumberFormat="1" applyFont="1" applyFill="1" applyBorder="1" applyAlignment="1">
      <alignment vertical="center" wrapText="1"/>
    </xf>
    <xf numFmtId="176" fontId="2" fillId="0" borderId="2" xfId="0" applyNumberFormat="1" applyFont="1" applyFill="1" applyBorder="1" applyAlignment="1">
      <alignment horizontal="right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justify" vertical="center" wrapText="1"/>
    </xf>
    <xf numFmtId="49" fontId="1" fillId="0" borderId="1" xfId="0" applyNumberFormat="1" applyFont="1" applyFill="1" applyBorder="1" applyAlignment="1">
      <alignment horizontal="justify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justify" vertical="center" wrapText="1"/>
    </xf>
    <xf numFmtId="0" fontId="1" fillId="0" borderId="2" xfId="0" applyNumberFormat="1" applyFont="1" applyFill="1" applyBorder="1" applyAlignment="1">
      <alignment horizontal="justify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justify" vertical="center"/>
    </xf>
    <xf numFmtId="0" fontId="2" fillId="0" borderId="5" xfId="0" applyNumberFormat="1" applyFont="1" applyFill="1" applyBorder="1" applyAlignment="1">
      <alignment horizontal="justify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5" xfId="0" applyNumberFormat="1" applyFont="1" applyFill="1" applyBorder="1" applyAlignment="1">
      <alignment horizontal="justify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justify" vertical="center" wrapText="1"/>
    </xf>
    <xf numFmtId="0" fontId="1" fillId="0" borderId="4" xfId="52" applyFont="1" applyFill="1" applyBorder="1" applyAlignment="1" applyProtection="1">
      <alignment horizontal="justify" vertical="center" wrapText="1"/>
    </xf>
    <xf numFmtId="0" fontId="1" fillId="0" borderId="1" xfId="0" applyFont="1" applyFill="1" applyBorder="1" applyAlignment="1">
      <alignment horizontal="justify" vertical="center"/>
    </xf>
    <xf numFmtId="176" fontId="9" fillId="0" borderId="1" xfId="0" applyNumberFormat="1" applyFont="1" applyFill="1" applyBorder="1" applyAlignment="1">
      <alignment horizontal="right" vertical="center" wrapText="1"/>
    </xf>
    <xf numFmtId="0" fontId="1" fillId="0" borderId="6" xfId="0" applyNumberFormat="1" applyFont="1" applyFill="1" applyBorder="1" applyAlignment="1">
      <alignment horizontal="justify" vertical="center" wrapText="1"/>
    </xf>
    <xf numFmtId="0" fontId="2" fillId="0" borderId="2" xfId="0" applyNumberFormat="1" applyFont="1" applyFill="1" applyBorder="1" applyAlignment="1">
      <alignment horizontal="justify" vertical="center" wrapText="1"/>
    </xf>
    <xf numFmtId="0" fontId="2" fillId="0" borderId="2" xfId="0" applyNumberFormat="1" applyFont="1" applyFill="1" applyBorder="1" applyAlignment="1">
      <alignment vertical="center" wrapText="1"/>
    </xf>
    <xf numFmtId="0" fontId="1" fillId="0" borderId="3" xfId="0" applyNumberFormat="1" applyFont="1" applyFill="1" applyBorder="1" applyAlignment="1">
      <alignment horizontal="justify" vertical="center" wrapText="1"/>
    </xf>
    <xf numFmtId="0" fontId="1" fillId="0" borderId="7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left" vertical="center" wrapText="1"/>
    </xf>
    <xf numFmtId="179" fontId="1" fillId="0" borderId="1" xfId="51" applyNumberFormat="1" applyFont="1" applyFill="1" applyBorder="1" applyAlignment="1" applyProtection="1">
      <alignment horizontal="center" vertical="center" wrapText="1"/>
    </xf>
    <xf numFmtId="49" fontId="1" fillId="0" borderId="1" xfId="54" applyNumberFormat="1" applyFont="1" applyFill="1" applyBorder="1" applyAlignment="1" applyProtection="1">
      <alignment horizontal="center" vertical="center"/>
    </xf>
    <xf numFmtId="179" fontId="10" fillId="0" borderId="1" xfId="51" applyNumberFormat="1" applyFont="1" applyFill="1" applyBorder="1" applyAlignment="1" applyProtection="1">
      <alignment horizontal="center" vertical="center" wrapText="1"/>
    </xf>
    <xf numFmtId="0" fontId="11" fillId="0" borderId="1" xfId="52" applyFont="1" applyFill="1" applyBorder="1" applyAlignment="1" applyProtection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49" fontId="1" fillId="0" borderId="1" xfId="55" applyNumberFormat="1" applyFont="1" applyFill="1" applyBorder="1" applyAlignment="1" applyProtection="1">
      <alignment horizontal="center" vertical="center" wrapText="1"/>
    </xf>
    <xf numFmtId="0" fontId="1" fillId="0" borderId="1" xfId="51" applyFont="1" applyFill="1" applyBorder="1" applyAlignment="1" applyProtection="1">
      <alignment horizontal="left" vertical="center" wrapText="1"/>
    </xf>
    <xf numFmtId="0" fontId="1" fillId="0" borderId="1" xfId="53" applyFont="1" applyFill="1" applyBorder="1" applyAlignment="1" applyProtection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left" vertical="center" wrapText="1"/>
    </xf>
    <xf numFmtId="176" fontId="2" fillId="0" borderId="1" xfId="3" applyNumberFormat="1" applyFont="1" applyFill="1" applyBorder="1" applyAlignment="1" applyProtection="1">
      <alignment horizontal="right" vertical="center" wrapText="1"/>
    </xf>
    <xf numFmtId="176" fontId="6" fillId="2" borderId="1" xfId="3" applyNumberFormat="1" applyFont="1" applyFill="1" applyBorder="1" applyAlignment="1" applyProtection="1">
      <alignment horizontal="center" vertical="center" wrapText="1"/>
    </xf>
    <xf numFmtId="181" fontId="2" fillId="0" borderId="1" xfId="3" applyNumberFormat="1" applyFont="1" applyFill="1" applyBorder="1" applyAlignment="1" applyProtection="1">
      <alignment horizontal="right" vertical="center" wrapText="1"/>
    </xf>
    <xf numFmtId="181" fontId="2" fillId="0" borderId="1" xfId="3" applyNumberFormat="1" applyFont="1" applyFill="1" applyBorder="1" applyAlignment="1" applyProtection="1">
      <alignment horizontal="left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horizontal="left" vertical="center" wrapText="1"/>
    </xf>
    <xf numFmtId="0" fontId="0" fillId="0" borderId="0" xfId="0" applyNumberFormat="1" applyFont="1" applyFill="1" applyAlignment="1">
      <alignment horizontal="center" vertical="center" wrapText="1"/>
    </xf>
    <xf numFmtId="176" fontId="0" fillId="0" borderId="0" xfId="0" applyNumberFormat="1" applyFont="1" applyFill="1" applyAlignment="1">
      <alignment vertical="center" wrapText="1"/>
    </xf>
    <xf numFmtId="0" fontId="0" fillId="0" borderId="0" xfId="0" applyNumberFormat="1" applyFont="1" applyFill="1" applyAlignment="1">
      <alignment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001标底清单" xfId="49"/>
    <cellStyle name="常规_Sheet1 2" xfId="50"/>
    <cellStyle name="常规_调整表（轨道）  附件：中铁六局集团劳务分包指导价汇总（印刷版）" xfId="51"/>
    <cellStyle name="常规 3" xfId="52"/>
    <cellStyle name="常规_公路工程内部限价指标2010年" xfId="53"/>
    <cellStyle name="常规_Sheet1_4" xfId="54"/>
    <cellStyle name="常规_Sheet1_5" xfId="55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F3654FD0-F14F-3610-5E54-0D6A3E1D7FB1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CCF6070C-4616-AF17-5E54-0D6A5D78BF29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ustomXml" Target="../ink/ink5.xml"/><Relationship Id="rId4" Type="http://schemas.openxmlformats.org/officeDocument/2006/relationships/customXml" Target="../ink/ink4.xml"/><Relationship Id="rId3" Type="http://schemas.openxmlformats.org/officeDocument/2006/relationships/customXml" Target="../ink/ink3.xml"/><Relationship Id="rId2" Type="http://schemas.openxmlformats.org/officeDocument/2006/relationships/customXml" Target="../ink/ink2.xml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629701</xdr:colOff>
      <xdr:row>77</xdr:row>
      <xdr:rowOff>227186</xdr:rowOff>
    </xdr:from>
    <xdr:to>
      <xdr:col>4</xdr:col>
      <xdr:colOff>629701</xdr:colOff>
      <xdr:row>77</xdr:row>
      <xdr:rowOff>227186</xdr:rowOff>
    </xdr:to>
    <xdr:contentPart xmlns:xdr14="http://schemas.microsoft.com/office/excel/2010/spreadsheetDrawing" r:id="rId1">
      <xdr14:nvContentPartPr>
        <xdr14:cNvPr id="2" name="Ink 1"/>
        <xdr14:cNvContentPartPr/>
      </xdr14:nvContentPartPr>
      <xdr14:nvPr/>
      <xdr14:xfrm>
        <a:off x="3733165" y="25257760"/>
        <a:ext cx="0" cy="0"/>
      </xdr14:xfrm>
    </xdr:contentPart>
    <xdr:clientData/>
  </xdr:twoCellAnchor>
  <xdr:twoCellAnchor>
    <xdr:from>
      <xdr:col>4</xdr:col>
      <xdr:colOff>554314</xdr:colOff>
      <xdr:row>77</xdr:row>
      <xdr:rowOff>252784</xdr:rowOff>
    </xdr:from>
    <xdr:to>
      <xdr:col>4</xdr:col>
      <xdr:colOff>554314</xdr:colOff>
      <xdr:row>77</xdr:row>
      <xdr:rowOff>252784</xdr:rowOff>
    </xdr:to>
    <xdr:contentPart xmlns:xdr14="http://schemas.microsoft.com/office/excel/2010/spreadsheetDrawing" r:id="rId2">
      <xdr14:nvContentPartPr>
        <xdr14:cNvPr id="3" name="Ink 2"/>
        <xdr14:cNvContentPartPr/>
      </xdr14:nvContentPartPr>
      <xdr14:nvPr/>
      <xdr14:xfrm>
        <a:off x="3657600" y="25257760"/>
        <a:ext cx="0" cy="0"/>
      </xdr14:xfrm>
    </xdr:contentPart>
    <xdr:clientData/>
  </xdr:twoCellAnchor>
  <xdr:twoCellAnchor>
    <xdr:from>
      <xdr:col>4</xdr:col>
      <xdr:colOff>498883</xdr:colOff>
      <xdr:row>77</xdr:row>
      <xdr:rowOff>291182</xdr:rowOff>
    </xdr:from>
    <xdr:to>
      <xdr:col>4</xdr:col>
      <xdr:colOff>498883</xdr:colOff>
      <xdr:row>77</xdr:row>
      <xdr:rowOff>291182</xdr:rowOff>
    </xdr:to>
    <xdr:contentPart xmlns:xdr14="http://schemas.microsoft.com/office/excel/2010/spreadsheetDrawing" r:id="rId3">
      <xdr14:nvContentPartPr>
        <xdr14:cNvPr id="4" name="Ink 3"/>
        <xdr14:cNvContentPartPr/>
      </xdr14:nvContentPartPr>
      <xdr14:nvPr/>
      <xdr14:xfrm>
        <a:off x="3602355" y="25257760"/>
        <a:ext cx="0" cy="0"/>
      </xdr14:xfrm>
    </xdr:contentPart>
    <xdr:clientData/>
  </xdr:twoCellAnchor>
  <xdr:twoCellAnchor>
    <xdr:from>
      <xdr:col>4</xdr:col>
      <xdr:colOff>447886</xdr:colOff>
      <xdr:row>333</xdr:row>
      <xdr:rowOff>201810</xdr:rowOff>
    </xdr:from>
    <xdr:to>
      <xdr:col>4</xdr:col>
      <xdr:colOff>447886</xdr:colOff>
      <xdr:row>333</xdr:row>
      <xdr:rowOff>201810</xdr:rowOff>
    </xdr:to>
    <xdr:contentPart xmlns:xdr14="http://schemas.microsoft.com/office/excel/2010/spreadsheetDrawing" r:id="rId4">
      <xdr14:nvContentPartPr>
        <xdr14:cNvPr id="8" name="Ink 7"/>
        <xdr14:cNvContentPartPr/>
      </xdr14:nvContentPartPr>
      <xdr14:nvPr/>
      <xdr14:xfrm>
        <a:off x="3551555" y="116457095"/>
        <a:ext cx="0" cy="0"/>
      </xdr14:xfrm>
    </xdr:contentPart>
    <xdr:clientData/>
  </xdr:twoCellAnchor>
  <xdr:twoCellAnchor>
    <xdr:from>
      <xdr:col>4</xdr:col>
      <xdr:colOff>407975</xdr:colOff>
      <xdr:row>333</xdr:row>
      <xdr:rowOff>253603</xdr:rowOff>
    </xdr:from>
    <xdr:to>
      <xdr:col>4</xdr:col>
      <xdr:colOff>407975</xdr:colOff>
      <xdr:row>333</xdr:row>
      <xdr:rowOff>253603</xdr:rowOff>
    </xdr:to>
    <xdr:contentPart xmlns:xdr14="http://schemas.microsoft.com/office/excel/2010/spreadsheetDrawing" r:id="rId5">
      <xdr14:nvContentPartPr>
        <xdr14:cNvPr id="9" name="Ink 8"/>
        <xdr14:cNvContentPartPr/>
      </xdr14:nvContentPartPr>
      <xdr14:nvPr/>
      <xdr14:xfrm>
        <a:off x="3511550" y="116509165"/>
        <a:ext cx="0" cy="0"/>
      </xdr14:xfrm>
    </xdr:contentPar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6041" units="1/cm"/>
          <inkml:channelProperty channel="Y" name="resolution" value="28.36041" units="1/cm"/>
          <inkml:channelProperty channel="F" name="resolution" value="1" units="1/dev"/>
        </inkml:channelProperties>
      </inkml:inkSource>
      <inkml:timestamp xml:id="ts0" timeString="2026-05-19T08:04:15"/>
    </inkml:context>
    <inkml:brush xml:id="br1">
      <inkml:brushProperty name="width" value="0.01984375" units="cm"/>
      <inkml:brushProperty name="height" value="0.01984375" units="cm"/>
      <inkml:brushProperty name="color" value="#000000"/>
      <inkml:brushProperty name="fitToCurve" value="1"/>
    </inkml:brush>
  </inkml:definitions>
  <inkml:trace contextRef="#ctx0" brushRef="#br1">9212.946 7731.796 533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6041" units="1/cm"/>
          <inkml:channelProperty channel="Y" name="resolution" value="28.36041" units="1/cm"/>
          <inkml:channelProperty channel="F" name="resolution" value="1" units="1/dev"/>
        </inkml:channelProperties>
      </inkml:inkSource>
      <inkml:timestamp xml:id="ts0" timeString="2026-05-19T08:04:15"/>
    </inkml:context>
    <inkml:brush xml:id="br1">
      <inkml:brushProperty name="width" value="0.01984375" units="cm"/>
      <inkml:brushProperty name="height" value="0.01984375" units="cm"/>
      <inkml:brushProperty name="color" value="#000000"/>
      <inkml:brushProperty name="fitToCurve" value="1"/>
    </inkml:brush>
  </inkml:definitions>
  <inkml:trace contextRef="#ctx0" brushRef="#br1">9049.646 7777.668 533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6041" units="1/cm"/>
          <inkml:channelProperty channel="Y" name="resolution" value="28.36041" units="1/cm"/>
          <inkml:channelProperty channel="F" name="resolution" value="1" units="1/dev"/>
        </inkml:channelProperties>
      </inkml:inkSource>
      <inkml:timestamp xml:id="ts0" timeString="2026-05-19T08:04:15"/>
    </inkml:context>
    <inkml:brush xml:id="br1">
      <inkml:brushProperty name="width" value="0.01984375" units="cm"/>
      <inkml:brushProperty name="height" value="0.01984375" units="cm"/>
      <inkml:brushProperty name="color" value="#000000"/>
      <inkml:brushProperty name="fitToCurve" value="1"/>
    </inkml:brush>
  </inkml:definitions>
  <inkml:trace contextRef="#ctx0" brushRef="#br1">8930.037 7862.322 533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6041" units="1/cm"/>
          <inkml:channelProperty channel="Y" name="resolution" value="28.36041" units="1/cm"/>
          <inkml:channelProperty channel="F" name="resolution" value="1" units="1/dev"/>
        </inkml:channelProperties>
      </inkml:inkSource>
      <inkml:timestamp xml:id="ts0" timeString="2026-05-19T08:04:15"/>
    </inkml:context>
    <inkml:brush xml:id="br1">
      <inkml:brushProperty name="width" value="0.01984375" units="cm"/>
      <inkml:brushProperty name="height" value="0.01984375" units="cm"/>
      <inkml:brushProperty name="color" value="#000000"/>
      <inkml:brushProperty name="fitToCurve" value="1"/>
    </inkml:brush>
  </inkml:definitions>
  <inkml:trace contextRef="#ctx0" brushRef="#br1">9472.489 6046.198 533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6041" units="1/cm"/>
          <inkml:channelProperty channel="Y" name="resolution" value="28.36041" units="1/cm"/>
          <inkml:channelProperty channel="F" name="resolution" value="1" units="1/dev"/>
        </inkml:channelProperties>
      </inkml:inkSource>
      <inkml:timestamp xml:id="ts0" timeString="2026-05-19T08:04:15"/>
    </inkml:context>
    <inkml:brush xml:id="br1">
      <inkml:brushProperty name="width" value="0.01984375" units="cm"/>
      <inkml:brushProperty name="height" value="0.01984375" units="cm"/>
      <inkml:brushProperty name="color" value="#000000"/>
      <inkml:brushProperty name="fitToCurve" value="1"/>
    </inkml:brush>
  </inkml:definitions>
  <inkml:trace contextRef="#ctx0" brushRef="#br1">9388.479 6150.718 533</inkml:trace>
</inkml: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4"/>
  <sheetViews>
    <sheetView tabSelected="1" zoomScale="120" zoomScaleNormal="120" workbookViewId="0">
      <pane ySplit="3" topLeftCell="A356" activePane="bottomLeft" state="frozen"/>
      <selection/>
      <selection pane="bottomLeft" activeCell="I383" sqref="I383"/>
    </sheetView>
  </sheetViews>
  <sheetFormatPr defaultColWidth="9" defaultRowHeight="16.8"/>
  <cols>
    <col min="1" max="1" width="6.625" style="5" customWidth="1"/>
    <col min="2" max="2" width="25.875" style="1" customWidth="1"/>
    <col min="3" max="3" width="4.125" style="5" customWidth="1"/>
    <col min="4" max="4" width="10.375" style="5" customWidth="1"/>
    <col min="5" max="5" width="17.4615384615385" style="5" customWidth="1"/>
    <col min="6" max="6" width="13.75" style="5" customWidth="1"/>
    <col min="7" max="7" width="20.875" style="5" customWidth="1"/>
    <col min="8" max="8" width="24.25" style="5" customWidth="1"/>
    <col min="9" max="9" width="97.625" style="5" customWidth="1"/>
    <col min="10" max="10" width="17" style="6" customWidth="1"/>
    <col min="11" max="16384" width="9" style="1"/>
  </cols>
  <sheetData>
    <row r="1" s="1" customFormat="1" ht="23.2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="2" customFormat="1" ht="15.2" spans="1:10">
      <c r="A2" s="9" t="s">
        <v>1</v>
      </c>
      <c r="B2" s="9"/>
      <c r="C2" s="9"/>
      <c r="D2" s="10"/>
      <c r="E2" s="10"/>
      <c r="F2" s="10"/>
      <c r="G2" s="10"/>
      <c r="H2" s="10"/>
      <c r="I2" s="10"/>
      <c r="J2" s="11"/>
    </row>
    <row r="3" s="2" customFormat="1" ht="36" spans="1:10">
      <c r="A3" s="12" t="s">
        <v>2</v>
      </c>
      <c r="B3" s="12" t="s">
        <v>3</v>
      </c>
      <c r="C3" s="12" t="s">
        <v>4</v>
      </c>
      <c r="D3" s="12" t="s">
        <v>5</v>
      </c>
      <c r="E3" s="13" t="s">
        <v>6</v>
      </c>
      <c r="F3" s="14" t="s">
        <v>7</v>
      </c>
      <c r="G3" s="12" t="s">
        <v>8</v>
      </c>
      <c r="H3" s="12" t="s">
        <v>9</v>
      </c>
      <c r="I3" s="12" t="s">
        <v>10</v>
      </c>
      <c r="J3" s="15" t="s">
        <v>11</v>
      </c>
    </row>
    <row r="4" s="2" customFormat="1" ht="17.6" spans="1:10">
      <c r="A4" s="16" t="s">
        <v>12</v>
      </c>
      <c r="B4" s="17"/>
      <c r="C4" s="12"/>
      <c r="D4" s="18"/>
      <c r="E4" s="19"/>
      <c r="F4" s="18">
        <f>F5+F25+F46</f>
        <v>18907915.9</v>
      </c>
      <c r="G4" s="20"/>
      <c r="H4" s="20"/>
      <c r="I4" s="20"/>
      <c r="J4" s="21"/>
    </row>
    <row r="5" s="3" customFormat="1" ht="17.6" spans="1:10">
      <c r="A5" s="22" t="s">
        <v>13</v>
      </c>
      <c r="B5" s="23" t="s">
        <v>14</v>
      </c>
      <c r="C5" s="22" t="s">
        <v>15</v>
      </c>
      <c r="D5" s="24"/>
      <c r="E5" s="25"/>
      <c r="F5" s="24">
        <f>F6+F14+F19+F24</f>
        <v>13319748.3</v>
      </c>
      <c r="G5" s="26"/>
      <c r="H5" s="26"/>
      <c r="I5" s="26"/>
      <c r="J5" s="26"/>
    </row>
    <row r="6" s="3" customFormat="1" ht="17.6" spans="1:10">
      <c r="A6" s="27" t="s">
        <v>16</v>
      </c>
      <c r="B6" s="28" t="s">
        <v>17</v>
      </c>
      <c r="C6" s="22" t="s">
        <v>15</v>
      </c>
      <c r="D6" s="24"/>
      <c r="E6" s="29"/>
      <c r="F6" s="30">
        <f>SUM(F7:F13)</f>
        <v>5854335.5</v>
      </c>
      <c r="G6" s="31"/>
      <c r="H6" s="31"/>
      <c r="I6" s="31"/>
      <c r="J6" s="26"/>
    </row>
    <row r="7" s="2" customFormat="1" ht="17.6" spans="1:10">
      <c r="A7" s="32">
        <v>1</v>
      </c>
      <c r="B7" s="33" t="s">
        <v>18</v>
      </c>
      <c r="C7" s="34" t="s">
        <v>19</v>
      </c>
      <c r="D7" s="35">
        <v>38651</v>
      </c>
      <c r="E7" s="36">
        <v>5.4</v>
      </c>
      <c r="F7" s="37">
        <f t="shared" ref="F7:F13" si="0">ROUND(D7*E7,2)</f>
        <v>208715.4</v>
      </c>
      <c r="G7" s="38" t="s">
        <v>20</v>
      </c>
      <c r="H7" s="39" t="s">
        <v>21</v>
      </c>
      <c r="I7" s="40" t="s">
        <v>22</v>
      </c>
      <c r="J7" s="41"/>
    </row>
    <row r="8" s="2" customFormat="1" ht="17.6" spans="1:10">
      <c r="A8" s="32">
        <v>2</v>
      </c>
      <c r="B8" s="33" t="s">
        <v>23</v>
      </c>
      <c r="C8" s="34" t="s">
        <v>19</v>
      </c>
      <c r="D8" s="35">
        <f t="shared" ref="D8:D12" si="1">D7</f>
        <v>38651</v>
      </c>
      <c r="E8" s="36">
        <v>2.2</v>
      </c>
      <c r="F8" s="37">
        <f t="shared" si="0"/>
        <v>85032.2</v>
      </c>
      <c r="G8" s="38" t="s">
        <v>20</v>
      </c>
      <c r="H8" s="40" t="s">
        <v>21</v>
      </c>
      <c r="I8" s="42" t="s">
        <v>24</v>
      </c>
      <c r="J8" s="41"/>
    </row>
    <row r="9" s="2" customFormat="1" ht="31" spans="1:10">
      <c r="A9" s="32">
        <v>3</v>
      </c>
      <c r="B9" s="33" t="s">
        <v>25</v>
      </c>
      <c r="C9" s="34" t="s">
        <v>19</v>
      </c>
      <c r="D9" s="35">
        <f>D7</f>
        <v>38651</v>
      </c>
      <c r="E9" s="36">
        <v>7.2</v>
      </c>
      <c r="F9" s="37">
        <f t="shared" si="0"/>
        <v>278287.2</v>
      </c>
      <c r="G9" s="43" t="s">
        <v>26</v>
      </c>
      <c r="H9" s="43" t="s">
        <v>21</v>
      </c>
      <c r="I9" s="43" t="s">
        <v>27</v>
      </c>
      <c r="J9" s="41"/>
    </row>
    <row r="10" s="2" customFormat="1" ht="31" spans="1:10">
      <c r="A10" s="32">
        <v>4</v>
      </c>
      <c r="B10" s="33" t="s">
        <v>28</v>
      </c>
      <c r="C10" s="34" t="s">
        <v>19</v>
      </c>
      <c r="D10" s="35">
        <v>176684</v>
      </c>
      <c r="E10" s="36">
        <v>7.6</v>
      </c>
      <c r="F10" s="37">
        <f t="shared" si="0"/>
        <v>1342798.4</v>
      </c>
      <c r="G10" s="43" t="s">
        <v>26</v>
      </c>
      <c r="H10" s="39" t="s">
        <v>21</v>
      </c>
      <c r="I10" s="40" t="s">
        <v>29</v>
      </c>
      <c r="J10" s="41"/>
    </row>
    <row r="11" s="2" customFormat="1" ht="31" spans="1:10">
      <c r="A11" s="32">
        <v>5</v>
      </c>
      <c r="B11" s="33" t="s">
        <v>30</v>
      </c>
      <c r="C11" s="34" t="s">
        <v>19</v>
      </c>
      <c r="D11" s="35">
        <f t="shared" si="1"/>
        <v>176684</v>
      </c>
      <c r="E11" s="36">
        <v>14</v>
      </c>
      <c r="F11" s="37">
        <f t="shared" si="0"/>
        <v>2473576</v>
      </c>
      <c r="G11" s="40" t="s">
        <v>31</v>
      </c>
      <c r="H11" s="40" t="s">
        <v>21</v>
      </c>
      <c r="I11" s="42" t="s">
        <v>32</v>
      </c>
      <c r="J11" s="41"/>
    </row>
    <row r="12" s="2" customFormat="1" ht="31" spans="1:10">
      <c r="A12" s="32">
        <v>6</v>
      </c>
      <c r="B12" s="33" t="s">
        <v>33</v>
      </c>
      <c r="C12" s="34" t="s">
        <v>19</v>
      </c>
      <c r="D12" s="35">
        <f t="shared" si="1"/>
        <v>176684</v>
      </c>
      <c r="E12" s="36">
        <v>7.2</v>
      </c>
      <c r="F12" s="37">
        <f t="shared" si="0"/>
        <v>1272124.8</v>
      </c>
      <c r="G12" s="43" t="s">
        <v>26</v>
      </c>
      <c r="H12" s="39" t="s">
        <v>21</v>
      </c>
      <c r="I12" s="40" t="s">
        <v>27</v>
      </c>
      <c r="J12" s="41"/>
    </row>
    <row r="13" s="2" customFormat="1" ht="17.6" spans="1:10">
      <c r="A13" s="32">
        <v>7</v>
      </c>
      <c r="B13" s="33" t="s">
        <v>34</v>
      </c>
      <c r="C13" s="34" t="s">
        <v>35</v>
      </c>
      <c r="D13" s="35">
        <f>(D9+D12)*0.05</f>
        <v>10766.75</v>
      </c>
      <c r="E13" s="36">
        <v>18</v>
      </c>
      <c r="F13" s="37">
        <f t="shared" si="0"/>
        <v>193801.5</v>
      </c>
      <c r="G13" s="43" t="s">
        <v>36</v>
      </c>
      <c r="H13" s="39" t="s">
        <v>21</v>
      </c>
      <c r="I13" s="43" t="s">
        <v>37</v>
      </c>
      <c r="J13" s="41"/>
    </row>
    <row r="14" s="3" customFormat="1" ht="17.6" spans="1:10">
      <c r="A14" s="44" t="s">
        <v>38</v>
      </c>
      <c r="B14" s="28" t="s">
        <v>39</v>
      </c>
      <c r="C14" s="22" t="s">
        <v>15</v>
      </c>
      <c r="D14" s="18"/>
      <c r="E14" s="19"/>
      <c r="F14" s="30">
        <f>SUM(F15:F18)</f>
        <v>6140326.5</v>
      </c>
      <c r="G14" s="31"/>
      <c r="H14" s="31"/>
      <c r="I14" s="31"/>
      <c r="J14" s="45"/>
    </row>
    <row r="15" s="2" customFormat="1" ht="31" spans="1:10">
      <c r="A15" s="32">
        <v>1</v>
      </c>
      <c r="B15" s="33" t="s">
        <v>40</v>
      </c>
      <c r="C15" s="34" t="s">
        <v>19</v>
      </c>
      <c r="D15" s="37">
        <v>194931</v>
      </c>
      <c r="E15" s="36">
        <v>8.6</v>
      </c>
      <c r="F15" s="37">
        <f t="shared" ref="F15:F18" si="2">ROUND(D15*E15,2)</f>
        <v>1676406.6</v>
      </c>
      <c r="G15" s="43" t="s">
        <v>26</v>
      </c>
      <c r="H15" s="39" t="s">
        <v>21</v>
      </c>
      <c r="I15" s="40" t="s">
        <v>29</v>
      </c>
      <c r="J15" s="46"/>
    </row>
    <row r="16" s="2" customFormat="1" ht="31" spans="1:10">
      <c r="A16" s="32">
        <v>2</v>
      </c>
      <c r="B16" s="33" t="s">
        <v>41</v>
      </c>
      <c r="C16" s="34" t="s">
        <v>19</v>
      </c>
      <c r="D16" s="37">
        <f t="shared" ref="D16:D22" si="3">D15</f>
        <v>194931</v>
      </c>
      <c r="E16" s="36">
        <v>14</v>
      </c>
      <c r="F16" s="37">
        <f t="shared" si="2"/>
        <v>2729034</v>
      </c>
      <c r="G16" s="40" t="s">
        <v>31</v>
      </c>
      <c r="H16" s="40" t="s">
        <v>21</v>
      </c>
      <c r="I16" s="42" t="s">
        <v>32</v>
      </c>
      <c r="J16" s="41"/>
    </row>
    <row r="17" s="2" customFormat="1" ht="31" spans="1:10">
      <c r="A17" s="32">
        <v>3</v>
      </c>
      <c r="B17" s="33" t="s">
        <v>42</v>
      </c>
      <c r="C17" s="34" t="s">
        <v>19</v>
      </c>
      <c r="D17" s="47">
        <f t="shared" si="3"/>
        <v>194931</v>
      </c>
      <c r="E17" s="36">
        <v>8</v>
      </c>
      <c r="F17" s="37">
        <f t="shared" si="2"/>
        <v>1559448</v>
      </c>
      <c r="G17" s="43" t="s">
        <v>26</v>
      </c>
      <c r="H17" s="43" t="s">
        <v>21</v>
      </c>
      <c r="I17" s="43" t="s">
        <v>43</v>
      </c>
      <c r="J17" s="41"/>
    </row>
    <row r="18" s="2" customFormat="1" ht="17.6" spans="1:10">
      <c r="A18" s="32">
        <v>4</v>
      </c>
      <c r="B18" s="33" t="s">
        <v>34</v>
      </c>
      <c r="C18" s="34" t="s">
        <v>35</v>
      </c>
      <c r="D18" s="35">
        <f>(D17)*0.05</f>
        <v>9746.55</v>
      </c>
      <c r="E18" s="36">
        <v>18</v>
      </c>
      <c r="F18" s="37">
        <f t="shared" si="2"/>
        <v>175437.9</v>
      </c>
      <c r="G18" s="43" t="s">
        <v>36</v>
      </c>
      <c r="H18" s="39" t="s">
        <v>21</v>
      </c>
      <c r="I18" s="43" t="s">
        <v>37</v>
      </c>
      <c r="J18" s="41"/>
    </row>
    <row r="19" s="3" customFormat="1" ht="17.6" spans="1:10">
      <c r="A19" s="44" t="s">
        <v>44</v>
      </c>
      <c r="B19" s="48" t="s">
        <v>45</v>
      </c>
      <c r="C19" s="22" t="s">
        <v>15</v>
      </c>
      <c r="D19" s="49"/>
      <c r="E19" s="50"/>
      <c r="F19" s="30">
        <f>SUM(F20:F23)</f>
        <v>820000.3</v>
      </c>
      <c r="G19" s="31"/>
      <c r="H19" s="31"/>
      <c r="I19" s="31"/>
      <c r="J19" s="45"/>
    </row>
    <row r="20" s="2" customFormat="1" ht="46" spans="1:10">
      <c r="A20" s="32">
        <v>1</v>
      </c>
      <c r="B20" s="51" t="s">
        <v>46</v>
      </c>
      <c r="C20" s="34" t="s">
        <v>19</v>
      </c>
      <c r="D20" s="52">
        <v>16499</v>
      </c>
      <c r="E20" s="53">
        <v>38</v>
      </c>
      <c r="F20" s="37">
        <f t="shared" ref="F20:F24" si="4">ROUND(D20*E20,2)</f>
        <v>626962</v>
      </c>
      <c r="G20" s="38" t="s">
        <v>47</v>
      </c>
      <c r="H20" s="40" t="s">
        <v>21</v>
      </c>
      <c r="I20" s="54" t="s">
        <v>48</v>
      </c>
      <c r="J20" s="41"/>
    </row>
    <row r="21" s="2" customFormat="1" ht="17.6" spans="1:10">
      <c r="A21" s="32">
        <v>2</v>
      </c>
      <c r="B21" s="33" t="s">
        <v>23</v>
      </c>
      <c r="C21" s="34" t="s">
        <v>19</v>
      </c>
      <c r="D21" s="52">
        <f t="shared" si="3"/>
        <v>16499</v>
      </c>
      <c r="E21" s="53">
        <v>2.2</v>
      </c>
      <c r="F21" s="37">
        <f t="shared" si="4"/>
        <v>36297.8</v>
      </c>
      <c r="G21" s="38" t="s">
        <v>20</v>
      </c>
      <c r="H21" s="40" t="s">
        <v>21</v>
      </c>
      <c r="I21" s="42" t="s">
        <v>24</v>
      </c>
      <c r="J21" s="55"/>
    </row>
    <row r="22" s="2" customFormat="1" ht="31" spans="1:10">
      <c r="A22" s="32">
        <v>3</v>
      </c>
      <c r="B22" s="51" t="s">
        <v>49</v>
      </c>
      <c r="C22" s="34" t="s">
        <v>19</v>
      </c>
      <c r="D22" s="52">
        <f t="shared" si="3"/>
        <v>16499</v>
      </c>
      <c r="E22" s="53">
        <v>8.6</v>
      </c>
      <c r="F22" s="37">
        <f t="shared" si="4"/>
        <v>141891.4</v>
      </c>
      <c r="G22" s="43" t="s">
        <v>26</v>
      </c>
      <c r="H22" s="43" t="s">
        <v>21</v>
      </c>
      <c r="I22" s="43" t="s">
        <v>43</v>
      </c>
      <c r="J22" s="56"/>
    </row>
    <row r="23" s="2" customFormat="1" ht="17.6" spans="1:10">
      <c r="A23" s="32">
        <v>4</v>
      </c>
      <c r="B23" s="33" t="s">
        <v>34</v>
      </c>
      <c r="C23" s="34" t="s">
        <v>35</v>
      </c>
      <c r="D23" s="35">
        <f>(D22)*0.05</f>
        <v>824.95</v>
      </c>
      <c r="E23" s="36">
        <v>18</v>
      </c>
      <c r="F23" s="37">
        <f t="shared" si="4"/>
        <v>14849.1</v>
      </c>
      <c r="G23" s="43" t="s">
        <v>36</v>
      </c>
      <c r="H23" s="39" t="s">
        <v>21</v>
      </c>
      <c r="I23" s="43" t="s">
        <v>37</v>
      </c>
      <c r="J23" s="41"/>
    </row>
    <row r="24" s="3" customFormat="1" ht="31" spans="1:10">
      <c r="A24" s="44" t="s">
        <v>50</v>
      </c>
      <c r="B24" s="48" t="s">
        <v>51</v>
      </c>
      <c r="C24" s="57" t="s">
        <v>52</v>
      </c>
      <c r="D24" s="49">
        <v>84181</v>
      </c>
      <c r="E24" s="50">
        <v>6</v>
      </c>
      <c r="F24" s="30">
        <f t="shared" si="4"/>
        <v>505086</v>
      </c>
      <c r="G24" s="58" t="s">
        <v>53</v>
      </c>
      <c r="H24" s="59" t="s">
        <v>21</v>
      </c>
      <c r="I24" s="59" t="s">
        <v>54</v>
      </c>
      <c r="J24" s="60"/>
    </row>
    <row r="25" s="3" customFormat="1" ht="17.6" spans="1:10">
      <c r="A25" s="27" t="s">
        <v>55</v>
      </c>
      <c r="B25" s="61" t="s">
        <v>56</v>
      </c>
      <c r="C25" s="62" t="s">
        <v>15</v>
      </c>
      <c r="D25" s="49"/>
      <c r="E25" s="50"/>
      <c r="F25" s="30">
        <f>F26+F31+F36+F41</f>
        <v>310412.7</v>
      </c>
      <c r="G25" s="59"/>
      <c r="H25" s="59"/>
      <c r="I25" s="63"/>
      <c r="J25" s="60"/>
    </row>
    <row r="26" s="3" customFormat="1" ht="17.6" spans="1:10">
      <c r="A26" s="44" t="s">
        <v>16</v>
      </c>
      <c r="B26" s="61" t="s">
        <v>57</v>
      </c>
      <c r="C26" s="62"/>
      <c r="D26" s="49"/>
      <c r="E26" s="50"/>
      <c r="F26" s="30">
        <f>SUM(F27:F30)</f>
        <v>26076.6</v>
      </c>
      <c r="G26" s="59"/>
      <c r="H26" s="59"/>
      <c r="I26" s="63"/>
      <c r="J26" s="60"/>
    </row>
    <row r="27" s="2" customFormat="1" ht="31" spans="1:10">
      <c r="A27" s="64" t="s">
        <v>58</v>
      </c>
      <c r="B27" s="51" t="s">
        <v>28</v>
      </c>
      <c r="C27" s="34" t="s">
        <v>19</v>
      </c>
      <c r="D27" s="65">
        <f>878</f>
        <v>878</v>
      </c>
      <c r="E27" s="36">
        <v>7.6</v>
      </c>
      <c r="F27" s="37">
        <f t="shared" ref="F27:F30" si="5">ROUND(D27*E27,2)</f>
        <v>6672.8</v>
      </c>
      <c r="G27" s="43" t="s">
        <v>26</v>
      </c>
      <c r="H27" s="39" t="s">
        <v>21</v>
      </c>
      <c r="I27" s="40" t="s">
        <v>59</v>
      </c>
      <c r="J27" s="56"/>
    </row>
    <row r="28" s="2" customFormat="1" ht="31" spans="1:10">
      <c r="A28" s="64" t="s">
        <v>60</v>
      </c>
      <c r="B28" s="51" t="s">
        <v>61</v>
      </c>
      <c r="C28" s="34" t="s">
        <v>19</v>
      </c>
      <c r="D28" s="52">
        <f t="shared" ref="D28:D34" si="6">D27</f>
        <v>878</v>
      </c>
      <c r="E28" s="36">
        <v>14</v>
      </c>
      <c r="F28" s="37">
        <f t="shared" si="5"/>
        <v>12292</v>
      </c>
      <c r="G28" s="40" t="s">
        <v>31</v>
      </c>
      <c r="H28" s="40" t="s">
        <v>21</v>
      </c>
      <c r="I28" s="42" t="s">
        <v>32</v>
      </c>
      <c r="J28" s="56"/>
    </row>
    <row r="29" s="2" customFormat="1" ht="31" spans="1:10">
      <c r="A29" s="64" t="s">
        <v>62</v>
      </c>
      <c r="B29" s="33" t="s">
        <v>33</v>
      </c>
      <c r="C29" s="34" t="s">
        <v>19</v>
      </c>
      <c r="D29" s="52">
        <f t="shared" si="6"/>
        <v>878</v>
      </c>
      <c r="E29" s="36">
        <v>7.2</v>
      </c>
      <c r="F29" s="37">
        <f t="shared" si="5"/>
        <v>6321.6</v>
      </c>
      <c r="G29" s="43" t="s">
        <v>26</v>
      </c>
      <c r="H29" s="39" t="s">
        <v>21</v>
      </c>
      <c r="I29" s="40" t="s">
        <v>27</v>
      </c>
      <c r="J29" s="56"/>
    </row>
    <row r="30" s="2" customFormat="1" ht="17.6" spans="1:10">
      <c r="A30" s="32">
        <v>4</v>
      </c>
      <c r="B30" s="33" t="s">
        <v>34</v>
      </c>
      <c r="C30" s="34" t="s">
        <v>35</v>
      </c>
      <c r="D30" s="35">
        <f>(D29)*0.05</f>
        <v>43.9</v>
      </c>
      <c r="E30" s="36">
        <v>18</v>
      </c>
      <c r="F30" s="37">
        <f t="shared" si="5"/>
        <v>790.2</v>
      </c>
      <c r="G30" s="43" t="s">
        <v>36</v>
      </c>
      <c r="H30" s="39" t="s">
        <v>21</v>
      </c>
      <c r="I30" s="43" t="s">
        <v>37</v>
      </c>
      <c r="J30" s="41"/>
    </row>
    <row r="31" s="3" customFormat="1" ht="17.6" spans="1:10">
      <c r="A31" s="44" t="s">
        <v>38</v>
      </c>
      <c r="B31" s="48" t="s">
        <v>63</v>
      </c>
      <c r="C31" s="66"/>
      <c r="D31" s="49"/>
      <c r="E31" s="29"/>
      <c r="F31" s="30">
        <f>SUM(F32:F35)</f>
        <v>203197</v>
      </c>
      <c r="G31" s="31"/>
      <c r="H31" s="31"/>
      <c r="I31" s="67"/>
      <c r="J31" s="60"/>
    </row>
    <row r="32" s="2" customFormat="1" ht="31" spans="1:10">
      <c r="A32" s="64" t="s">
        <v>58</v>
      </c>
      <c r="B32" s="51" t="s">
        <v>28</v>
      </c>
      <c r="C32" s="34" t="s">
        <v>19</v>
      </c>
      <c r="D32" s="52">
        <v>6410</v>
      </c>
      <c r="E32" s="36">
        <v>7.6</v>
      </c>
      <c r="F32" s="37">
        <f t="shared" ref="F32:F35" si="7">ROUND(D32*E32,2)</f>
        <v>48716</v>
      </c>
      <c r="G32" s="43" t="s">
        <v>26</v>
      </c>
      <c r="H32" s="39" t="s">
        <v>21</v>
      </c>
      <c r="I32" s="40" t="s">
        <v>59</v>
      </c>
      <c r="J32" s="56"/>
    </row>
    <row r="33" s="2" customFormat="1" ht="31" spans="1:10">
      <c r="A33" s="64" t="s">
        <v>60</v>
      </c>
      <c r="B33" s="51" t="s">
        <v>64</v>
      </c>
      <c r="C33" s="34" t="s">
        <v>19</v>
      </c>
      <c r="D33" s="52">
        <f t="shared" si="6"/>
        <v>6410</v>
      </c>
      <c r="E33" s="36">
        <v>16</v>
      </c>
      <c r="F33" s="37">
        <f t="shared" si="7"/>
        <v>102560</v>
      </c>
      <c r="G33" s="40" t="s">
        <v>31</v>
      </c>
      <c r="H33" s="40" t="s">
        <v>21</v>
      </c>
      <c r="I33" s="42" t="s">
        <v>32</v>
      </c>
      <c r="J33" s="56"/>
    </row>
    <row r="34" s="2" customFormat="1" ht="31" spans="1:10">
      <c r="A34" s="64" t="s">
        <v>62</v>
      </c>
      <c r="B34" s="33" t="s">
        <v>33</v>
      </c>
      <c r="C34" s="34" t="s">
        <v>19</v>
      </c>
      <c r="D34" s="52">
        <f t="shared" si="6"/>
        <v>6410</v>
      </c>
      <c r="E34" s="36">
        <v>7.2</v>
      </c>
      <c r="F34" s="37">
        <f t="shared" si="7"/>
        <v>46152</v>
      </c>
      <c r="G34" s="43" t="s">
        <v>26</v>
      </c>
      <c r="H34" s="39" t="s">
        <v>21</v>
      </c>
      <c r="I34" s="40" t="s">
        <v>27</v>
      </c>
      <c r="J34" s="56"/>
    </row>
    <row r="35" s="2" customFormat="1" ht="17.6" spans="1:10">
      <c r="A35" s="32">
        <v>4</v>
      </c>
      <c r="B35" s="33" t="s">
        <v>34</v>
      </c>
      <c r="C35" s="34" t="s">
        <v>35</v>
      </c>
      <c r="D35" s="35">
        <f>(D34)*0.05</f>
        <v>320.5</v>
      </c>
      <c r="E35" s="36">
        <v>18</v>
      </c>
      <c r="F35" s="37">
        <f t="shared" si="7"/>
        <v>5769</v>
      </c>
      <c r="G35" s="43" t="s">
        <v>36</v>
      </c>
      <c r="H35" s="39" t="s">
        <v>21</v>
      </c>
      <c r="I35" s="43" t="s">
        <v>37</v>
      </c>
      <c r="J35" s="41"/>
    </row>
    <row r="36" s="3" customFormat="1" ht="17.6" spans="1:10">
      <c r="A36" s="44" t="s">
        <v>44</v>
      </c>
      <c r="B36" s="48" t="s">
        <v>65</v>
      </c>
      <c r="C36" s="66"/>
      <c r="D36" s="49"/>
      <c r="E36" s="29"/>
      <c r="F36" s="30">
        <f>SUM(F37:F40)</f>
        <v>30445.1</v>
      </c>
      <c r="G36" s="31"/>
      <c r="H36" s="31"/>
      <c r="I36" s="67"/>
      <c r="J36" s="60"/>
    </row>
    <row r="37" s="2" customFormat="1" ht="31" spans="1:10">
      <c r="A37" s="64" t="s">
        <v>58</v>
      </c>
      <c r="B37" s="51" t="s">
        <v>28</v>
      </c>
      <c r="C37" s="34" t="s">
        <v>19</v>
      </c>
      <c r="D37" s="52">
        <v>1403</v>
      </c>
      <c r="E37" s="36">
        <v>7.6</v>
      </c>
      <c r="F37" s="37">
        <f t="shared" ref="F37:F40" si="8">ROUND(D37*E37,2)</f>
        <v>10662.8</v>
      </c>
      <c r="G37" s="43" t="s">
        <v>26</v>
      </c>
      <c r="H37" s="39" t="s">
        <v>21</v>
      </c>
      <c r="I37" s="40" t="s">
        <v>59</v>
      </c>
      <c r="J37" s="56"/>
    </row>
    <row r="38" s="2" customFormat="1" ht="31" spans="1:10">
      <c r="A38" s="64" t="s">
        <v>60</v>
      </c>
      <c r="B38" s="51" t="s">
        <v>66</v>
      </c>
      <c r="C38" s="34" t="s">
        <v>19</v>
      </c>
      <c r="D38" s="52">
        <f t="shared" ref="D38:D44" si="9">D37</f>
        <v>1403</v>
      </c>
      <c r="E38" s="36">
        <v>6</v>
      </c>
      <c r="F38" s="37">
        <f t="shared" si="8"/>
        <v>8418</v>
      </c>
      <c r="G38" s="40" t="s">
        <v>31</v>
      </c>
      <c r="H38" s="40" t="s">
        <v>21</v>
      </c>
      <c r="I38" s="42" t="s">
        <v>67</v>
      </c>
      <c r="J38" s="56"/>
    </row>
    <row r="39" s="2" customFormat="1" ht="31" spans="1:10">
      <c r="A39" s="64" t="s">
        <v>62</v>
      </c>
      <c r="B39" s="33" t="s">
        <v>33</v>
      </c>
      <c r="C39" s="34" t="s">
        <v>19</v>
      </c>
      <c r="D39" s="52">
        <f t="shared" si="9"/>
        <v>1403</v>
      </c>
      <c r="E39" s="36">
        <v>7.2</v>
      </c>
      <c r="F39" s="37">
        <f t="shared" si="8"/>
        <v>10101.6</v>
      </c>
      <c r="G39" s="43" t="s">
        <v>26</v>
      </c>
      <c r="H39" s="39" t="s">
        <v>21</v>
      </c>
      <c r="I39" s="40" t="s">
        <v>27</v>
      </c>
      <c r="J39" s="56"/>
    </row>
    <row r="40" s="2" customFormat="1" ht="17.6" spans="1:10">
      <c r="A40" s="32">
        <v>4</v>
      </c>
      <c r="B40" s="33" t="s">
        <v>34</v>
      </c>
      <c r="C40" s="34" t="s">
        <v>35</v>
      </c>
      <c r="D40" s="35">
        <f>(D39)*0.05</f>
        <v>70.15</v>
      </c>
      <c r="E40" s="36">
        <v>18</v>
      </c>
      <c r="F40" s="37">
        <f t="shared" si="8"/>
        <v>1262.7</v>
      </c>
      <c r="G40" s="43" t="s">
        <v>36</v>
      </c>
      <c r="H40" s="39" t="s">
        <v>21</v>
      </c>
      <c r="I40" s="43" t="s">
        <v>37</v>
      </c>
      <c r="J40" s="41"/>
    </row>
    <row r="41" s="3" customFormat="1" ht="17.6" spans="1:10">
      <c r="A41" s="44" t="s">
        <v>50</v>
      </c>
      <c r="B41" s="48" t="s">
        <v>68</v>
      </c>
      <c r="C41" s="66"/>
      <c r="D41" s="49"/>
      <c r="E41" s="29"/>
      <c r="F41" s="30">
        <f>SUM(F42:F45)</f>
        <v>50694</v>
      </c>
      <c r="G41" s="31"/>
      <c r="H41" s="31"/>
      <c r="I41" s="67"/>
      <c r="J41" s="60"/>
    </row>
    <row r="42" s="2" customFormat="1" ht="31" spans="1:10">
      <c r="A42" s="64" t="s">
        <v>58</v>
      </c>
      <c r="B42" s="51" t="s">
        <v>28</v>
      </c>
      <c r="C42" s="34" t="s">
        <v>19</v>
      </c>
      <c r="D42" s="52">
        <v>1420</v>
      </c>
      <c r="E42" s="36">
        <v>7.6</v>
      </c>
      <c r="F42" s="37">
        <f t="shared" ref="F42:F45" si="10">ROUND(D42*E42,2)</f>
        <v>10792</v>
      </c>
      <c r="G42" s="43" t="s">
        <v>26</v>
      </c>
      <c r="H42" s="39" t="s">
        <v>21</v>
      </c>
      <c r="I42" s="40" t="s">
        <v>59</v>
      </c>
      <c r="J42" s="56"/>
    </row>
    <row r="43" s="2" customFormat="1" ht="31" spans="1:10">
      <c r="A43" s="64" t="s">
        <v>60</v>
      </c>
      <c r="B43" s="51" t="s">
        <v>69</v>
      </c>
      <c r="C43" s="34" t="s">
        <v>19</v>
      </c>
      <c r="D43" s="52">
        <f t="shared" si="9"/>
        <v>1420</v>
      </c>
      <c r="E43" s="36">
        <v>20</v>
      </c>
      <c r="F43" s="37">
        <f t="shared" si="10"/>
        <v>28400</v>
      </c>
      <c r="G43" s="40" t="s">
        <v>31</v>
      </c>
      <c r="H43" s="40" t="s">
        <v>21</v>
      </c>
      <c r="I43" s="42" t="s">
        <v>32</v>
      </c>
      <c r="J43" s="56"/>
    </row>
    <row r="44" s="2" customFormat="1" ht="31" spans="1:10">
      <c r="A44" s="64" t="s">
        <v>62</v>
      </c>
      <c r="B44" s="33" t="s">
        <v>33</v>
      </c>
      <c r="C44" s="34" t="s">
        <v>19</v>
      </c>
      <c r="D44" s="52">
        <f t="shared" si="9"/>
        <v>1420</v>
      </c>
      <c r="E44" s="36">
        <v>7.2</v>
      </c>
      <c r="F44" s="37">
        <f t="shared" si="10"/>
        <v>10224</v>
      </c>
      <c r="G44" s="43" t="s">
        <v>26</v>
      </c>
      <c r="H44" s="39" t="s">
        <v>21</v>
      </c>
      <c r="I44" s="40" t="s">
        <v>27</v>
      </c>
      <c r="J44" s="56"/>
    </row>
    <row r="45" s="2" customFormat="1" ht="17.6" spans="1:10">
      <c r="A45" s="32">
        <v>4</v>
      </c>
      <c r="B45" s="33" t="s">
        <v>34</v>
      </c>
      <c r="C45" s="34" t="s">
        <v>35</v>
      </c>
      <c r="D45" s="35">
        <f>(D44)*0.05</f>
        <v>71</v>
      </c>
      <c r="E45" s="36">
        <v>18</v>
      </c>
      <c r="F45" s="37">
        <f t="shared" si="10"/>
        <v>1278</v>
      </c>
      <c r="G45" s="43" t="s">
        <v>36</v>
      </c>
      <c r="H45" s="39" t="s">
        <v>21</v>
      </c>
      <c r="I45" s="43" t="s">
        <v>37</v>
      </c>
      <c r="J45" s="41"/>
    </row>
    <row r="46" s="3" customFormat="1" ht="17.6" spans="1:10">
      <c r="A46" s="27" t="s">
        <v>70</v>
      </c>
      <c r="B46" s="61" t="s">
        <v>71</v>
      </c>
      <c r="C46" s="62" t="s">
        <v>15</v>
      </c>
      <c r="D46" s="68"/>
      <c r="E46" s="25"/>
      <c r="F46" s="30">
        <f>F47</f>
        <v>5277754.9</v>
      </c>
      <c r="G46" s="59"/>
      <c r="H46" s="59"/>
      <c r="I46" s="59"/>
      <c r="J46" s="69"/>
    </row>
    <row r="47" s="3" customFormat="1" ht="17.6" spans="1:10">
      <c r="A47" s="44" t="s">
        <v>16</v>
      </c>
      <c r="B47" s="70" t="s">
        <v>72</v>
      </c>
      <c r="C47" s="62" t="s">
        <v>15</v>
      </c>
      <c r="D47" s="71"/>
      <c r="E47" s="72"/>
      <c r="F47" s="30">
        <f>SUM(F48:F56)</f>
        <v>5277754.9</v>
      </c>
      <c r="G47" s="31"/>
      <c r="H47" s="73"/>
      <c r="I47" s="31"/>
      <c r="J47" s="45"/>
    </row>
    <row r="48" s="2" customFormat="1" ht="31" spans="1:10">
      <c r="A48" s="74">
        <v>1</v>
      </c>
      <c r="B48" s="75" t="s">
        <v>73</v>
      </c>
      <c r="C48" s="76" t="s">
        <v>52</v>
      </c>
      <c r="D48" s="77">
        <v>81200</v>
      </c>
      <c r="E48" s="78">
        <v>28.6</v>
      </c>
      <c r="F48" s="37">
        <f t="shared" ref="F48:F56" si="11">ROUND(D48*E48,2)</f>
        <v>2322320</v>
      </c>
      <c r="G48" s="40" t="s">
        <v>74</v>
      </c>
      <c r="H48" s="79" t="s">
        <v>21</v>
      </c>
      <c r="I48" s="40" t="s">
        <v>75</v>
      </c>
      <c r="J48" s="41"/>
    </row>
    <row r="49" s="2" customFormat="1" ht="31" spans="1:10">
      <c r="A49" s="74">
        <v>2</v>
      </c>
      <c r="B49" s="75" t="s">
        <v>76</v>
      </c>
      <c r="C49" s="76" t="s">
        <v>77</v>
      </c>
      <c r="D49" s="77">
        <f>423</f>
        <v>423</v>
      </c>
      <c r="E49" s="78">
        <v>32.8</v>
      </c>
      <c r="F49" s="37">
        <f t="shared" si="11"/>
        <v>13874.4</v>
      </c>
      <c r="G49" s="40" t="s">
        <v>78</v>
      </c>
      <c r="H49" s="79" t="s">
        <v>79</v>
      </c>
      <c r="I49" s="54" t="s">
        <v>80</v>
      </c>
      <c r="J49" s="55"/>
    </row>
    <row r="50" s="2" customFormat="1" ht="31" spans="1:10">
      <c r="A50" s="74">
        <v>3</v>
      </c>
      <c r="B50" s="75" t="s">
        <v>81</v>
      </c>
      <c r="C50" s="76" t="s">
        <v>52</v>
      </c>
      <c r="D50" s="65">
        <v>2961</v>
      </c>
      <c r="E50" s="80">
        <v>4</v>
      </c>
      <c r="F50" s="37">
        <f t="shared" si="11"/>
        <v>11844</v>
      </c>
      <c r="G50" s="43" t="s">
        <v>82</v>
      </c>
      <c r="H50" s="43" t="s">
        <v>83</v>
      </c>
      <c r="I50" s="43" t="s">
        <v>84</v>
      </c>
      <c r="J50" s="41"/>
    </row>
    <row r="51" s="2" customFormat="1" ht="31" spans="1:10">
      <c r="A51" s="74">
        <v>4</v>
      </c>
      <c r="B51" s="75" t="s">
        <v>85</v>
      </c>
      <c r="C51" s="76" t="s">
        <v>52</v>
      </c>
      <c r="D51" s="65">
        <v>293823</v>
      </c>
      <c r="E51" s="80">
        <v>2.5</v>
      </c>
      <c r="F51" s="37">
        <f t="shared" si="11"/>
        <v>734557.5</v>
      </c>
      <c r="G51" s="43" t="s">
        <v>82</v>
      </c>
      <c r="H51" s="43" t="s">
        <v>86</v>
      </c>
      <c r="I51" s="43" t="s">
        <v>87</v>
      </c>
      <c r="J51" s="41"/>
    </row>
    <row r="52" s="2" customFormat="1" ht="31" spans="1:10">
      <c r="A52" s="74">
        <v>5</v>
      </c>
      <c r="B52" s="75" t="s">
        <v>88</v>
      </c>
      <c r="C52" s="76" t="s">
        <v>52</v>
      </c>
      <c r="D52" s="65">
        <v>164769</v>
      </c>
      <c r="E52" s="78">
        <v>2</v>
      </c>
      <c r="F52" s="37">
        <f t="shared" si="11"/>
        <v>329538</v>
      </c>
      <c r="G52" s="43" t="s">
        <v>82</v>
      </c>
      <c r="H52" s="43" t="s">
        <v>89</v>
      </c>
      <c r="I52" s="54" t="s">
        <v>90</v>
      </c>
      <c r="J52" s="41"/>
    </row>
    <row r="53" s="2" customFormat="1" ht="31" spans="1:10">
      <c r="A53" s="74">
        <v>6</v>
      </c>
      <c r="B53" s="75" t="s">
        <v>91</v>
      </c>
      <c r="C53" s="76" t="s">
        <v>52</v>
      </c>
      <c r="D53" s="65">
        <v>40183</v>
      </c>
      <c r="E53" s="80">
        <v>3</v>
      </c>
      <c r="F53" s="37">
        <f>D53*E53</f>
        <v>120549</v>
      </c>
      <c r="G53" s="43" t="s">
        <v>82</v>
      </c>
      <c r="H53" s="43" t="s">
        <v>92</v>
      </c>
      <c r="I53" s="54" t="s">
        <v>93</v>
      </c>
      <c r="J53" s="41"/>
    </row>
    <row r="54" s="2" customFormat="1" ht="31" spans="1:10">
      <c r="A54" s="74">
        <v>7</v>
      </c>
      <c r="B54" s="75" t="s">
        <v>94</v>
      </c>
      <c r="C54" s="76" t="s">
        <v>77</v>
      </c>
      <c r="D54" s="65">
        <v>891</v>
      </c>
      <c r="E54" s="36">
        <v>86</v>
      </c>
      <c r="F54" s="37">
        <f t="shared" si="11"/>
        <v>76626</v>
      </c>
      <c r="G54" s="42" t="s">
        <v>95</v>
      </c>
      <c r="H54" s="42" t="s">
        <v>96</v>
      </c>
      <c r="I54" s="40" t="s">
        <v>97</v>
      </c>
      <c r="J54" s="41"/>
    </row>
    <row r="55" s="2" customFormat="1" ht="46" spans="1:10">
      <c r="A55" s="74">
        <v>8</v>
      </c>
      <c r="B55" s="75" t="s">
        <v>98</v>
      </c>
      <c r="C55" s="76" t="s">
        <v>77</v>
      </c>
      <c r="D55" s="65">
        <f>D54</f>
        <v>891</v>
      </c>
      <c r="E55" s="78">
        <v>26</v>
      </c>
      <c r="F55" s="37">
        <f t="shared" si="11"/>
        <v>23166</v>
      </c>
      <c r="G55" s="38" t="s">
        <v>99</v>
      </c>
      <c r="H55" s="43" t="s">
        <v>79</v>
      </c>
      <c r="I55" s="54" t="s">
        <v>100</v>
      </c>
      <c r="J55" s="41"/>
    </row>
    <row r="56" s="2" customFormat="1" ht="31" spans="1:10">
      <c r="A56" s="74">
        <v>9</v>
      </c>
      <c r="B56" s="75" t="s">
        <v>101</v>
      </c>
      <c r="C56" s="81" t="s">
        <v>102</v>
      </c>
      <c r="D56" s="37">
        <v>7280</v>
      </c>
      <c r="E56" s="36">
        <v>226</v>
      </c>
      <c r="F56" s="37">
        <f t="shared" si="11"/>
        <v>1645280</v>
      </c>
      <c r="G56" s="40" t="s">
        <v>103</v>
      </c>
      <c r="H56" s="43" t="s">
        <v>104</v>
      </c>
      <c r="I56" s="40" t="s">
        <v>105</v>
      </c>
      <c r="J56" s="55"/>
    </row>
    <row r="57" s="2" customFormat="1" ht="17.6" spans="1:10">
      <c r="A57" s="16" t="s">
        <v>106</v>
      </c>
      <c r="B57" s="17"/>
      <c r="C57" s="12"/>
      <c r="D57" s="18"/>
      <c r="E57" s="19"/>
      <c r="F57" s="18">
        <f>F58+F120</f>
        <v>8362025.8</v>
      </c>
      <c r="G57" s="20"/>
      <c r="H57" s="20"/>
      <c r="I57" s="20"/>
      <c r="J57" s="21"/>
    </row>
    <row r="58" s="3" customFormat="1" ht="17.6" spans="1:10">
      <c r="A58" s="82" t="s">
        <v>13</v>
      </c>
      <c r="B58" s="12" t="s">
        <v>107</v>
      </c>
      <c r="C58" s="83"/>
      <c r="D58" s="84"/>
      <c r="E58" s="19"/>
      <c r="F58" s="18">
        <f>F59+F80+F92+F99</f>
        <v>6428330.6</v>
      </c>
      <c r="G58" s="20"/>
      <c r="H58" s="20"/>
      <c r="I58" s="20"/>
      <c r="J58" s="21"/>
    </row>
    <row r="59" s="3" customFormat="1" ht="17.6" spans="1:10">
      <c r="A59" s="12" t="s">
        <v>16</v>
      </c>
      <c r="B59" s="20" t="s">
        <v>108</v>
      </c>
      <c r="C59" s="57"/>
      <c r="D59" s="18"/>
      <c r="E59" s="19"/>
      <c r="F59" s="18">
        <f>F60+F63+F68+F79+F73</f>
        <v>4894042.8</v>
      </c>
      <c r="G59" s="67"/>
      <c r="H59" s="67"/>
      <c r="I59" s="67"/>
      <c r="J59" s="21"/>
    </row>
    <row r="60" s="3" customFormat="1" ht="17.6" spans="1:10">
      <c r="A60" s="12">
        <v>1</v>
      </c>
      <c r="B60" s="20" t="s">
        <v>109</v>
      </c>
      <c r="C60" s="57"/>
      <c r="D60" s="18"/>
      <c r="E60" s="19"/>
      <c r="F60" s="18">
        <f>SUM(F61:F62)</f>
        <v>688245.6</v>
      </c>
      <c r="G60" s="67"/>
      <c r="H60" s="67"/>
      <c r="I60" s="67"/>
      <c r="J60" s="21"/>
    </row>
    <row r="61" s="2" customFormat="1" ht="31" spans="1:10">
      <c r="A61" s="85" t="s">
        <v>110</v>
      </c>
      <c r="B61" s="86" t="s">
        <v>111</v>
      </c>
      <c r="C61" s="34" t="s">
        <v>19</v>
      </c>
      <c r="D61" s="65">
        <v>1491</v>
      </c>
      <c r="E61" s="80">
        <v>458</v>
      </c>
      <c r="F61" s="65">
        <f t="shared" ref="F61:F67" si="12">ROUND(D61*E61,2)</f>
        <v>682878</v>
      </c>
      <c r="G61" s="42" t="s">
        <v>112</v>
      </c>
      <c r="H61" s="42" t="s">
        <v>113</v>
      </c>
      <c r="I61" s="42" t="s">
        <v>114</v>
      </c>
      <c r="J61" s="87" t="s">
        <v>115</v>
      </c>
    </row>
    <row r="62" s="2" customFormat="1" ht="17.6" spans="1:10">
      <c r="A62" s="85" t="s">
        <v>116</v>
      </c>
      <c r="B62" s="86" t="s">
        <v>117</v>
      </c>
      <c r="C62" s="34" t="s">
        <v>35</v>
      </c>
      <c r="D62" s="65">
        <f>D61*0.2</f>
        <v>298.2</v>
      </c>
      <c r="E62" s="80">
        <v>18</v>
      </c>
      <c r="F62" s="65">
        <f t="shared" si="12"/>
        <v>5367.6</v>
      </c>
      <c r="G62" s="43" t="s">
        <v>36</v>
      </c>
      <c r="H62" s="39" t="s">
        <v>21</v>
      </c>
      <c r="I62" s="43" t="s">
        <v>37</v>
      </c>
      <c r="J62" s="87"/>
    </row>
    <row r="63" s="3" customFormat="1" ht="17.6" spans="1:10">
      <c r="A63" s="12">
        <v>2</v>
      </c>
      <c r="B63" s="20" t="s">
        <v>118</v>
      </c>
      <c r="C63" s="57"/>
      <c r="D63" s="18"/>
      <c r="E63" s="19"/>
      <c r="F63" s="18">
        <f>SUM(F64:F67)</f>
        <v>627738.4</v>
      </c>
      <c r="G63" s="67"/>
      <c r="H63" s="67"/>
      <c r="I63" s="67"/>
      <c r="J63" s="21"/>
    </row>
    <row r="64" s="2" customFormat="1" ht="31" spans="1:10">
      <c r="A64" s="88" t="s">
        <v>110</v>
      </c>
      <c r="B64" s="89" t="s">
        <v>119</v>
      </c>
      <c r="C64" s="34" t="s">
        <v>19</v>
      </c>
      <c r="D64" s="65">
        <v>87</v>
      </c>
      <c r="E64" s="80"/>
      <c r="F64" s="65">
        <f t="shared" si="12"/>
        <v>0</v>
      </c>
      <c r="G64" s="42" t="s">
        <v>112</v>
      </c>
      <c r="H64" s="42" t="s">
        <v>120</v>
      </c>
      <c r="I64" s="42" t="s">
        <v>121</v>
      </c>
      <c r="J64" s="87"/>
    </row>
    <row r="65" s="2" customFormat="1" ht="31" spans="1:10">
      <c r="A65" s="85" t="s">
        <v>116</v>
      </c>
      <c r="B65" s="86" t="s">
        <v>122</v>
      </c>
      <c r="C65" s="34" t="s">
        <v>19</v>
      </c>
      <c r="D65" s="65">
        <v>87</v>
      </c>
      <c r="E65" s="80">
        <v>390</v>
      </c>
      <c r="F65" s="65">
        <f t="shared" si="12"/>
        <v>33930</v>
      </c>
      <c r="G65" s="42" t="s">
        <v>112</v>
      </c>
      <c r="H65" s="42" t="s">
        <v>123</v>
      </c>
      <c r="I65" s="42" t="s">
        <v>124</v>
      </c>
      <c r="J65" s="87" t="s">
        <v>125</v>
      </c>
    </row>
    <row r="66" s="2" customFormat="1" ht="31" spans="1:10">
      <c r="A66" s="85" t="s">
        <v>126</v>
      </c>
      <c r="B66" s="86" t="s">
        <v>127</v>
      </c>
      <c r="C66" s="34" t="s">
        <v>19</v>
      </c>
      <c r="D66" s="65">
        <v>1138</v>
      </c>
      <c r="E66" s="80">
        <v>520</v>
      </c>
      <c r="F66" s="65">
        <f t="shared" si="12"/>
        <v>591760</v>
      </c>
      <c r="G66" s="42" t="s">
        <v>112</v>
      </c>
      <c r="H66" s="42" t="s">
        <v>128</v>
      </c>
      <c r="I66" s="42" t="s">
        <v>129</v>
      </c>
      <c r="J66" s="87" t="s">
        <v>130</v>
      </c>
    </row>
    <row r="67" s="2" customFormat="1" ht="17.6" spans="1:10">
      <c r="A67" s="85" t="s">
        <v>131</v>
      </c>
      <c r="B67" s="86" t="s">
        <v>117</v>
      </c>
      <c r="C67" s="34" t="s">
        <v>35</v>
      </c>
      <c r="D67" s="65">
        <f>D66*0.1</f>
        <v>113.8</v>
      </c>
      <c r="E67" s="80">
        <v>18</v>
      </c>
      <c r="F67" s="65">
        <f t="shared" si="12"/>
        <v>2048.4</v>
      </c>
      <c r="G67" s="43" t="s">
        <v>36</v>
      </c>
      <c r="H67" s="39" t="s">
        <v>21</v>
      </c>
      <c r="I67" s="43" t="s">
        <v>37</v>
      </c>
      <c r="J67" s="87"/>
    </row>
    <row r="68" s="3" customFormat="1" ht="17.6" spans="1:10">
      <c r="A68" s="12">
        <v>3</v>
      </c>
      <c r="B68" s="20" t="s">
        <v>132</v>
      </c>
      <c r="C68" s="57"/>
      <c r="D68" s="18"/>
      <c r="E68" s="19"/>
      <c r="F68" s="18">
        <f>SUM(F69:F72)</f>
        <v>2958798.4</v>
      </c>
      <c r="G68" s="67"/>
      <c r="H68" s="67"/>
      <c r="I68" s="67"/>
      <c r="J68" s="21"/>
    </row>
    <row r="69" s="2" customFormat="1" ht="31" spans="1:10">
      <c r="A69" s="85" t="s">
        <v>110</v>
      </c>
      <c r="B69" s="86" t="s">
        <v>133</v>
      </c>
      <c r="C69" s="34" t="s">
        <v>19</v>
      </c>
      <c r="D69" s="65">
        <v>4828</v>
      </c>
      <c r="E69" s="80">
        <v>586</v>
      </c>
      <c r="F69" s="65">
        <f t="shared" ref="F69:F72" si="13">ROUND(D69*E69,2)</f>
        <v>2829208</v>
      </c>
      <c r="G69" s="42" t="s">
        <v>112</v>
      </c>
      <c r="H69" s="42" t="s">
        <v>134</v>
      </c>
      <c r="I69" s="42" t="s">
        <v>135</v>
      </c>
      <c r="J69" s="87" t="s">
        <v>130</v>
      </c>
    </row>
    <row r="70" s="2" customFormat="1" ht="31" spans="1:10">
      <c r="A70" s="88" t="s">
        <v>116</v>
      </c>
      <c r="B70" s="89" t="s">
        <v>136</v>
      </c>
      <c r="C70" s="34" t="s">
        <v>19</v>
      </c>
      <c r="D70" s="65">
        <v>310</v>
      </c>
      <c r="E70" s="80"/>
      <c r="F70" s="65">
        <f t="shared" si="13"/>
        <v>0</v>
      </c>
      <c r="G70" s="42" t="s">
        <v>112</v>
      </c>
      <c r="H70" s="42" t="s">
        <v>120</v>
      </c>
      <c r="I70" s="42" t="s">
        <v>121</v>
      </c>
      <c r="J70" s="87"/>
    </row>
    <row r="71" s="2" customFormat="1" ht="31" spans="1:10">
      <c r="A71" s="85" t="s">
        <v>126</v>
      </c>
      <c r="B71" s="86" t="s">
        <v>137</v>
      </c>
      <c r="C71" s="34" t="s">
        <v>19</v>
      </c>
      <c r="D71" s="65">
        <v>310</v>
      </c>
      <c r="E71" s="80">
        <v>390</v>
      </c>
      <c r="F71" s="65">
        <f t="shared" si="13"/>
        <v>120900</v>
      </c>
      <c r="G71" s="42" t="s">
        <v>112</v>
      </c>
      <c r="H71" s="42" t="s">
        <v>123</v>
      </c>
      <c r="I71" s="42" t="s">
        <v>138</v>
      </c>
      <c r="J71" s="87" t="s">
        <v>125</v>
      </c>
    </row>
    <row r="72" s="2" customFormat="1" ht="17.6" spans="1:10">
      <c r="A72" s="85" t="s">
        <v>131</v>
      </c>
      <c r="B72" s="86" t="s">
        <v>117</v>
      </c>
      <c r="C72" s="34" t="s">
        <v>35</v>
      </c>
      <c r="D72" s="65">
        <f>D69*0.1</f>
        <v>482.8</v>
      </c>
      <c r="E72" s="80">
        <v>18</v>
      </c>
      <c r="F72" s="65">
        <f t="shared" si="13"/>
        <v>8690.4</v>
      </c>
      <c r="G72" s="43" t="s">
        <v>36</v>
      </c>
      <c r="H72" s="39" t="s">
        <v>21</v>
      </c>
      <c r="I72" s="43" t="s">
        <v>37</v>
      </c>
      <c r="J72" s="87"/>
    </row>
    <row r="73" s="3" customFormat="1" ht="17.6" spans="1:10">
      <c r="A73" s="12">
        <v>4</v>
      </c>
      <c r="B73" s="20" t="s">
        <v>139</v>
      </c>
      <c r="C73" s="57"/>
      <c r="D73" s="18"/>
      <c r="E73" s="19"/>
      <c r="F73" s="18">
        <f>SUM(F74:F78)</f>
        <v>514860.4</v>
      </c>
      <c r="G73" s="67"/>
      <c r="H73" s="67"/>
      <c r="I73" s="67"/>
      <c r="J73" s="21"/>
    </row>
    <row r="74" s="2" customFormat="1" ht="31" spans="1:10">
      <c r="A74" s="85" t="s">
        <v>110</v>
      </c>
      <c r="B74" s="86" t="s">
        <v>140</v>
      </c>
      <c r="C74" s="34" t="s">
        <v>19</v>
      </c>
      <c r="D74" s="65">
        <v>328</v>
      </c>
      <c r="E74" s="80">
        <v>460</v>
      </c>
      <c r="F74" s="65">
        <f t="shared" ref="F74:F79" si="14">ROUND(D74*E74,2)</f>
        <v>150880</v>
      </c>
      <c r="G74" s="42" t="s">
        <v>112</v>
      </c>
      <c r="H74" s="42" t="s">
        <v>141</v>
      </c>
      <c r="I74" s="42" t="s">
        <v>142</v>
      </c>
      <c r="J74" s="87" t="s">
        <v>130</v>
      </c>
    </row>
    <row r="75" s="2" customFormat="1" ht="31" spans="1:10">
      <c r="A75" s="88" t="s">
        <v>116</v>
      </c>
      <c r="B75" s="89" t="s">
        <v>143</v>
      </c>
      <c r="C75" s="34" t="s">
        <v>19</v>
      </c>
      <c r="D75" s="65">
        <v>473</v>
      </c>
      <c r="E75" s="80"/>
      <c r="F75" s="65">
        <f t="shared" si="14"/>
        <v>0</v>
      </c>
      <c r="G75" s="42" t="s">
        <v>112</v>
      </c>
      <c r="H75" s="42" t="s">
        <v>120</v>
      </c>
      <c r="I75" s="42" t="s">
        <v>121</v>
      </c>
      <c r="J75" s="87"/>
    </row>
    <row r="76" s="2" customFormat="1" ht="46" spans="1:10">
      <c r="A76" s="85" t="s">
        <v>126</v>
      </c>
      <c r="B76" s="86" t="s">
        <v>144</v>
      </c>
      <c r="C76" s="34" t="s">
        <v>19</v>
      </c>
      <c r="D76" s="65">
        <v>473</v>
      </c>
      <c r="E76" s="80">
        <v>390</v>
      </c>
      <c r="F76" s="65">
        <f t="shared" si="14"/>
        <v>184470</v>
      </c>
      <c r="G76" s="42" t="s">
        <v>112</v>
      </c>
      <c r="H76" s="42" t="s">
        <v>145</v>
      </c>
      <c r="I76" s="42" t="s">
        <v>146</v>
      </c>
      <c r="J76" s="87" t="s">
        <v>147</v>
      </c>
    </row>
    <row r="77" s="2" customFormat="1" ht="17.6" spans="1:10">
      <c r="A77" s="85" t="s">
        <v>131</v>
      </c>
      <c r="B77" s="86" t="s">
        <v>148</v>
      </c>
      <c r="C77" s="34" t="s">
        <v>19</v>
      </c>
      <c r="D77" s="65">
        <v>497</v>
      </c>
      <c r="E77" s="80">
        <v>360</v>
      </c>
      <c r="F77" s="65">
        <f t="shared" si="14"/>
        <v>178920</v>
      </c>
      <c r="G77" s="42" t="s">
        <v>149</v>
      </c>
      <c r="H77" s="42" t="s">
        <v>120</v>
      </c>
      <c r="I77" s="42" t="s">
        <v>150</v>
      </c>
      <c r="J77" s="43" t="s">
        <v>151</v>
      </c>
    </row>
    <row r="78" s="2" customFormat="1" ht="17.6" spans="1:10">
      <c r="A78" s="85" t="s">
        <v>152</v>
      </c>
      <c r="B78" s="86" t="s">
        <v>117</v>
      </c>
      <c r="C78" s="34" t="s">
        <v>35</v>
      </c>
      <c r="D78" s="65">
        <f>D74*0.1</f>
        <v>32.8</v>
      </c>
      <c r="E78" s="80">
        <v>18</v>
      </c>
      <c r="F78" s="65">
        <f t="shared" si="14"/>
        <v>590.4</v>
      </c>
      <c r="G78" s="43" t="s">
        <v>36</v>
      </c>
      <c r="H78" s="39" t="s">
        <v>21</v>
      </c>
      <c r="I78" s="43" t="s">
        <v>37</v>
      </c>
      <c r="J78" s="87"/>
    </row>
    <row r="79" s="3" customFormat="1" ht="31" spans="1:10">
      <c r="A79" s="12">
        <v>5</v>
      </c>
      <c r="B79" s="20" t="s">
        <v>153</v>
      </c>
      <c r="C79" s="57" t="s">
        <v>102</v>
      </c>
      <c r="D79" s="18">
        <v>435</v>
      </c>
      <c r="E79" s="80">
        <v>240</v>
      </c>
      <c r="F79" s="18">
        <f t="shared" si="14"/>
        <v>104400</v>
      </c>
      <c r="G79" s="67" t="s">
        <v>78</v>
      </c>
      <c r="H79" s="67" t="s">
        <v>154</v>
      </c>
      <c r="I79" s="67" t="s">
        <v>155</v>
      </c>
      <c r="J79" s="21" t="s">
        <v>125</v>
      </c>
    </row>
    <row r="80" s="3" customFormat="1" ht="17.6" spans="1:10">
      <c r="A80" s="12" t="s">
        <v>38</v>
      </c>
      <c r="B80" s="20" t="s">
        <v>156</v>
      </c>
      <c r="C80" s="57"/>
      <c r="D80" s="18"/>
      <c r="E80" s="19"/>
      <c r="F80" s="18">
        <f>F81+F84+F87+F90</f>
        <v>280670</v>
      </c>
      <c r="G80" s="67"/>
      <c r="H80" s="67"/>
      <c r="I80" s="67"/>
      <c r="J80" s="21"/>
    </row>
    <row r="81" s="3" customFormat="1" ht="17.6" spans="1:10">
      <c r="A81" s="12">
        <v>1</v>
      </c>
      <c r="B81" s="20" t="s">
        <v>157</v>
      </c>
      <c r="C81" s="57"/>
      <c r="D81" s="18"/>
      <c r="E81" s="19"/>
      <c r="F81" s="18">
        <f>F82+F83</f>
        <v>184470</v>
      </c>
      <c r="G81" s="67"/>
      <c r="H81" s="67"/>
      <c r="I81" s="67"/>
      <c r="J81" s="21"/>
    </row>
    <row r="82" s="2" customFormat="1" ht="31" spans="1:10">
      <c r="A82" s="88" t="s">
        <v>110</v>
      </c>
      <c r="B82" s="89" t="s">
        <v>158</v>
      </c>
      <c r="C82" s="34" t="s">
        <v>19</v>
      </c>
      <c r="D82" s="65">
        <v>473</v>
      </c>
      <c r="E82" s="80"/>
      <c r="F82" s="65">
        <f t="shared" ref="F82:F86" si="15">ROUND(D82*E82,2)</f>
        <v>0</v>
      </c>
      <c r="G82" s="42" t="s">
        <v>112</v>
      </c>
      <c r="H82" s="42" t="s">
        <v>120</v>
      </c>
      <c r="I82" s="42" t="s">
        <v>121</v>
      </c>
      <c r="J82" s="87"/>
    </row>
    <row r="83" s="2" customFormat="1" ht="46" spans="1:10">
      <c r="A83" s="85" t="s">
        <v>116</v>
      </c>
      <c r="B83" s="86" t="s">
        <v>159</v>
      </c>
      <c r="C83" s="34" t="s">
        <v>19</v>
      </c>
      <c r="D83" s="65">
        <v>473</v>
      </c>
      <c r="E83" s="80">
        <v>390</v>
      </c>
      <c r="F83" s="65">
        <f t="shared" si="15"/>
        <v>184470</v>
      </c>
      <c r="G83" s="42" t="s">
        <v>112</v>
      </c>
      <c r="H83" s="42" t="s">
        <v>145</v>
      </c>
      <c r="I83" s="42" t="s">
        <v>160</v>
      </c>
      <c r="J83" s="87" t="s">
        <v>147</v>
      </c>
    </row>
    <row r="84" s="3" customFormat="1" ht="17.6" spans="1:10">
      <c r="A84" s="12">
        <v>2</v>
      </c>
      <c r="B84" s="20" t="s">
        <v>161</v>
      </c>
      <c r="C84" s="57"/>
      <c r="D84" s="18"/>
      <c r="E84" s="19"/>
      <c r="F84" s="18">
        <f>SUM(F85:F86)</f>
        <v>93990</v>
      </c>
      <c r="G84" s="67"/>
      <c r="H84" s="67"/>
      <c r="I84" s="67"/>
      <c r="J84" s="21"/>
    </row>
    <row r="85" s="2" customFormat="1" ht="31" spans="1:10">
      <c r="A85" s="88" t="s">
        <v>110</v>
      </c>
      <c r="B85" s="89" t="s">
        <v>162</v>
      </c>
      <c r="C85" s="34" t="s">
        <v>19</v>
      </c>
      <c r="D85" s="65">
        <v>241</v>
      </c>
      <c r="E85" s="80"/>
      <c r="F85" s="65">
        <f t="shared" si="15"/>
        <v>0</v>
      </c>
      <c r="G85" s="42" t="s">
        <v>112</v>
      </c>
      <c r="H85" s="42" t="s">
        <v>120</v>
      </c>
      <c r="I85" s="42" t="s">
        <v>121</v>
      </c>
      <c r="J85" s="87"/>
    </row>
    <row r="86" s="2" customFormat="1" ht="31" spans="1:10">
      <c r="A86" s="85" t="s">
        <v>116</v>
      </c>
      <c r="B86" s="86" t="s">
        <v>163</v>
      </c>
      <c r="C86" s="34" t="s">
        <v>19</v>
      </c>
      <c r="D86" s="65">
        <v>241</v>
      </c>
      <c r="E86" s="80">
        <v>390</v>
      </c>
      <c r="F86" s="65">
        <f t="shared" si="15"/>
        <v>93990</v>
      </c>
      <c r="G86" s="42" t="s">
        <v>112</v>
      </c>
      <c r="H86" s="42" t="s">
        <v>123</v>
      </c>
      <c r="I86" s="42" t="s">
        <v>164</v>
      </c>
      <c r="J86" s="40" t="s">
        <v>125</v>
      </c>
    </row>
    <row r="87" s="3" customFormat="1" ht="17.6" spans="1:10">
      <c r="A87" s="12">
        <v>3</v>
      </c>
      <c r="B87" s="20" t="s">
        <v>165</v>
      </c>
      <c r="C87" s="57"/>
      <c r="D87" s="18"/>
      <c r="E87" s="19"/>
      <c r="F87" s="18">
        <f>SUM(F88:F89)</f>
        <v>1170</v>
      </c>
      <c r="G87" s="67"/>
      <c r="H87" s="67"/>
      <c r="I87" s="67"/>
      <c r="J87" s="21"/>
    </row>
    <row r="88" s="2" customFormat="1" ht="31" spans="1:10">
      <c r="A88" s="88" t="s">
        <v>110</v>
      </c>
      <c r="B88" s="89" t="s">
        <v>166</v>
      </c>
      <c r="C88" s="34" t="s">
        <v>19</v>
      </c>
      <c r="D88" s="65">
        <v>3</v>
      </c>
      <c r="E88" s="80"/>
      <c r="F88" s="65">
        <f t="shared" ref="F88:F91" si="16">ROUND(D88*E88,2)</f>
        <v>0</v>
      </c>
      <c r="G88" s="42" t="s">
        <v>112</v>
      </c>
      <c r="H88" s="42" t="s">
        <v>120</v>
      </c>
      <c r="I88" s="42" t="s">
        <v>121</v>
      </c>
      <c r="J88" s="87"/>
    </row>
    <row r="89" s="2" customFormat="1" ht="31" spans="1:10">
      <c r="A89" s="85" t="s">
        <v>116</v>
      </c>
      <c r="B89" s="86" t="s">
        <v>167</v>
      </c>
      <c r="C89" s="34" t="s">
        <v>19</v>
      </c>
      <c r="D89" s="65">
        <v>3</v>
      </c>
      <c r="E89" s="80">
        <v>390</v>
      </c>
      <c r="F89" s="65">
        <f t="shared" si="16"/>
        <v>1170</v>
      </c>
      <c r="G89" s="42" t="s">
        <v>112</v>
      </c>
      <c r="H89" s="42" t="s">
        <v>123</v>
      </c>
      <c r="I89" s="40" t="s">
        <v>168</v>
      </c>
      <c r="J89" s="87" t="s">
        <v>125</v>
      </c>
    </row>
    <row r="90" s="3" customFormat="1" ht="17.6" spans="1:10">
      <c r="A90" s="12">
        <v>4</v>
      </c>
      <c r="B90" s="20" t="s">
        <v>169</v>
      </c>
      <c r="C90" s="57"/>
      <c r="D90" s="18"/>
      <c r="E90" s="19"/>
      <c r="F90" s="18">
        <f>SUM(F91:F91)</f>
        <v>1040</v>
      </c>
      <c r="G90" s="67"/>
      <c r="H90" s="67"/>
      <c r="I90" s="67"/>
      <c r="J90" s="21"/>
    </row>
    <row r="91" s="2" customFormat="1" ht="31" spans="1:10">
      <c r="A91" s="85" t="s">
        <v>110</v>
      </c>
      <c r="B91" s="86" t="s">
        <v>170</v>
      </c>
      <c r="C91" s="34" t="s">
        <v>19</v>
      </c>
      <c r="D91" s="65">
        <v>2</v>
      </c>
      <c r="E91" s="80">
        <v>520</v>
      </c>
      <c r="F91" s="65">
        <f t="shared" si="16"/>
        <v>1040</v>
      </c>
      <c r="G91" s="40" t="s">
        <v>112</v>
      </c>
      <c r="H91" s="42" t="s">
        <v>171</v>
      </c>
      <c r="I91" s="42" t="s">
        <v>172</v>
      </c>
      <c r="J91" s="87"/>
    </row>
    <row r="92" s="3" customFormat="1" ht="17.6" spans="1:10">
      <c r="A92" s="12" t="s">
        <v>44</v>
      </c>
      <c r="B92" s="20" t="s">
        <v>173</v>
      </c>
      <c r="C92" s="57" t="s">
        <v>102</v>
      </c>
      <c r="D92" s="18"/>
      <c r="E92" s="19"/>
      <c r="F92" s="18">
        <f>SUM(F93:F98)</f>
        <v>702841.4</v>
      </c>
      <c r="G92" s="67"/>
      <c r="H92" s="67"/>
      <c r="I92" s="67"/>
      <c r="J92" s="21"/>
    </row>
    <row r="93" s="2" customFormat="1" ht="17.6" spans="1:10">
      <c r="A93" s="12">
        <v>1</v>
      </c>
      <c r="B93" s="90" t="s">
        <v>174</v>
      </c>
      <c r="C93" s="34" t="s">
        <v>19</v>
      </c>
      <c r="D93" s="65">
        <v>595</v>
      </c>
      <c r="E93" s="80">
        <v>18</v>
      </c>
      <c r="F93" s="65">
        <f t="shared" ref="F93:F98" si="17">ROUND(D93*E93,2)</f>
        <v>10710</v>
      </c>
      <c r="G93" s="43" t="s">
        <v>175</v>
      </c>
      <c r="H93" s="39" t="s">
        <v>176</v>
      </c>
      <c r="I93" s="43" t="s">
        <v>177</v>
      </c>
      <c r="J93" s="87"/>
    </row>
    <row r="94" s="2" customFormat="1" ht="31" spans="1:10">
      <c r="A94" s="12">
        <v>2</v>
      </c>
      <c r="B94" s="90" t="s">
        <v>178</v>
      </c>
      <c r="C94" s="34" t="s">
        <v>19</v>
      </c>
      <c r="D94" s="65">
        <v>227.54</v>
      </c>
      <c r="E94" s="80">
        <v>420</v>
      </c>
      <c r="F94" s="65">
        <f t="shared" si="17"/>
        <v>95566.8</v>
      </c>
      <c r="G94" s="42" t="s">
        <v>179</v>
      </c>
      <c r="H94" s="42" t="s">
        <v>180</v>
      </c>
      <c r="I94" s="42" t="s">
        <v>181</v>
      </c>
      <c r="J94" s="87"/>
    </row>
    <row r="95" s="2" customFormat="1" ht="31" spans="1:10">
      <c r="A95" s="12">
        <v>3</v>
      </c>
      <c r="B95" s="90" t="s">
        <v>182</v>
      </c>
      <c r="C95" s="34" t="s">
        <v>19</v>
      </c>
      <c r="D95" s="65">
        <v>367</v>
      </c>
      <c r="E95" s="80">
        <v>12</v>
      </c>
      <c r="F95" s="65">
        <f t="shared" si="17"/>
        <v>4404</v>
      </c>
      <c r="G95" s="42" t="s">
        <v>183</v>
      </c>
      <c r="H95" s="42" t="s">
        <v>176</v>
      </c>
      <c r="I95" s="42" t="s">
        <v>184</v>
      </c>
      <c r="J95" s="87"/>
    </row>
    <row r="96" s="2" customFormat="1" ht="31" spans="1:10">
      <c r="A96" s="91">
        <v>4</v>
      </c>
      <c r="B96" s="92" t="s">
        <v>185</v>
      </c>
      <c r="C96" s="34" t="s">
        <v>19</v>
      </c>
      <c r="D96" s="65">
        <v>52.43</v>
      </c>
      <c r="E96" s="80"/>
      <c r="F96" s="65">
        <f t="shared" si="17"/>
        <v>0</v>
      </c>
      <c r="G96" s="42" t="s">
        <v>179</v>
      </c>
      <c r="H96" s="42" t="s">
        <v>120</v>
      </c>
      <c r="I96" s="42" t="s">
        <v>121</v>
      </c>
      <c r="J96" s="87"/>
    </row>
    <row r="97" s="2" customFormat="1" ht="31" spans="1:10">
      <c r="A97" s="12">
        <v>5</v>
      </c>
      <c r="B97" s="90" t="s">
        <v>186</v>
      </c>
      <c r="C97" s="34" t="s">
        <v>19</v>
      </c>
      <c r="D97" s="65">
        <v>52.43</v>
      </c>
      <c r="E97" s="80">
        <v>420</v>
      </c>
      <c r="F97" s="65">
        <f t="shared" si="17"/>
        <v>22020.6</v>
      </c>
      <c r="G97" s="42" t="s">
        <v>179</v>
      </c>
      <c r="H97" s="42" t="s">
        <v>187</v>
      </c>
      <c r="I97" s="42" t="s">
        <v>188</v>
      </c>
      <c r="J97" s="87"/>
    </row>
    <row r="98" s="2" customFormat="1" ht="46" spans="1:10">
      <c r="A98" s="12">
        <v>6</v>
      </c>
      <c r="B98" s="90" t="s">
        <v>189</v>
      </c>
      <c r="C98" s="34" t="s">
        <v>52</v>
      </c>
      <c r="D98" s="65">
        <v>9830</v>
      </c>
      <c r="E98" s="80">
        <v>58</v>
      </c>
      <c r="F98" s="65">
        <f t="shared" si="17"/>
        <v>570140</v>
      </c>
      <c r="G98" s="42" t="s">
        <v>190</v>
      </c>
      <c r="H98" s="42" t="s">
        <v>191</v>
      </c>
      <c r="I98" s="42" t="s">
        <v>192</v>
      </c>
      <c r="J98" s="87"/>
    </row>
    <row r="99" s="3" customFormat="1" ht="17.6" spans="1:10">
      <c r="A99" s="12" t="s">
        <v>50</v>
      </c>
      <c r="B99" s="20" t="s">
        <v>193</v>
      </c>
      <c r="C99" s="57"/>
      <c r="D99" s="18"/>
      <c r="E99" s="19"/>
      <c r="F99" s="18">
        <f>F100+F109+F116</f>
        <v>550776.4</v>
      </c>
      <c r="G99" s="31"/>
      <c r="H99" s="67"/>
      <c r="I99" s="67"/>
      <c r="J99" s="93"/>
    </row>
    <row r="100" s="3" customFormat="1" ht="17.6" spans="1:10">
      <c r="A100" s="12">
        <v>1</v>
      </c>
      <c r="B100" s="94" t="s">
        <v>194</v>
      </c>
      <c r="C100" s="57" t="s">
        <v>102</v>
      </c>
      <c r="D100" s="18"/>
      <c r="E100" s="19"/>
      <c r="F100" s="18">
        <f>SUM(F101:F108)</f>
        <v>190380.8</v>
      </c>
      <c r="G100" s="31"/>
      <c r="H100" s="67"/>
      <c r="I100" s="67"/>
      <c r="J100" s="93"/>
    </row>
    <row r="101" s="2" customFormat="1" ht="31" spans="1:10">
      <c r="A101" s="95" t="s">
        <v>110</v>
      </c>
      <c r="B101" s="96" t="s">
        <v>195</v>
      </c>
      <c r="C101" s="34" t="s">
        <v>19</v>
      </c>
      <c r="D101" s="65">
        <v>291.38</v>
      </c>
      <c r="E101" s="80"/>
      <c r="F101" s="65">
        <f t="shared" ref="F101:F108" si="18">ROUND(D101*E101,2)</f>
        <v>0</v>
      </c>
      <c r="G101" s="42" t="s">
        <v>112</v>
      </c>
      <c r="H101" s="42" t="s">
        <v>120</v>
      </c>
      <c r="I101" s="42" t="s">
        <v>121</v>
      </c>
      <c r="J101" s="87"/>
    </row>
    <row r="102" s="2" customFormat="1" ht="31" spans="1:10">
      <c r="A102" s="97" t="s">
        <v>116</v>
      </c>
      <c r="B102" s="86" t="s">
        <v>196</v>
      </c>
      <c r="C102" s="34" t="s">
        <v>19</v>
      </c>
      <c r="D102" s="65">
        <v>291.38</v>
      </c>
      <c r="E102" s="80">
        <v>420</v>
      </c>
      <c r="F102" s="65">
        <f t="shared" si="18"/>
        <v>122379.6</v>
      </c>
      <c r="G102" s="40" t="s">
        <v>112</v>
      </c>
      <c r="H102" s="42" t="s">
        <v>197</v>
      </c>
      <c r="I102" s="40" t="s">
        <v>198</v>
      </c>
      <c r="J102" s="43" t="s">
        <v>199</v>
      </c>
    </row>
    <row r="103" s="2" customFormat="1" ht="31" spans="1:10">
      <c r="A103" s="95" t="s">
        <v>126</v>
      </c>
      <c r="B103" s="96" t="s">
        <v>200</v>
      </c>
      <c r="C103" s="98" t="s">
        <v>19</v>
      </c>
      <c r="D103" s="52">
        <f>127.8+1</f>
        <v>128.8</v>
      </c>
      <c r="E103" s="80"/>
      <c r="F103" s="65">
        <f t="shared" si="18"/>
        <v>0</v>
      </c>
      <c r="G103" s="42" t="s">
        <v>112</v>
      </c>
      <c r="H103" s="42" t="s">
        <v>120</v>
      </c>
      <c r="I103" s="42" t="s">
        <v>121</v>
      </c>
      <c r="J103" s="87"/>
    </row>
    <row r="104" s="2" customFormat="1" ht="31" spans="1:10">
      <c r="A104" s="97" t="s">
        <v>131</v>
      </c>
      <c r="B104" s="99" t="s">
        <v>201</v>
      </c>
      <c r="C104" s="98" t="s">
        <v>19</v>
      </c>
      <c r="D104" s="52">
        <f>127.8+1</f>
        <v>128.8</v>
      </c>
      <c r="E104" s="80">
        <v>420</v>
      </c>
      <c r="F104" s="65">
        <f t="shared" si="18"/>
        <v>54096</v>
      </c>
      <c r="G104" s="42" t="s">
        <v>112</v>
      </c>
      <c r="H104" s="100" t="s">
        <v>202</v>
      </c>
      <c r="I104" s="100" t="s">
        <v>203</v>
      </c>
      <c r="J104" s="101" t="s">
        <v>125</v>
      </c>
    </row>
    <row r="105" s="2" customFormat="1" ht="31" spans="1:10">
      <c r="A105" s="97" t="s">
        <v>152</v>
      </c>
      <c r="B105" s="99" t="s">
        <v>204</v>
      </c>
      <c r="C105" s="34" t="s">
        <v>19</v>
      </c>
      <c r="D105" s="102">
        <v>476.3</v>
      </c>
      <c r="E105" s="80">
        <v>12</v>
      </c>
      <c r="F105" s="65">
        <f t="shared" si="18"/>
        <v>5715.6</v>
      </c>
      <c r="G105" s="40" t="s">
        <v>205</v>
      </c>
      <c r="H105" s="40" t="s">
        <v>206</v>
      </c>
      <c r="I105" s="40" t="s">
        <v>207</v>
      </c>
      <c r="J105" s="101"/>
    </row>
    <row r="106" s="2" customFormat="1" ht="31" spans="1:10">
      <c r="A106" s="97" t="s">
        <v>208</v>
      </c>
      <c r="B106" s="99" t="s">
        <v>209</v>
      </c>
      <c r="C106" s="34" t="s">
        <v>19</v>
      </c>
      <c r="D106" s="102">
        <v>114</v>
      </c>
      <c r="E106" s="80">
        <v>48</v>
      </c>
      <c r="F106" s="65">
        <f t="shared" si="18"/>
        <v>5472</v>
      </c>
      <c r="G106" s="40" t="s">
        <v>112</v>
      </c>
      <c r="H106" s="100" t="s">
        <v>128</v>
      </c>
      <c r="I106" s="100" t="s">
        <v>210</v>
      </c>
      <c r="J106" s="101"/>
    </row>
    <row r="107" s="2" customFormat="1" ht="31" spans="1:10">
      <c r="A107" s="97" t="s">
        <v>211</v>
      </c>
      <c r="B107" s="103" t="s">
        <v>212</v>
      </c>
      <c r="C107" s="34" t="s">
        <v>19</v>
      </c>
      <c r="D107" s="102">
        <v>5</v>
      </c>
      <c r="E107" s="80">
        <v>520</v>
      </c>
      <c r="F107" s="65">
        <f t="shared" si="18"/>
        <v>2600</v>
      </c>
      <c r="G107" s="40" t="s">
        <v>112</v>
      </c>
      <c r="H107" s="100" t="s">
        <v>128</v>
      </c>
      <c r="I107" s="100" t="s">
        <v>213</v>
      </c>
      <c r="J107" s="101"/>
    </row>
    <row r="108" s="2" customFormat="1" ht="31" spans="1:10">
      <c r="A108" s="97" t="s">
        <v>214</v>
      </c>
      <c r="B108" s="103" t="s">
        <v>215</v>
      </c>
      <c r="C108" s="34" t="s">
        <v>35</v>
      </c>
      <c r="D108" s="102">
        <v>0.098</v>
      </c>
      <c r="E108" s="80">
        <v>1200</v>
      </c>
      <c r="F108" s="65">
        <f t="shared" si="18"/>
        <v>117.6</v>
      </c>
      <c r="G108" s="42" t="s">
        <v>216</v>
      </c>
      <c r="H108" s="42" t="s">
        <v>217</v>
      </c>
      <c r="I108" s="42" t="s">
        <v>218</v>
      </c>
      <c r="J108" s="101"/>
    </row>
    <row r="109" s="3" customFormat="1" ht="17.6" spans="1:10">
      <c r="A109" s="10">
        <v>2</v>
      </c>
      <c r="B109" s="104" t="s">
        <v>219</v>
      </c>
      <c r="C109" s="57"/>
      <c r="D109" s="18"/>
      <c r="E109" s="19"/>
      <c r="F109" s="18">
        <f>SUM(F110:F115)</f>
        <v>26795.6</v>
      </c>
      <c r="G109" s="67"/>
      <c r="H109" s="67"/>
      <c r="I109" s="67"/>
      <c r="J109" s="21"/>
    </row>
    <row r="110" s="2" customFormat="1" ht="31" spans="1:10">
      <c r="A110" s="97" t="s">
        <v>110</v>
      </c>
      <c r="B110" s="90" t="s">
        <v>220</v>
      </c>
      <c r="C110" s="34" t="s">
        <v>19</v>
      </c>
      <c r="D110" s="65">
        <v>43</v>
      </c>
      <c r="E110" s="80">
        <v>28</v>
      </c>
      <c r="F110" s="65">
        <f t="shared" ref="F110:F115" si="19">ROUND(D110*E110,2)</f>
        <v>1204</v>
      </c>
      <c r="G110" s="40" t="s">
        <v>175</v>
      </c>
      <c r="H110" s="40" t="s">
        <v>176</v>
      </c>
      <c r="I110" s="40" t="s">
        <v>221</v>
      </c>
      <c r="J110" s="87"/>
    </row>
    <row r="111" s="2" customFormat="1" ht="31" spans="1:10">
      <c r="A111" s="97" t="s">
        <v>116</v>
      </c>
      <c r="B111" s="90" t="s">
        <v>222</v>
      </c>
      <c r="C111" s="34" t="s">
        <v>19</v>
      </c>
      <c r="D111" s="65">
        <v>9</v>
      </c>
      <c r="E111" s="80">
        <v>520</v>
      </c>
      <c r="F111" s="65">
        <f t="shared" si="19"/>
        <v>4680</v>
      </c>
      <c r="G111" s="40" t="s">
        <v>112</v>
      </c>
      <c r="H111" s="100" t="s">
        <v>128</v>
      </c>
      <c r="I111" s="100" t="s">
        <v>223</v>
      </c>
      <c r="J111" s="87"/>
    </row>
    <row r="112" s="2" customFormat="1" ht="31" spans="1:10">
      <c r="A112" s="97" t="s">
        <v>126</v>
      </c>
      <c r="B112" s="90" t="s">
        <v>224</v>
      </c>
      <c r="C112" s="34" t="s">
        <v>19</v>
      </c>
      <c r="D112" s="65">
        <v>25</v>
      </c>
      <c r="E112" s="80">
        <v>520</v>
      </c>
      <c r="F112" s="65">
        <f t="shared" si="19"/>
        <v>13000</v>
      </c>
      <c r="G112" s="40" t="s">
        <v>112</v>
      </c>
      <c r="H112" s="100" t="s">
        <v>225</v>
      </c>
      <c r="I112" s="100" t="s">
        <v>226</v>
      </c>
      <c r="J112" s="87" t="s">
        <v>227</v>
      </c>
    </row>
    <row r="113" s="2" customFormat="1" ht="31" spans="1:10">
      <c r="A113" s="97" t="s">
        <v>131</v>
      </c>
      <c r="B113" s="90" t="s">
        <v>228</v>
      </c>
      <c r="C113" s="34" t="s">
        <v>35</v>
      </c>
      <c r="D113" s="65">
        <v>4.493</v>
      </c>
      <c r="E113" s="80">
        <v>1200</v>
      </c>
      <c r="F113" s="65">
        <f t="shared" si="19"/>
        <v>5391.6</v>
      </c>
      <c r="G113" s="42" t="s">
        <v>216</v>
      </c>
      <c r="H113" s="42" t="s">
        <v>217</v>
      </c>
      <c r="I113" s="42" t="s">
        <v>229</v>
      </c>
      <c r="J113" s="87"/>
    </row>
    <row r="114" s="2" customFormat="1" ht="31" spans="1:10">
      <c r="A114" s="95" t="s">
        <v>152</v>
      </c>
      <c r="B114" s="92" t="s">
        <v>230</v>
      </c>
      <c r="C114" s="34" t="s">
        <v>19</v>
      </c>
      <c r="D114" s="65">
        <v>6</v>
      </c>
      <c r="E114" s="80"/>
      <c r="F114" s="65">
        <f t="shared" si="19"/>
        <v>0</v>
      </c>
      <c r="G114" s="42" t="s">
        <v>112</v>
      </c>
      <c r="H114" s="42" t="s">
        <v>120</v>
      </c>
      <c r="I114" s="42" t="s">
        <v>121</v>
      </c>
      <c r="J114" s="87"/>
    </row>
    <row r="115" s="2" customFormat="1" ht="31" spans="1:10">
      <c r="A115" s="97" t="s">
        <v>208</v>
      </c>
      <c r="B115" s="90" t="s">
        <v>231</v>
      </c>
      <c r="C115" s="34" t="s">
        <v>19</v>
      </c>
      <c r="D115" s="65">
        <v>6</v>
      </c>
      <c r="E115" s="80">
        <v>420</v>
      </c>
      <c r="F115" s="65">
        <f t="shared" si="19"/>
        <v>2520</v>
      </c>
      <c r="G115" s="42" t="s">
        <v>112</v>
      </c>
      <c r="H115" s="42" t="s">
        <v>232</v>
      </c>
      <c r="I115" s="42" t="s">
        <v>203</v>
      </c>
      <c r="J115" s="87" t="s">
        <v>125</v>
      </c>
    </row>
    <row r="116" s="3" customFormat="1" ht="17.6" spans="1:10">
      <c r="A116" s="12">
        <v>3</v>
      </c>
      <c r="B116" s="104" t="s">
        <v>233</v>
      </c>
      <c r="C116" s="57"/>
      <c r="D116" s="18"/>
      <c r="E116" s="19"/>
      <c r="F116" s="18">
        <f>SUM(F117:F119)</f>
        <v>333600</v>
      </c>
      <c r="G116" s="67"/>
      <c r="H116" s="67"/>
      <c r="I116" s="67"/>
      <c r="J116" s="21"/>
    </row>
    <row r="117" s="2" customFormat="1" ht="31" spans="1:10">
      <c r="A117" s="97" t="s">
        <v>110</v>
      </c>
      <c r="B117" s="90" t="s">
        <v>234</v>
      </c>
      <c r="C117" s="34" t="s">
        <v>235</v>
      </c>
      <c r="D117" s="65">
        <v>10</v>
      </c>
      <c r="E117" s="80">
        <v>18000</v>
      </c>
      <c r="F117" s="65">
        <f t="shared" ref="F117:F119" si="20">ROUND(D117*E117,2)</f>
        <v>180000</v>
      </c>
      <c r="G117" s="42" t="s">
        <v>236</v>
      </c>
      <c r="H117" s="42" t="s">
        <v>237</v>
      </c>
      <c r="I117" s="42" t="s">
        <v>238</v>
      </c>
      <c r="J117" s="87"/>
    </row>
    <row r="118" s="2" customFormat="1" ht="31" spans="1:10">
      <c r="A118" s="97" t="s">
        <v>116</v>
      </c>
      <c r="B118" s="90" t="s">
        <v>239</v>
      </c>
      <c r="C118" s="34" t="s">
        <v>102</v>
      </c>
      <c r="D118" s="65">
        <v>32</v>
      </c>
      <c r="E118" s="80">
        <v>880</v>
      </c>
      <c r="F118" s="65">
        <f t="shared" si="20"/>
        <v>28160</v>
      </c>
      <c r="G118" s="42" t="s">
        <v>240</v>
      </c>
      <c r="H118" s="42" t="s">
        <v>241</v>
      </c>
      <c r="I118" s="42" t="s">
        <v>242</v>
      </c>
      <c r="J118" s="87"/>
    </row>
    <row r="119" s="2" customFormat="1" ht="31" spans="1:10">
      <c r="A119" s="97" t="s">
        <v>126</v>
      </c>
      <c r="B119" s="90" t="s">
        <v>243</v>
      </c>
      <c r="C119" s="34" t="s">
        <v>102</v>
      </c>
      <c r="D119" s="65">
        <v>128</v>
      </c>
      <c r="E119" s="80">
        <v>980</v>
      </c>
      <c r="F119" s="65">
        <f t="shared" si="20"/>
        <v>125440</v>
      </c>
      <c r="G119" s="42" t="s">
        <v>244</v>
      </c>
      <c r="H119" s="42" t="s">
        <v>245</v>
      </c>
      <c r="I119" s="42" t="s">
        <v>242</v>
      </c>
      <c r="J119" s="87"/>
    </row>
    <row r="120" s="3" customFormat="1" ht="17.6" spans="1:10">
      <c r="A120" s="82" t="s">
        <v>55</v>
      </c>
      <c r="B120" s="105" t="s">
        <v>246</v>
      </c>
      <c r="C120" s="57"/>
      <c r="D120" s="18"/>
      <c r="E120" s="19"/>
      <c r="F120" s="18">
        <f>F121+F128</f>
        <v>1933695.2</v>
      </c>
      <c r="G120" s="67"/>
      <c r="H120" s="67"/>
      <c r="I120" s="67"/>
      <c r="J120" s="21"/>
    </row>
    <row r="121" s="3" customFormat="1" ht="17.6" spans="1:10">
      <c r="A121" s="12" t="s">
        <v>16</v>
      </c>
      <c r="B121" s="20" t="s">
        <v>108</v>
      </c>
      <c r="C121" s="57"/>
      <c r="D121" s="18"/>
      <c r="E121" s="19"/>
      <c r="F121" s="18">
        <f>F122</f>
        <v>1487042.8</v>
      </c>
      <c r="G121" s="67"/>
      <c r="H121" s="67"/>
      <c r="I121" s="67"/>
      <c r="J121" s="21"/>
    </row>
    <row r="122" s="3" customFormat="1" ht="17.6" spans="1:10">
      <c r="A122" s="12">
        <v>1</v>
      </c>
      <c r="B122" s="20" t="s">
        <v>139</v>
      </c>
      <c r="C122" s="57"/>
      <c r="D122" s="18"/>
      <c r="E122" s="19"/>
      <c r="F122" s="18">
        <f>SUM(F123:F127)</f>
        <v>1487042.8</v>
      </c>
      <c r="G122" s="67"/>
      <c r="H122" s="67"/>
      <c r="I122" s="67"/>
      <c r="J122" s="21"/>
    </row>
    <row r="123" s="2" customFormat="1" ht="31" spans="1:10">
      <c r="A123" s="85" t="s">
        <v>110</v>
      </c>
      <c r="B123" s="86" t="s">
        <v>140</v>
      </c>
      <c r="C123" s="34" t="s">
        <v>19</v>
      </c>
      <c r="D123" s="65">
        <v>1546</v>
      </c>
      <c r="E123" s="80">
        <v>520</v>
      </c>
      <c r="F123" s="65">
        <f t="shared" ref="F123:F127" si="21">ROUND(D123*E123,2)</f>
        <v>803920</v>
      </c>
      <c r="G123" s="42" t="s">
        <v>112</v>
      </c>
      <c r="H123" s="42" t="s">
        <v>141</v>
      </c>
      <c r="I123" s="42" t="s">
        <v>142</v>
      </c>
      <c r="J123" s="87" t="s">
        <v>130</v>
      </c>
    </row>
    <row r="124" s="2" customFormat="1" ht="31" spans="1:10">
      <c r="A124" s="88" t="s">
        <v>116</v>
      </c>
      <c r="B124" s="89" t="s">
        <v>143</v>
      </c>
      <c r="C124" s="34" t="s">
        <v>19</v>
      </c>
      <c r="D124" s="65">
        <v>910</v>
      </c>
      <c r="E124" s="80"/>
      <c r="F124" s="65">
        <f t="shared" si="21"/>
        <v>0</v>
      </c>
      <c r="G124" s="42" t="s">
        <v>112</v>
      </c>
      <c r="H124" s="42" t="s">
        <v>120</v>
      </c>
      <c r="I124" s="42" t="s">
        <v>121</v>
      </c>
      <c r="J124" s="87"/>
    </row>
    <row r="125" s="2" customFormat="1" ht="46" spans="1:10">
      <c r="A125" s="85" t="s">
        <v>126</v>
      </c>
      <c r="B125" s="86" t="s">
        <v>144</v>
      </c>
      <c r="C125" s="34" t="s">
        <v>19</v>
      </c>
      <c r="D125" s="65">
        <v>910</v>
      </c>
      <c r="E125" s="80">
        <v>390</v>
      </c>
      <c r="F125" s="65">
        <f t="shared" si="21"/>
        <v>354900</v>
      </c>
      <c r="G125" s="42" t="s">
        <v>112</v>
      </c>
      <c r="H125" s="42" t="s">
        <v>145</v>
      </c>
      <c r="I125" s="42" t="s">
        <v>146</v>
      </c>
      <c r="J125" s="87" t="s">
        <v>147</v>
      </c>
    </row>
    <row r="126" s="2" customFormat="1" ht="17.6" spans="1:10">
      <c r="A126" s="85" t="s">
        <v>131</v>
      </c>
      <c r="B126" s="86" t="s">
        <v>148</v>
      </c>
      <c r="C126" s="34" t="s">
        <v>19</v>
      </c>
      <c r="D126" s="65">
        <v>904</v>
      </c>
      <c r="E126" s="80">
        <v>360</v>
      </c>
      <c r="F126" s="65">
        <f t="shared" si="21"/>
        <v>325440</v>
      </c>
      <c r="G126" s="42" t="s">
        <v>149</v>
      </c>
      <c r="H126" s="42" t="s">
        <v>120</v>
      </c>
      <c r="I126" s="42" t="s">
        <v>150</v>
      </c>
      <c r="J126" s="43" t="s">
        <v>151</v>
      </c>
    </row>
    <row r="127" s="2" customFormat="1" ht="17.6" spans="1:10">
      <c r="A127" s="85" t="s">
        <v>152</v>
      </c>
      <c r="B127" s="86" t="s">
        <v>117</v>
      </c>
      <c r="C127" s="34" t="s">
        <v>35</v>
      </c>
      <c r="D127" s="65">
        <f>D123*0.1</f>
        <v>154.6</v>
      </c>
      <c r="E127" s="80">
        <v>18</v>
      </c>
      <c r="F127" s="65">
        <f t="shared" si="21"/>
        <v>2782.8</v>
      </c>
      <c r="G127" s="43" t="s">
        <v>36</v>
      </c>
      <c r="H127" s="39" t="s">
        <v>21</v>
      </c>
      <c r="I127" s="43" t="s">
        <v>37</v>
      </c>
      <c r="J127" s="87"/>
    </row>
    <row r="128" s="3" customFormat="1" ht="17.6" spans="1:10">
      <c r="A128" s="12" t="s">
        <v>38</v>
      </c>
      <c r="B128" s="20" t="s">
        <v>173</v>
      </c>
      <c r="C128" s="57" t="s">
        <v>102</v>
      </c>
      <c r="D128" s="18"/>
      <c r="E128" s="19"/>
      <c r="F128" s="18">
        <f>SUM(F129:F134)</f>
        <v>446652.4</v>
      </c>
      <c r="G128" s="67"/>
      <c r="H128" s="67"/>
      <c r="I128" s="67"/>
      <c r="J128" s="21"/>
    </row>
    <row r="129" s="2" customFormat="1" ht="17.6" spans="1:10">
      <c r="A129" s="12">
        <v>1</v>
      </c>
      <c r="B129" s="90" t="s">
        <v>174</v>
      </c>
      <c r="C129" s="34" t="s">
        <v>19</v>
      </c>
      <c r="D129" s="65">
        <v>378</v>
      </c>
      <c r="E129" s="80">
        <v>18</v>
      </c>
      <c r="F129" s="65">
        <f t="shared" ref="F129:F134" si="22">ROUND(D129*E129,2)</f>
        <v>6804</v>
      </c>
      <c r="G129" s="43" t="s">
        <v>175</v>
      </c>
      <c r="H129" s="39" t="s">
        <v>176</v>
      </c>
      <c r="I129" s="43" t="s">
        <v>177</v>
      </c>
      <c r="J129" s="87"/>
    </row>
    <row r="130" s="2" customFormat="1" ht="31" spans="1:10">
      <c r="A130" s="12">
        <v>2</v>
      </c>
      <c r="B130" s="90" t="s">
        <v>178</v>
      </c>
      <c r="C130" s="34" t="s">
        <v>19</v>
      </c>
      <c r="D130" s="65">
        <v>144.6</v>
      </c>
      <c r="E130" s="80">
        <v>420</v>
      </c>
      <c r="F130" s="65">
        <f t="shared" si="22"/>
        <v>60732</v>
      </c>
      <c r="G130" s="42" t="s">
        <v>179</v>
      </c>
      <c r="H130" s="42" t="s">
        <v>180</v>
      </c>
      <c r="I130" s="42" t="s">
        <v>247</v>
      </c>
      <c r="J130" s="87"/>
    </row>
    <row r="131" s="2" customFormat="1" ht="31" spans="1:10">
      <c r="A131" s="12">
        <v>3</v>
      </c>
      <c r="B131" s="90" t="s">
        <v>182</v>
      </c>
      <c r="C131" s="34" t="s">
        <v>19</v>
      </c>
      <c r="D131" s="65">
        <v>233</v>
      </c>
      <c r="E131" s="80">
        <v>12</v>
      </c>
      <c r="F131" s="65">
        <f t="shared" si="22"/>
        <v>2796</v>
      </c>
      <c r="G131" s="42" t="s">
        <v>183</v>
      </c>
      <c r="H131" s="42" t="s">
        <v>176</v>
      </c>
      <c r="I131" s="42" t="s">
        <v>184</v>
      </c>
      <c r="J131" s="87"/>
    </row>
    <row r="132" s="2" customFormat="1" ht="31" spans="1:10">
      <c r="A132" s="91">
        <v>4</v>
      </c>
      <c r="B132" s="92" t="s">
        <v>185</v>
      </c>
      <c r="C132" s="34" t="s">
        <v>19</v>
      </c>
      <c r="D132" s="65">
        <v>33.32</v>
      </c>
      <c r="E132" s="80"/>
      <c r="F132" s="65">
        <f t="shared" si="22"/>
        <v>0</v>
      </c>
      <c r="G132" s="42" t="s">
        <v>179</v>
      </c>
      <c r="H132" s="42" t="s">
        <v>120</v>
      </c>
      <c r="I132" s="42" t="s">
        <v>121</v>
      </c>
      <c r="J132" s="87"/>
    </row>
    <row r="133" s="2" customFormat="1" ht="31" spans="1:10">
      <c r="A133" s="12">
        <v>5</v>
      </c>
      <c r="B133" s="90" t="s">
        <v>186</v>
      </c>
      <c r="C133" s="34" t="s">
        <v>19</v>
      </c>
      <c r="D133" s="65">
        <v>33.32</v>
      </c>
      <c r="E133" s="80">
        <v>420</v>
      </c>
      <c r="F133" s="65">
        <f t="shared" si="22"/>
        <v>13994.4</v>
      </c>
      <c r="G133" s="42" t="s">
        <v>179</v>
      </c>
      <c r="H133" s="42" t="s">
        <v>187</v>
      </c>
      <c r="I133" s="42" t="s">
        <v>188</v>
      </c>
      <c r="J133" s="87"/>
    </row>
    <row r="134" s="2" customFormat="1" ht="46" spans="1:10">
      <c r="A134" s="12">
        <v>6</v>
      </c>
      <c r="B134" s="90" t="s">
        <v>189</v>
      </c>
      <c r="C134" s="34" t="s">
        <v>52</v>
      </c>
      <c r="D134" s="65">
        <v>6247</v>
      </c>
      <c r="E134" s="80">
        <v>58</v>
      </c>
      <c r="F134" s="65">
        <f t="shared" si="22"/>
        <v>362326</v>
      </c>
      <c r="G134" s="42" t="s">
        <v>190</v>
      </c>
      <c r="H134" s="42" t="s">
        <v>191</v>
      </c>
      <c r="I134" s="42" t="s">
        <v>248</v>
      </c>
      <c r="J134" s="87"/>
    </row>
    <row r="135" s="2" customFormat="1" ht="17.6" spans="1:10">
      <c r="A135" s="16" t="s">
        <v>249</v>
      </c>
      <c r="B135" s="17"/>
      <c r="C135" s="12"/>
      <c r="D135" s="18"/>
      <c r="E135" s="19"/>
      <c r="F135" s="18">
        <f>F136+F190</f>
        <v>7409676.4</v>
      </c>
      <c r="G135" s="20"/>
      <c r="H135" s="20"/>
      <c r="I135" s="20"/>
      <c r="J135" s="21"/>
    </row>
    <row r="136" s="3" customFormat="1" ht="17.6" spans="1:10">
      <c r="A136" s="82" t="s">
        <v>13</v>
      </c>
      <c r="B136" s="12" t="s">
        <v>107</v>
      </c>
      <c r="C136" s="83"/>
      <c r="D136" s="84"/>
      <c r="E136" s="19"/>
      <c r="F136" s="18">
        <f>F137+F152+F162+F169</f>
        <v>5015983.4</v>
      </c>
      <c r="G136" s="20"/>
      <c r="H136" s="20"/>
      <c r="I136" s="20"/>
      <c r="J136" s="21"/>
    </row>
    <row r="137" s="3" customFormat="1" ht="17.6" spans="1:10">
      <c r="A137" s="12" t="s">
        <v>16</v>
      </c>
      <c r="B137" s="20" t="s">
        <v>108</v>
      </c>
      <c r="C137" s="57"/>
      <c r="D137" s="18"/>
      <c r="E137" s="19"/>
      <c r="F137" s="18">
        <f>F138+F141+F146+F151</f>
        <v>3762183.4</v>
      </c>
      <c r="G137" s="67"/>
      <c r="H137" s="67"/>
      <c r="I137" s="67"/>
      <c r="J137" s="21"/>
    </row>
    <row r="138" s="3" customFormat="1" ht="17.6" spans="1:10">
      <c r="A138" s="12">
        <v>1</v>
      </c>
      <c r="B138" s="20" t="s">
        <v>109</v>
      </c>
      <c r="C138" s="57"/>
      <c r="D138" s="18"/>
      <c r="E138" s="19"/>
      <c r="F138" s="18">
        <f>SUM(F139:F140)</f>
        <v>518838.4</v>
      </c>
      <c r="G138" s="67"/>
      <c r="H138" s="67"/>
      <c r="I138" s="67"/>
      <c r="J138" s="21"/>
    </row>
    <row r="139" s="2" customFormat="1" ht="31" spans="1:10">
      <c r="A139" s="85" t="s">
        <v>110</v>
      </c>
      <c r="B139" s="86" t="s">
        <v>111</v>
      </c>
      <c r="C139" s="34" t="s">
        <v>19</v>
      </c>
      <c r="D139" s="65">
        <v>1124</v>
      </c>
      <c r="E139" s="80">
        <v>458</v>
      </c>
      <c r="F139" s="65">
        <f t="shared" ref="F139:F145" si="23">ROUND(D139*E139,2)</f>
        <v>514792</v>
      </c>
      <c r="G139" s="42" t="s">
        <v>112</v>
      </c>
      <c r="H139" s="42" t="s">
        <v>113</v>
      </c>
      <c r="I139" s="42" t="s">
        <v>114</v>
      </c>
      <c r="J139" s="87" t="s">
        <v>115</v>
      </c>
    </row>
    <row r="140" s="2" customFormat="1" ht="17.6" spans="1:10">
      <c r="A140" s="85" t="s">
        <v>116</v>
      </c>
      <c r="B140" s="86" t="s">
        <v>117</v>
      </c>
      <c r="C140" s="34" t="s">
        <v>35</v>
      </c>
      <c r="D140" s="65">
        <f>D139*0.2</f>
        <v>224.8</v>
      </c>
      <c r="E140" s="80">
        <v>18</v>
      </c>
      <c r="F140" s="65">
        <f t="shared" si="23"/>
        <v>4046.4</v>
      </c>
      <c r="G140" s="43" t="s">
        <v>36</v>
      </c>
      <c r="H140" s="39" t="s">
        <v>21</v>
      </c>
      <c r="I140" s="43" t="s">
        <v>37</v>
      </c>
      <c r="J140" s="87"/>
    </row>
    <row r="141" s="3" customFormat="1" ht="17.6" spans="1:10">
      <c r="A141" s="12">
        <v>2</v>
      </c>
      <c r="B141" s="20" t="s">
        <v>118</v>
      </c>
      <c r="C141" s="57"/>
      <c r="D141" s="18"/>
      <c r="E141" s="19"/>
      <c r="F141" s="18">
        <f>SUM(F142:F145)</f>
        <v>228361.8</v>
      </c>
      <c r="G141" s="67"/>
      <c r="H141" s="67"/>
      <c r="I141" s="67"/>
      <c r="J141" s="21"/>
    </row>
    <row r="142" s="2" customFormat="1" ht="31" spans="1:10">
      <c r="A142" s="88" t="s">
        <v>110</v>
      </c>
      <c r="B142" s="89" t="s">
        <v>119</v>
      </c>
      <c r="C142" s="34" t="s">
        <v>19</v>
      </c>
      <c r="D142" s="65">
        <v>32</v>
      </c>
      <c r="E142" s="80"/>
      <c r="F142" s="65">
        <f t="shared" si="23"/>
        <v>0</v>
      </c>
      <c r="G142" s="42" t="s">
        <v>112</v>
      </c>
      <c r="H142" s="42" t="s">
        <v>120</v>
      </c>
      <c r="I142" s="42" t="s">
        <v>121</v>
      </c>
      <c r="J142" s="87"/>
    </row>
    <row r="143" s="2" customFormat="1" ht="31" spans="1:10">
      <c r="A143" s="85" t="s">
        <v>116</v>
      </c>
      <c r="B143" s="86" t="s">
        <v>122</v>
      </c>
      <c r="C143" s="34" t="s">
        <v>19</v>
      </c>
      <c r="D143" s="65">
        <v>32</v>
      </c>
      <c r="E143" s="80">
        <v>390</v>
      </c>
      <c r="F143" s="65">
        <f t="shared" si="23"/>
        <v>12480</v>
      </c>
      <c r="G143" s="42" t="s">
        <v>112</v>
      </c>
      <c r="H143" s="42" t="s">
        <v>123</v>
      </c>
      <c r="I143" s="42" t="s">
        <v>124</v>
      </c>
      <c r="J143" s="87" t="s">
        <v>125</v>
      </c>
    </row>
    <row r="144" s="2" customFormat="1" ht="31" spans="1:10">
      <c r="A144" s="85" t="s">
        <v>126</v>
      </c>
      <c r="B144" s="86" t="s">
        <v>127</v>
      </c>
      <c r="C144" s="34" t="s">
        <v>19</v>
      </c>
      <c r="D144" s="65">
        <v>551</v>
      </c>
      <c r="E144" s="80">
        <v>390</v>
      </c>
      <c r="F144" s="65">
        <f t="shared" si="23"/>
        <v>214890</v>
      </c>
      <c r="G144" s="42" t="s">
        <v>112</v>
      </c>
      <c r="H144" s="42" t="s">
        <v>128</v>
      </c>
      <c r="I144" s="42" t="s">
        <v>129</v>
      </c>
      <c r="J144" s="87" t="s">
        <v>130</v>
      </c>
    </row>
    <row r="145" s="2" customFormat="1" ht="17.6" spans="1:10">
      <c r="A145" s="85" t="s">
        <v>131</v>
      </c>
      <c r="B145" s="86" t="s">
        <v>117</v>
      </c>
      <c r="C145" s="34" t="s">
        <v>35</v>
      </c>
      <c r="D145" s="65">
        <f>D144*0.1</f>
        <v>55.1</v>
      </c>
      <c r="E145" s="80">
        <v>18</v>
      </c>
      <c r="F145" s="65">
        <f t="shared" si="23"/>
        <v>991.8</v>
      </c>
      <c r="G145" s="43" t="s">
        <v>36</v>
      </c>
      <c r="H145" s="39" t="s">
        <v>21</v>
      </c>
      <c r="I145" s="43" t="s">
        <v>37</v>
      </c>
      <c r="J145" s="87"/>
    </row>
    <row r="146" s="3" customFormat="1" ht="17.6" spans="1:10">
      <c r="A146" s="12">
        <v>3</v>
      </c>
      <c r="B146" s="20" t="s">
        <v>132</v>
      </c>
      <c r="C146" s="57"/>
      <c r="D146" s="18"/>
      <c r="E146" s="19"/>
      <c r="F146" s="18">
        <f>SUM(F147:F150)</f>
        <v>2922823.2</v>
      </c>
      <c r="G146" s="67"/>
      <c r="H146" s="67"/>
      <c r="I146" s="67"/>
      <c r="J146" s="21"/>
    </row>
    <row r="147" s="2" customFormat="1" ht="31" spans="1:10">
      <c r="A147" s="85" t="s">
        <v>110</v>
      </c>
      <c r="B147" s="86" t="s">
        <v>133</v>
      </c>
      <c r="C147" s="34" t="s">
        <v>19</v>
      </c>
      <c r="D147" s="65">
        <v>4794</v>
      </c>
      <c r="E147" s="80">
        <v>586</v>
      </c>
      <c r="F147" s="65">
        <f t="shared" ref="F147:F151" si="24">ROUND(D147*E147,2)</f>
        <v>2809284</v>
      </c>
      <c r="G147" s="42" t="s">
        <v>112</v>
      </c>
      <c r="H147" s="42" t="s">
        <v>134</v>
      </c>
      <c r="I147" s="42" t="s">
        <v>135</v>
      </c>
      <c r="J147" s="87" t="s">
        <v>130</v>
      </c>
    </row>
    <row r="148" s="2" customFormat="1" ht="31" spans="1:10">
      <c r="A148" s="88" t="s">
        <v>116</v>
      </c>
      <c r="B148" s="89" t="s">
        <v>136</v>
      </c>
      <c r="C148" s="34" t="s">
        <v>19</v>
      </c>
      <c r="D148" s="65">
        <v>269</v>
      </c>
      <c r="E148" s="80"/>
      <c r="F148" s="65">
        <f t="shared" si="24"/>
        <v>0</v>
      </c>
      <c r="G148" s="42" t="s">
        <v>112</v>
      </c>
      <c r="H148" s="42" t="s">
        <v>120</v>
      </c>
      <c r="I148" s="42" t="s">
        <v>121</v>
      </c>
      <c r="J148" s="87"/>
    </row>
    <row r="149" s="2" customFormat="1" ht="31" spans="1:10">
      <c r="A149" s="85" t="s">
        <v>126</v>
      </c>
      <c r="B149" s="86" t="s">
        <v>137</v>
      </c>
      <c r="C149" s="34" t="s">
        <v>19</v>
      </c>
      <c r="D149" s="65">
        <v>269</v>
      </c>
      <c r="E149" s="80">
        <v>390</v>
      </c>
      <c r="F149" s="65">
        <f t="shared" si="24"/>
        <v>104910</v>
      </c>
      <c r="G149" s="42" t="s">
        <v>112</v>
      </c>
      <c r="H149" s="42" t="s">
        <v>123</v>
      </c>
      <c r="I149" s="42" t="s">
        <v>138</v>
      </c>
      <c r="J149" s="87" t="s">
        <v>125</v>
      </c>
    </row>
    <row r="150" s="2" customFormat="1" ht="17.6" spans="1:10">
      <c r="A150" s="85" t="s">
        <v>131</v>
      </c>
      <c r="B150" s="86" t="s">
        <v>117</v>
      </c>
      <c r="C150" s="34" t="s">
        <v>35</v>
      </c>
      <c r="D150" s="65">
        <f>D147*0.1</f>
        <v>479.4</v>
      </c>
      <c r="E150" s="80">
        <v>18</v>
      </c>
      <c r="F150" s="65">
        <f t="shared" si="24"/>
        <v>8629.2</v>
      </c>
      <c r="G150" s="43" t="s">
        <v>36</v>
      </c>
      <c r="H150" s="39" t="s">
        <v>21</v>
      </c>
      <c r="I150" s="43" t="s">
        <v>37</v>
      </c>
      <c r="J150" s="87"/>
    </row>
    <row r="151" s="3" customFormat="1" ht="31" spans="1:10">
      <c r="A151" s="12">
        <v>4</v>
      </c>
      <c r="B151" s="20" t="s">
        <v>153</v>
      </c>
      <c r="C151" s="57" t="s">
        <v>102</v>
      </c>
      <c r="D151" s="18">
        <v>384</v>
      </c>
      <c r="E151" s="80">
        <v>240</v>
      </c>
      <c r="F151" s="18">
        <f t="shared" si="24"/>
        <v>92160</v>
      </c>
      <c r="G151" s="67" t="s">
        <v>78</v>
      </c>
      <c r="H151" s="67" t="s">
        <v>154</v>
      </c>
      <c r="I151" s="67" t="s">
        <v>155</v>
      </c>
      <c r="J151" s="21" t="s">
        <v>125</v>
      </c>
    </row>
    <row r="152" s="3" customFormat="1" ht="17.6" spans="1:10">
      <c r="A152" s="12" t="s">
        <v>38</v>
      </c>
      <c r="B152" s="20" t="s">
        <v>156</v>
      </c>
      <c r="C152" s="57"/>
      <c r="D152" s="18"/>
      <c r="E152" s="19"/>
      <c r="F152" s="18">
        <f>F153+F155+F157+F160</f>
        <v>319980</v>
      </c>
      <c r="G152" s="67"/>
      <c r="H152" s="67"/>
      <c r="I152" s="67"/>
      <c r="J152" s="21"/>
    </row>
    <row r="153" s="3" customFormat="1" ht="17.6" spans="1:10">
      <c r="A153" s="12">
        <v>1</v>
      </c>
      <c r="B153" s="20" t="s">
        <v>157</v>
      </c>
      <c r="C153" s="57"/>
      <c r="D153" s="18"/>
      <c r="E153" s="19"/>
      <c r="F153" s="18">
        <f>F154</f>
        <v>175180</v>
      </c>
      <c r="G153" s="67"/>
      <c r="H153" s="67"/>
      <c r="I153" s="67"/>
      <c r="J153" s="21"/>
    </row>
    <row r="154" s="2" customFormat="1" ht="31" spans="1:10">
      <c r="A154" s="85" t="s">
        <v>110</v>
      </c>
      <c r="B154" s="106" t="s">
        <v>250</v>
      </c>
      <c r="C154" s="34" t="s">
        <v>19</v>
      </c>
      <c r="D154" s="65">
        <v>461</v>
      </c>
      <c r="E154" s="80">
        <v>380</v>
      </c>
      <c r="F154" s="65">
        <f t="shared" ref="F154:F159" si="25">ROUND(D154*E154,2)</f>
        <v>175180</v>
      </c>
      <c r="G154" s="43" t="s">
        <v>112</v>
      </c>
      <c r="H154" s="43" t="s">
        <v>251</v>
      </c>
      <c r="I154" s="107" t="s">
        <v>252</v>
      </c>
      <c r="J154" s="87"/>
    </row>
    <row r="155" s="3" customFormat="1" ht="17.6" spans="1:10">
      <c r="A155" s="12">
        <v>2</v>
      </c>
      <c r="B155" s="20" t="s">
        <v>161</v>
      </c>
      <c r="C155" s="57"/>
      <c r="D155" s="18"/>
      <c r="E155" s="19"/>
      <c r="F155" s="18">
        <f>SUM(F156:F156)</f>
        <v>144020</v>
      </c>
      <c r="G155" s="67"/>
      <c r="H155" s="67"/>
      <c r="I155" s="67"/>
      <c r="J155" s="21"/>
    </row>
    <row r="156" s="2" customFormat="1" ht="31" spans="1:10">
      <c r="A156" s="85" t="s">
        <v>110</v>
      </c>
      <c r="B156" s="106" t="s">
        <v>250</v>
      </c>
      <c r="C156" s="34" t="s">
        <v>19</v>
      </c>
      <c r="D156" s="65">
        <v>379</v>
      </c>
      <c r="E156" s="80">
        <v>380</v>
      </c>
      <c r="F156" s="65">
        <f t="shared" si="25"/>
        <v>144020</v>
      </c>
      <c r="G156" s="43" t="s">
        <v>112</v>
      </c>
      <c r="H156" s="43" t="s">
        <v>253</v>
      </c>
      <c r="I156" s="107" t="s">
        <v>254</v>
      </c>
      <c r="J156" s="87"/>
    </row>
    <row r="157" s="3" customFormat="1" ht="17.6" spans="1:10">
      <c r="A157" s="12">
        <v>3</v>
      </c>
      <c r="B157" s="20" t="s">
        <v>165</v>
      </c>
      <c r="C157" s="57"/>
      <c r="D157" s="18"/>
      <c r="E157" s="19"/>
      <c r="F157" s="18">
        <f>SUM(F158:F159)</f>
        <v>780</v>
      </c>
      <c r="G157" s="67"/>
      <c r="H157" s="67"/>
      <c r="I157" s="67"/>
      <c r="J157" s="21"/>
    </row>
    <row r="158" s="2" customFormat="1" ht="31" spans="1:10">
      <c r="A158" s="88" t="s">
        <v>110</v>
      </c>
      <c r="B158" s="89" t="s">
        <v>166</v>
      </c>
      <c r="C158" s="34" t="s">
        <v>19</v>
      </c>
      <c r="D158" s="65">
        <v>2</v>
      </c>
      <c r="E158" s="80"/>
      <c r="F158" s="65">
        <f t="shared" si="25"/>
        <v>0</v>
      </c>
      <c r="G158" s="42" t="s">
        <v>112</v>
      </c>
      <c r="H158" s="42" t="s">
        <v>120</v>
      </c>
      <c r="I158" s="42" t="s">
        <v>121</v>
      </c>
      <c r="J158" s="87"/>
    </row>
    <row r="159" s="2" customFormat="1" ht="31" spans="1:10">
      <c r="A159" s="85" t="s">
        <v>116</v>
      </c>
      <c r="B159" s="86" t="s">
        <v>167</v>
      </c>
      <c r="C159" s="34" t="s">
        <v>19</v>
      </c>
      <c r="D159" s="65">
        <v>2</v>
      </c>
      <c r="E159" s="80">
        <v>390</v>
      </c>
      <c r="F159" s="65">
        <f t="shared" si="25"/>
        <v>780</v>
      </c>
      <c r="G159" s="42" t="s">
        <v>112</v>
      </c>
      <c r="H159" s="42" t="s">
        <v>123</v>
      </c>
      <c r="I159" s="40" t="s">
        <v>168</v>
      </c>
      <c r="J159" s="87" t="s">
        <v>125</v>
      </c>
    </row>
    <row r="160" s="3" customFormat="1" ht="17.6" spans="1:10">
      <c r="A160" s="12">
        <v>4</v>
      </c>
      <c r="B160" s="20" t="s">
        <v>169</v>
      </c>
      <c r="C160" s="57"/>
      <c r="D160" s="18"/>
      <c r="E160" s="19"/>
      <c r="F160" s="18">
        <f>SUM(F161:F161)</f>
        <v>0</v>
      </c>
      <c r="G160" s="67"/>
      <c r="H160" s="67"/>
      <c r="I160" s="67"/>
      <c r="J160" s="21"/>
    </row>
    <row r="161" s="2" customFormat="1" ht="31" spans="1:10">
      <c r="A161" s="85" t="s">
        <v>110</v>
      </c>
      <c r="B161" s="86" t="s">
        <v>170</v>
      </c>
      <c r="C161" s="34" t="s">
        <v>19</v>
      </c>
      <c r="D161" s="65"/>
      <c r="E161" s="80"/>
      <c r="F161" s="65">
        <f t="shared" ref="F161:F168" si="26">ROUND(D161*E161,2)</f>
        <v>0</v>
      </c>
      <c r="G161" s="40" t="s">
        <v>112</v>
      </c>
      <c r="H161" s="42" t="s">
        <v>171</v>
      </c>
      <c r="I161" s="42" t="s">
        <v>172</v>
      </c>
      <c r="J161" s="87"/>
    </row>
    <row r="162" s="3" customFormat="1" ht="17.6" spans="1:10">
      <c r="A162" s="12" t="s">
        <v>44</v>
      </c>
      <c r="B162" s="20" t="s">
        <v>173</v>
      </c>
      <c r="C162" s="57" t="s">
        <v>102</v>
      </c>
      <c r="D162" s="18"/>
      <c r="E162" s="19"/>
      <c r="F162" s="18">
        <f>SUM(F163:F168)</f>
        <v>467750.6</v>
      </c>
      <c r="G162" s="67"/>
      <c r="H162" s="67"/>
      <c r="I162" s="67"/>
      <c r="J162" s="21"/>
    </row>
    <row r="163" s="2" customFormat="1" ht="17.6" spans="1:10">
      <c r="A163" s="12">
        <v>1</v>
      </c>
      <c r="B163" s="90" t="s">
        <v>174</v>
      </c>
      <c r="C163" s="34" t="s">
        <v>19</v>
      </c>
      <c r="D163" s="65">
        <v>396</v>
      </c>
      <c r="E163" s="80">
        <v>18</v>
      </c>
      <c r="F163" s="65">
        <f t="shared" si="26"/>
        <v>7128</v>
      </c>
      <c r="G163" s="43" t="s">
        <v>175</v>
      </c>
      <c r="H163" s="39" t="s">
        <v>176</v>
      </c>
      <c r="I163" s="43" t="s">
        <v>177</v>
      </c>
      <c r="J163" s="87"/>
    </row>
    <row r="164" s="2" customFormat="1" ht="31" spans="1:10">
      <c r="A164" s="12">
        <v>2</v>
      </c>
      <c r="B164" s="90" t="s">
        <v>178</v>
      </c>
      <c r="C164" s="34" t="s">
        <v>19</v>
      </c>
      <c r="D164" s="65">
        <v>151.44</v>
      </c>
      <c r="E164" s="80">
        <v>420</v>
      </c>
      <c r="F164" s="65">
        <f t="shared" si="26"/>
        <v>63604.8</v>
      </c>
      <c r="G164" s="42" t="s">
        <v>179</v>
      </c>
      <c r="H164" s="42" t="s">
        <v>180</v>
      </c>
      <c r="I164" s="42" t="s">
        <v>181</v>
      </c>
      <c r="J164" s="87"/>
    </row>
    <row r="165" s="2" customFormat="1" ht="31" spans="1:10">
      <c r="A165" s="12">
        <v>3</v>
      </c>
      <c r="B165" s="90" t="s">
        <v>182</v>
      </c>
      <c r="C165" s="34" t="s">
        <v>19</v>
      </c>
      <c r="D165" s="65">
        <v>244</v>
      </c>
      <c r="E165" s="80">
        <v>12</v>
      </c>
      <c r="F165" s="65">
        <f t="shared" si="26"/>
        <v>2928</v>
      </c>
      <c r="G165" s="42" t="s">
        <v>183</v>
      </c>
      <c r="H165" s="42" t="s">
        <v>176</v>
      </c>
      <c r="I165" s="42" t="s">
        <v>184</v>
      </c>
      <c r="J165" s="87"/>
    </row>
    <row r="166" s="2" customFormat="1" ht="31" spans="1:10">
      <c r="A166" s="91">
        <v>4</v>
      </c>
      <c r="B166" s="92" t="s">
        <v>185</v>
      </c>
      <c r="C166" s="34" t="s">
        <v>19</v>
      </c>
      <c r="D166" s="65">
        <v>34.89</v>
      </c>
      <c r="E166" s="80"/>
      <c r="F166" s="65">
        <f t="shared" si="26"/>
        <v>0</v>
      </c>
      <c r="G166" s="42" t="s">
        <v>179</v>
      </c>
      <c r="H166" s="42" t="s">
        <v>120</v>
      </c>
      <c r="I166" s="42" t="s">
        <v>121</v>
      </c>
      <c r="J166" s="87"/>
    </row>
    <row r="167" s="2" customFormat="1" ht="31" spans="1:10">
      <c r="A167" s="12">
        <v>5</v>
      </c>
      <c r="B167" s="90" t="s">
        <v>186</v>
      </c>
      <c r="C167" s="34" t="s">
        <v>19</v>
      </c>
      <c r="D167" s="65">
        <v>34.89</v>
      </c>
      <c r="E167" s="80">
        <v>420</v>
      </c>
      <c r="F167" s="65">
        <f t="shared" si="26"/>
        <v>14653.8</v>
      </c>
      <c r="G167" s="42" t="s">
        <v>179</v>
      </c>
      <c r="H167" s="42" t="s">
        <v>187</v>
      </c>
      <c r="I167" s="42" t="s">
        <v>188</v>
      </c>
      <c r="J167" s="87"/>
    </row>
    <row r="168" s="2" customFormat="1" ht="46" spans="1:10">
      <c r="A168" s="12">
        <v>6</v>
      </c>
      <c r="B168" s="90" t="s">
        <v>189</v>
      </c>
      <c r="C168" s="34" t="s">
        <v>52</v>
      </c>
      <c r="D168" s="65">
        <v>6542</v>
      </c>
      <c r="E168" s="80">
        <v>58</v>
      </c>
      <c r="F168" s="65">
        <f t="shared" si="26"/>
        <v>379436</v>
      </c>
      <c r="G168" s="42" t="s">
        <v>190</v>
      </c>
      <c r="H168" s="42" t="s">
        <v>191</v>
      </c>
      <c r="I168" s="42" t="s">
        <v>192</v>
      </c>
      <c r="J168" s="87"/>
    </row>
    <row r="169" s="3" customFormat="1" ht="17.6" spans="1:10">
      <c r="A169" s="12" t="s">
        <v>50</v>
      </c>
      <c r="B169" s="20" t="s">
        <v>193</v>
      </c>
      <c r="C169" s="57"/>
      <c r="D169" s="18"/>
      <c r="E169" s="19"/>
      <c r="F169" s="18">
        <f>F170+F179+F186</f>
        <v>466069.4</v>
      </c>
      <c r="G169" s="31"/>
      <c r="H169" s="67"/>
      <c r="I169" s="67"/>
      <c r="J169" s="93"/>
    </row>
    <row r="170" s="3" customFormat="1" ht="17.6" spans="1:10">
      <c r="A170" s="12">
        <v>1</v>
      </c>
      <c r="B170" s="94" t="s">
        <v>194</v>
      </c>
      <c r="C170" s="57" t="s">
        <v>102</v>
      </c>
      <c r="D170" s="18"/>
      <c r="E170" s="19"/>
      <c r="F170" s="18">
        <f>SUM(F171:F178)</f>
        <v>123370.6</v>
      </c>
      <c r="G170" s="31"/>
      <c r="H170" s="67"/>
      <c r="I170" s="67"/>
      <c r="J170" s="93"/>
    </row>
    <row r="171" s="2" customFormat="1" ht="31" spans="1:10">
      <c r="A171" s="95" t="s">
        <v>110</v>
      </c>
      <c r="B171" s="96" t="s">
        <v>195</v>
      </c>
      <c r="C171" s="34" t="s">
        <v>19</v>
      </c>
      <c r="D171" s="65">
        <v>193.9</v>
      </c>
      <c r="E171" s="80"/>
      <c r="F171" s="65">
        <f t="shared" ref="F171:F178" si="27">ROUND(D171*E171,2)</f>
        <v>0</v>
      </c>
      <c r="G171" s="42" t="s">
        <v>112</v>
      </c>
      <c r="H171" s="42" t="s">
        <v>120</v>
      </c>
      <c r="I171" s="42" t="s">
        <v>121</v>
      </c>
      <c r="J171" s="87"/>
    </row>
    <row r="172" s="2" customFormat="1" ht="31" spans="1:10">
      <c r="A172" s="97" t="s">
        <v>116</v>
      </c>
      <c r="B172" s="86" t="s">
        <v>196</v>
      </c>
      <c r="C172" s="34" t="s">
        <v>19</v>
      </c>
      <c r="D172" s="65">
        <v>193.9</v>
      </c>
      <c r="E172" s="80">
        <v>390</v>
      </c>
      <c r="F172" s="65">
        <f t="shared" si="27"/>
        <v>75621</v>
      </c>
      <c r="G172" s="40" t="s">
        <v>112</v>
      </c>
      <c r="H172" s="42" t="s">
        <v>197</v>
      </c>
      <c r="I172" s="40" t="s">
        <v>198</v>
      </c>
      <c r="J172" s="43" t="s">
        <v>199</v>
      </c>
    </row>
    <row r="173" s="2" customFormat="1" ht="31" spans="1:10">
      <c r="A173" s="97" t="s">
        <v>126</v>
      </c>
      <c r="B173" s="99" t="s">
        <v>200</v>
      </c>
      <c r="C173" s="98" t="s">
        <v>19</v>
      </c>
      <c r="D173" s="52">
        <f>85+2</f>
        <v>87</v>
      </c>
      <c r="E173" s="80"/>
      <c r="F173" s="65">
        <f t="shared" si="27"/>
        <v>0</v>
      </c>
      <c r="G173" s="42" t="s">
        <v>112</v>
      </c>
      <c r="H173" s="42" t="s">
        <v>120</v>
      </c>
      <c r="I173" s="42" t="s">
        <v>121</v>
      </c>
      <c r="J173" s="87"/>
    </row>
    <row r="174" s="2" customFormat="1" ht="31" spans="1:10">
      <c r="A174" s="97" t="s">
        <v>131</v>
      </c>
      <c r="B174" s="99" t="s">
        <v>201</v>
      </c>
      <c r="C174" s="98" t="s">
        <v>19</v>
      </c>
      <c r="D174" s="52">
        <f>85+2</f>
        <v>87</v>
      </c>
      <c r="E174" s="80">
        <v>420</v>
      </c>
      <c r="F174" s="65">
        <f t="shared" si="27"/>
        <v>36540</v>
      </c>
      <c r="G174" s="42" t="s">
        <v>112</v>
      </c>
      <c r="H174" s="100" t="s">
        <v>202</v>
      </c>
      <c r="I174" s="100" t="s">
        <v>203</v>
      </c>
      <c r="J174" s="101" t="s">
        <v>125</v>
      </c>
    </row>
    <row r="175" s="2" customFormat="1" ht="31" spans="1:10">
      <c r="A175" s="97" t="s">
        <v>152</v>
      </c>
      <c r="B175" s="99" t="s">
        <v>204</v>
      </c>
      <c r="C175" s="34" t="s">
        <v>19</v>
      </c>
      <c r="D175" s="102">
        <v>317</v>
      </c>
      <c r="E175" s="80">
        <v>12</v>
      </c>
      <c r="F175" s="65">
        <f t="shared" si="27"/>
        <v>3804</v>
      </c>
      <c r="G175" s="40" t="s">
        <v>205</v>
      </c>
      <c r="H175" s="40" t="s">
        <v>206</v>
      </c>
      <c r="I175" s="40" t="s">
        <v>207</v>
      </c>
      <c r="J175" s="101"/>
    </row>
    <row r="176" s="2" customFormat="1" ht="31" spans="1:10">
      <c r="A176" s="97" t="s">
        <v>208</v>
      </c>
      <c r="B176" s="99" t="s">
        <v>209</v>
      </c>
      <c r="C176" s="34" t="s">
        <v>19</v>
      </c>
      <c r="D176" s="102">
        <v>76</v>
      </c>
      <c r="E176" s="80">
        <v>48</v>
      </c>
      <c r="F176" s="65">
        <f t="shared" si="27"/>
        <v>3648</v>
      </c>
      <c r="G176" s="40" t="s">
        <v>112</v>
      </c>
      <c r="H176" s="100" t="s">
        <v>128</v>
      </c>
      <c r="I176" s="100" t="s">
        <v>210</v>
      </c>
      <c r="J176" s="101"/>
    </row>
    <row r="177" s="2" customFormat="1" ht="31" spans="1:10">
      <c r="A177" s="97" t="s">
        <v>211</v>
      </c>
      <c r="B177" s="103" t="s">
        <v>212</v>
      </c>
      <c r="C177" s="34" t="s">
        <v>19</v>
      </c>
      <c r="D177" s="102">
        <v>7</v>
      </c>
      <c r="E177" s="80">
        <v>520</v>
      </c>
      <c r="F177" s="65">
        <f t="shared" si="27"/>
        <v>3640</v>
      </c>
      <c r="G177" s="40" t="s">
        <v>112</v>
      </c>
      <c r="H177" s="100" t="s">
        <v>128</v>
      </c>
      <c r="I177" s="100" t="s">
        <v>213</v>
      </c>
      <c r="J177" s="101"/>
    </row>
    <row r="178" s="2" customFormat="1" ht="31" spans="1:10">
      <c r="A178" s="97" t="s">
        <v>214</v>
      </c>
      <c r="B178" s="103" t="s">
        <v>215</v>
      </c>
      <c r="C178" s="34" t="s">
        <v>35</v>
      </c>
      <c r="D178" s="102">
        <v>0.098</v>
      </c>
      <c r="E178" s="80">
        <v>1200</v>
      </c>
      <c r="F178" s="65">
        <f t="shared" si="27"/>
        <v>117.6</v>
      </c>
      <c r="G178" s="42" t="s">
        <v>216</v>
      </c>
      <c r="H178" s="42" t="s">
        <v>217</v>
      </c>
      <c r="I178" s="42" t="s">
        <v>218</v>
      </c>
      <c r="J178" s="101"/>
    </row>
    <row r="179" s="3" customFormat="1" ht="17.6" spans="1:10">
      <c r="A179" s="10">
        <v>2</v>
      </c>
      <c r="B179" s="104" t="s">
        <v>219</v>
      </c>
      <c r="C179" s="57"/>
      <c r="D179" s="18"/>
      <c r="E179" s="19"/>
      <c r="F179" s="18">
        <f>SUM(F180:F185)</f>
        <v>28298.8</v>
      </c>
      <c r="G179" s="67"/>
      <c r="H179" s="67"/>
      <c r="I179" s="67"/>
      <c r="J179" s="21"/>
    </row>
    <row r="180" s="2" customFormat="1" ht="31" spans="1:10">
      <c r="A180" s="97" t="s">
        <v>110</v>
      </c>
      <c r="B180" s="90" t="s">
        <v>220</v>
      </c>
      <c r="C180" s="34" t="s">
        <v>19</v>
      </c>
      <c r="D180" s="65">
        <v>43</v>
      </c>
      <c r="E180" s="80">
        <v>28</v>
      </c>
      <c r="F180" s="65">
        <f t="shared" ref="F180:F185" si="28">ROUND(D180*E180,2)</f>
        <v>1204</v>
      </c>
      <c r="G180" s="40" t="s">
        <v>175</v>
      </c>
      <c r="H180" s="40" t="s">
        <v>176</v>
      </c>
      <c r="I180" s="40" t="s">
        <v>221</v>
      </c>
      <c r="J180" s="87"/>
    </row>
    <row r="181" s="2" customFormat="1" ht="31" spans="1:10">
      <c r="A181" s="97" t="s">
        <v>116</v>
      </c>
      <c r="B181" s="90" t="s">
        <v>222</v>
      </c>
      <c r="C181" s="34" t="s">
        <v>19</v>
      </c>
      <c r="D181" s="65">
        <v>9</v>
      </c>
      <c r="E181" s="80">
        <v>520</v>
      </c>
      <c r="F181" s="65">
        <f t="shared" si="28"/>
        <v>4680</v>
      </c>
      <c r="G181" s="40" t="s">
        <v>112</v>
      </c>
      <c r="H181" s="100" t="s">
        <v>128</v>
      </c>
      <c r="I181" s="100" t="s">
        <v>223</v>
      </c>
      <c r="J181" s="87"/>
    </row>
    <row r="182" s="2" customFormat="1" ht="31" spans="1:10">
      <c r="A182" s="97" t="s">
        <v>126</v>
      </c>
      <c r="B182" s="90" t="s">
        <v>224</v>
      </c>
      <c r="C182" s="34" t="s">
        <v>19</v>
      </c>
      <c r="D182" s="65">
        <v>27</v>
      </c>
      <c r="E182" s="80">
        <v>520</v>
      </c>
      <c r="F182" s="65">
        <f t="shared" si="28"/>
        <v>14040</v>
      </c>
      <c r="G182" s="40" t="s">
        <v>112</v>
      </c>
      <c r="H182" s="100" t="s">
        <v>225</v>
      </c>
      <c r="I182" s="100" t="s">
        <v>226</v>
      </c>
      <c r="J182" s="87" t="s">
        <v>227</v>
      </c>
    </row>
    <row r="183" s="2" customFormat="1" ht="31" spans="1:10">
      <c r="A183" s="97" t="s">
        <v>131</v>
      </c>
      <c r="B183" s="90" t="s">
        <v>228</v>
      </c>
      <c r="C183" s="34" t="s">
        <v>35</v>
      </c>
      <c r="D183" s="65">
        <v>4.529</v>
      </c>
      <c r="E183" s="80">
        <v>1200</v>
      </c>
      <c r="F183" s="65">
        <f t="shared" si="28"/>
        <v>5434.8</v>
      </c>
      <c r="G183" s="42" t="s">
        <v>216</v>
      </c>
      <c r="H183" s="42" t="s">
        <v>217</v>
      </c>
      <c r="I183" s="42" t="s">
        <v>255</v>
      </c>
      <c r="J183" s="87"/>
    </row>
    <row r="184" s="2" customFormat="1" ht="31" spans="1:10">
      <c r="A184" s="95" t="s">
        <v>152</v>
      </c>
      <c r="B184" s="92" t="s">
        <v>230</v>
      </c>
      <c r="C184" s="34" t="s">
        <v>19</v>
      </c>
      <c r="D184" s="65">
        <v>7</v>
      </c>
      <c r="E184" s="80"/>
      <c r="F184" s="65">
        <f t="shared" si="28"/>
        <v>0</v>
      </c>
      <c r="G184" s="42" t="s">
        <v>112</v>
      </c>
      <c r="H184" s="42" t="s">
        <v>120</v>
      </c>
      <c r="I184" s="42" t="s">
        <v>121</v>
      </c>
      <c r="J184" s="87"/>
    </row>
    <row r="185" s="2" customFormat="1" ht="31" spans="1:10">
      <c r="A185" s="97" t="s">
        <v>208</v>
      </c>
      <c r="B185" s="90" t="s">
        <v>231</v>
      </c>
      <c r="C185" s="34" t="s">
        <v>19</v>
      </c>
      <c r="D185" s="65">
        <v>7</v>
      </c>
      <c r="E185" s="80">
        <v>420</v>
      </c>
      <c r="F185" s="65">
        <f t="shared" si="28"/>
        <v>2940</v>
      </c>
      <c r="G185" s="42" t="s">
        <v>112</v>
      </c>
      <c r="H185" s="42" t="s">
        <v>232</v>
      </c>
      <c r="I185" s="42" t="s">
        <v>203</v>
      </c>
      <c r="J185" s="87" t="s">
        <v>125</v>
      </c>
    </row>
    <row r="186" s="3" customFormat="1" ht="17.6" spans="1:10">
      <c r="A186" s="12">
        <v>3</v>
      </c>
      <c r="B186" s="104" t="s">
        <v>233</v>
      </c>
      <c r="C186" s="57"/>
      <c r="D186" s="18"/>
      <c r="E186" s="19"/>
      <c r="F186" s="18">
        <f>SUM(F187:F189)</f>
        <v>314400</v>
      </c>
      <c r="G186" s="67"/>
      <c r="H186" s="67"/>
      <c r="I186" s="67"/>
      <c r="J186" s="21"/>
    </row>
    <row r="187" s="2" customFormat="1" ht="31" spans="1:10">
      <c r="A187" s="97" t="s">
        <v>110</v>
      </c>
      <c r="B187" s="90" t="s">
        <v>234</v>
      </c>
      <c r="C187" s="34" t="s">
        <v>235</v>
      </c>
      <c r="D187" s="65">
        <v>10</v>
      </c>
      <c r="E187" s="80">
        <v>18000</v>
      </c>
      <c r="F187" s="65">
        <f t="shared" ref="F187:F189" si="29">ROUND(D187*E187,2)</f>
        <v>180000</v>
      </c>
      <c r="G187" s="42" t="s">
        <v>236</v>
      </c>
      <c r="H187" s="42" t="s">
        <v>237</v>
      </c>
      <c r="I187" s="42" t="s">
        <v>238</v>
      </c>
      <c r="J187" s="87"/>
    </row>
    <row r="188" s="2" customFormat="1" ht="31" spans="1:10">
      <c r="A188" s="97" t="s">
        <v>116</v>
      </c>
      <c r="B188" s="90" t="s">
        <v>239</v>
      </c>
      <c r="C188" s="34" t="s">
        <v>102</v>
      </c>
      <c r="D188" s="65">
        <v>28</v>
      </c>
      <c r="E188" s="80">
        <v>880</v>
      </c>
      <c r="F188" s="65">
        <f t="shared" si="29"/>
        <v>24640</v>
      </c>
      <c r="G188" s="42" t="s">
        <v>240</v>
      </c>
      <c r="H188" s="42" t="s">
        <v>241</v>
      </c>
      <c r="I188" s="42" t="s">
        <v>242</v>
      </c>
      <c r="J188" s="87"/>
    </row>
    <row r="189" s="2" customFormat="1" ht="31" spans="1:10">
      <c r="A189" s="97" t="s">
        <v>126</v>
      </c>
      <c r="B189" s="90" t="s">
        <v>243</v>
      </c>
      <c r="C189" s="34" t="s">
        <v>102</v>
      </c>
      <c r="D189" s="65">
        <v>112</v>
      </c>
      <c r="E189" s="80">
        <v>980</v>
      </c>
      <c r="F189" s="65">
        <f t="shared" si="29"/>
        <v>109760</v>
      </c>
      <c r="G189" s="42" t="s">
        <v>244</v>
      </c>
      <c r="H189" s="42" t="s">
        <v>245</v>
      </c>
      <c r="I189" s="42" t="s">
        <v>242</v>
      </c>
      <c r="J189" s="87"/>
    </row>
    <row r="190" s="3" customFormat="1" ht="17.6" spans="1:10">
      <c r="A190" s="82" t="s">
        <v>55</v>
      </c>
      <c r="B190" s="105" t="s">
        <v>246</v>
      </c>
      <c r="C190" s="57"/>
      <c r="D190" s="18"/>
      <c r="E190" s="19"/>
      <c r="F190" s="18">
        <f>F191+F198</f>
        <v>2393693</v>
      </c>
      <c r="G190" s="67"/>
      <c r="H190" s="67"/>
      <c r="I190" s="67"/>
      <c r="J190" s="21"/>
    </row>
    <row r="191" s="3" customFormat="1" ht="17.6" spans="1:10">
      <c r="A191" s="12" t="s">
        <v>16</v>
      </c>
      <c r="B191" s="20" t="s">
        <v>108</v>
      </c>
      <c r="C191" s="57"/>
      <c r="D191" s="18"/>
      <c r="E191" s="19"/>
      <c r="F191" s="18">
        <f>F192</f>
        <v>1982553</v>
      </c>
      <c r="G191" s="67"/>
      <c r="H191" s="67"/>
      <c r="I191" s="67"/>
      <c r="J191" s="21"/>
    </row>
    <row r="192" s="3" customFormat="1" ht="17.6" spans="1:10">
      <c r="A192" s="12">
        <v>1</v>
      </c>
      <c r="B192" s="20" t="s">
        <v>139</v>
      </c>
      <c r="C192" s="57"/>
      <c r="D192" s="18"/>
      <c r="E192" s="19"/>
      <c r="F192" s="18">
        <f>SUM(F193:F197)</f>
        <v>1982553</v>
      </c>
      <c r="G192" s="67"/>
      <c r="H192" s="67"/>
      <c r="I192" s="67"/>
      <c r="J192" s="21"/>
    </row>
    <row r="193" s="2" customFormat="1" ht="31" spans="1:10">
      <c r="A193" s="85" t="s">
        <v>110</v>
      </c>
      <c r="B193" s="86" t="s">
        <v>140</v>
      </c>
      <c r="C193" s="34" t="s">
        <v>19</v>
      </c>
      <c r="D193" s="65">
        <v>1885</v>
      </c>
      <c r="E193" s="80">
        <v>420</v>
      </c>
      <c r="F193" s="65">
        <f t="shared" ref="F193:F197" si="30">ROUND(D193*E193,2)</f>
        <v>791700</v>
      </c>
      <c r="G193" s="42" t="s">
        <v>112</v>
      </c>
      <c r="H193" s="42" t="s">
        <v>141</v>
      </c>
      <c r="I193" s="42" t="s">
        <v>142</v>
      </c>
      <c r="J193" s="87" t="s">
        <v>130</v>
      </c>
    </row>
    <row r="194" s="2" customFormat="1" ht="31" spans="1:10">
      <c r="A194" s="88" t="s">
        <v>116</v>
      </c>
      <c r="B194" s="89" t="s">
        <v>143</v>
      </c>
      <c r="C194" s="34" t="s">
        <v>19</v>
      </c>
      <c r="D194" s="65">
        <v>1434</v>
      </c>
      <c r="E194" s="80"/>
      <c r="F194" s="65">
        <f t="shared" si="30"/>
        <v>0</v>
      </c>
      <c r="G194" s="42" t="s">
        <v>112</v>
      </c>
      <c r="H194" s="42" t="s">
        <v>120</v>
      </c>
      <c r="I194" s="42" t="s">
        <v>121</v>
      </c>
      <c r="J194" s="87"/>
    </row>
    <row r="195" s="2" customFormat="1" ht="46" spans="1:10">
      <c r="A195" s="85" t="s">
        <v>126</v>
      </c>
      <c r="B195" s="86" t="s">
        <v>144</v>
      </c>
      <c r="C195" s="34" t="s">
        <v>19</v>
      </c>
      <c r="D195" s="65">
        <v>1434</v>
      </c>
      <c r="E195" s="80">
        <v>390</v>
      </c>
      <c r="F195" s="65">
        <f t="shared" si="30"/>
        <v>559260</v>
      </c>
      <c r="G195" s="42" t="s">
        <v>112</v>
      </c>
      <c r="H195" s="42" t="s">
        <v>145</v>
      </c>
      <c r="I195" s="42" t="s">
        <v>146</v>
      </c>
      <c r="J195" s="87" t="s">
        <v>147</v>
      </c>
    </row>
    <row r="196" s="2" customFormat="1" ht="17.6" spans="1:10">
      <c r="A196" s="85" t="s">
        <v>131</v>
      </c>
      <c r="B196" s="86" t="s">
        <v>148</v>
      </c>
      <c r="C196" s="34" t="s">
        <v>19</v>
      </c>
      <c r="D196" s="65">
        <v>1745</v>
      </c>
      <c r="E196" s="80">
        <v>360</v>
      </c>
      <c r="F196" s="65">
        <f t="shared" si="30"/>
        <v>628200</v>
      </c>
      <c r="G196" s="42" t="s">
        <v>149</v>
      </c>
      <c r="H196" s="42" t="s">
        <v>120</v>
      </c>
      <c r="I196" s="42" t="s">
        <v>150</v>
      </c>
      <c r="J196" s="43" t="s">
        <v>151</v>
      </c>
    </row>
    <row r="197" s="2" customFormat="1" ht="17.6" spans="1:10">
      <c r="A197" s="85" t="s">
        <v>152</v>
      </c>
      <c r="B197" s="86" t="s">
        <v>117</v>
      </c>
      <c r="C197" s="34" t="s">
        <v>35</v>
      </c>
      <c r="D197" s="65">
        <f>D193*0.1</f>
        <v>188.5</v>
      </c>
      <c r="E197" s="80">
        <v>18</v>
      </c>
      <c r="F197" s="65">
        <f t="shared" si="30"/>
        <v>3393</v>
      </c>
      <c r="G197" s="43" t="s">
        <v>36</v>
      </c>
      <c r="H197" s="39" t="s">
        <v>21</v>
      </c>
      <c r="I197" s="43" t="s">
        <v>37</v>
      </c>
      <c r="J197" s="87"/>
    </row>
    <row r="198" s="3" customFormat="1" ht="17.6" spans="1:10">
      <c r="A198" s="12" t="s">
        <v>38</v>
      </c>
      <c r="B198" s="20" t="s">
        <v>173</v>
      </c>
      <c r="C198" s="57" t="s">
        <v>102</v>
      </c>
      <c r="D198" s="18"/>
      <c r="E198" s="19"/>
      <c r="F198" s="18">
        <f>SUM(F199:F204)</f>
        <v>411140</v>
      </c>
      <c r="G198" s="67"/>
      <c r="H198" s="67"/>
      <c r="I198" s="67"/>
      <c r="J198" s="21"/>
    </row>
    <row r="199" s="2" customFormat="1" ht="17.6" spans="1:10">
      <c r="A199" s="12">
        <v>1</v>
      </c>
      <c r="B199" s="90" t="s">
        <v>174</v>
      </c>
      <c r="C199" s="34" t="s">
        <v>19</v>
      </c>
      <c r="D199" s="65">
        <v>348</v>
      </c>
      <c r="E199" s="80">
        <v>18</v>
      </c>
      <c r="F199" s="65">
        <f t="shared" ref="F199:F204" si="31">ROUND(D199*E199,2)</f>
        <v>6264</v>
      </c>
      <c r="G199" s="43" t="s">
        <v>175</v>
      </c>
      <c r="H199" s="39" t="s">
        <v>176</v>
      </c>
      <c r="I199" s="43" t="s">
        <v>177</v>
      </c>
      <c r="J199" s="87"/>
    </row>
    <row r="200" s="2" customFormat="1" ht="31" spans="1:10">
      <c r="A200" s="12">
        <v>2</v>
      </c>
      <c r="B200" s="90" t="s">
        <v>178</v>
      </c>
      <c r="C200" s="34" t="s">
        <v>19</v>
      </c>
      <c r="D200" s="65">
        <v>133.1</v>
      </c>
      <c r="E200" s="80">
        <v>420</v>
      </c>
      <c r="F200" s="65">
        <f t="shared" si="31"/>
        <v>55902</v>
      </c>
      <c r="G200" s="42" t="s">
        <v>179</v>
      </c>
      <c r="H200" s="42" t="s">
        <v>180</v>
      </c>
      <c r="I200" s="42" t="s">
        <v>247</v>
      </c>
      <c r="J200" s="87"/>
    </row>
    <row r="201" s="2" customFormat="1" ht="31" spans="1:10">
      <c r="A201" s="12">
        <v>3</v>
      </c>
      <c r="B201" s="90" t="s">
        <v>182</v>
      </c>
      <c r="C201" s="34" t="s">
        <v>19</v>
      </c>
      <c r="D201" s="65">
        <v>215</v>
      </c>
      <c r="E201" s="80">
        <v>12</v>
      </c>
      <c r="F201" s="65">
        <f t="shared" si="31"/>
        <v>2580</v>
      </c>
      <c r="G201" s="42" t="s">
        <v>183</v>
      </c>
      <c r="H201" s="42" t="s">
        <v>176</v>
      </c>
      <c r="I201" s="42" t="s">
        <v>184</v>
      </c>
      <c r="J201" s="87"/>
    </row>
    <row r="202" s="2" customFormat="1" ht="31" spans="1:10">
      <c r="A202" s="91">
        <v>4</v>
      </c>
      <c r="B202" s="92" t="s">
        <v>185</v>
      </c>
      <c r="C202" s="34" t="s">
        <v>19</v>
      </c>
      <c r="D202" s="65">
        <v>30.7</v>
      </c>
      <c r="E202" s="80"/>
      <c r="F202" s="65">
        <f t="shared" si="31"/>
        <v>0</v>
      </c>
      <c r="G202" s="42" t="s">
        <v>179</v>
      </c>
      <c r="H202" s="42" t="s">
        <v>120</v>
      </c>
      <c r="I202" s="42" t="s">
        <v>121</v>
      </c>
      <c r="J202" s="87"/>
    </row>
    <row r="203" s="2" customFormat="1" ht="31" spans="1:10">
      <c r="A203" s="12">
        <v>5</v>
      </c>
      <c r="B203" s="90" t="s">
        <v>186</v>
      </c>
      <c r="C203" s="34" t="s">
        <v>19</v>
      </c>
      <c r="D203" s="65">
        <v>30.7</v>
      </c>
      <c r="E203" s="80">
        <v>420</v>
      </c>
      <c r="F203" s="65">
        <f t="shared" si="31"/>
        <v>12894</v>
      </c>
      <c r="G203" s="42" t="s">
        <v>179</v>
      </c>
      <c r="H203" s="42" t="s">
        <v>187</v>
      </c>
      <c r="I203" s="42" t="s">
        <v>188</v>
      </c>
      <c r="J203" s="87"/>
    </row>
    <row r="204" s="2" customFormat="1" ht="46" spans="1:10">
      <c r="A204" s="12">
        <v>6</v>
      </c>
      <c r="B204" s="90" t="s">
        <v>189</v>
      </c>
      <c r="C204" s="34" t="s">
        <v>52</v>
      </c>
      <c r="D204" s="65">
        <v>5750</v>
      </c>
      <c r="E204" s="80">
        <v>58</v>
      </c>
      <c r="F204" s="65">
        <f t="shared" si="31"/>
        <v>333500</v>
      </c>
      <c r="G204" s="42" t="s">
        <v>190</v>
      </c>
      <c r="H204" s="42" t="s">
        <v>191</v>
      </c>
      <c r="I204" s="42" t="s">
        <v>248</v>
      </c>
      <c r="J204" s="87"/>
    </row>
    <row r="205" s="2" customFormat="1" ht="17.6" spans="1:10">
      <c r="A205" s="16" t="s">
        <v>256</v>
      </c>
      <c r="B205" s="17"/>
      <c r="C205" s="12"/>
      <c r="D205" s="12"/>
      <c r="E205" s="108"/>
      <c r="F205" s="18">
        <f>F206+F275+F335+F375</f>
        <v>4984936.07</v>
      </c>
      <c r="G205" s="12"/>
      <c r="H205" s="12"/>
      <c r="I205" s="12"/>
      <c r="J205" s="15"/>
    </row>
    <row r="206" s="3" customFormat="1" ht="17.6" spans="1:10">
      <c r="A206" s="12" t="s">
        <v>13</v>
      </c>
      <c r="B206" s="109" t="s">
        <v>257</v>
      </c>
      <c r="C206" s="12"/>
      <c r="D206" s="18"/>
      <c r="E206" s="19"/>
      <c r="F206" s="18">
        <f>F207+F215+F228+F233+F237+F253+F258+F269</f>
        <v>3300839.19</v>
      </c>
      <c r="G206" s="14"/>
      <c r="H206" s="14"/>
      <c r="I206" s="14"/>
      <c r="J206" s="18"/>
    </row>
    <row r="207" s="3" customFormat="1" ht="17.6" spans="1:10">
      <c r="A207" s="12" t="s">
        <v>16</v>
      </c>
      <c r="B207" s="109" t="s">
        <v>258</v>
      </c>
      <c r="C207" s="12"/>
      <c r="D207" s="18"/>
      <c r="E207" s="19"/>
      <c r="F207" s="18">
        <f>SUM(F208:F214)</f>
        <v>800103.32</v>
      </c>
      <c r="G207" s="14"/>
      <c r="H207" s="14"/>
      <c r="I207" s="14"/>
      <c r="J207" s="18"/>
    </row>
    <row r="208" s="2" customFormat="1" ht="17.6" spans="1:10">
      <c r="A208" s="97">
        <v>1</v>
      </c>
      <c r="B208" s="110" t="s">
        <v>259</v>
      </c>
      <c r="C208" s="34" t="s">
        <v>77</v>
      </c>
      <c r="D208" s="65">
        <v>8603</v>
      </c>
      <c r="E208" s="80">
        <v>18</v>
      </c>
      <c r="F208" s="65">
        <f t="shared" ref="F208:F214" si="32">ROUND(D208*E208,2)</f>
        <v>154854</v>
      </c>
      <c r="G208" s="111" t="s">
        <v>175</v>
      </c>
      <c r="H208" s="111" t="s">
        <v>176</v>
      </c>
      <c r="I208" s="111" t="s">
        <v>260</v>
      </c>
      <c r="J208" s="112"/>
    </row>
    <row r="209" s="2" customFormat="1" ht="46" spans="1:10">
      <c r="A209" s="97">
        <v>2</v>
      </c>
      <c r="B209" s="110" t="s">
        <v>261</v>
      </c>
      <c r="C209" s="34" t="s">
        <v>77</v>
      </c>
      <c r="D209" s="65">
        <v>3824</v>
      </c>
      <c r="E209" s="80">
        <v>58</v>
      </c>
      <c r="F209" s="65">
        <f t="shared" si="32"/>
        <v>221792</v>
      </c>
      <c r="G209" s="111" t="s">
        <v>262</v>
      </c>
      <c r="H209" s="111" t="s">
        <v>263</v>
      </c>
      <c r="I209" s="111" t="s">
        <v>264</v>
      </c>
      <c r="J209" s="112"/>
    </row>
    <row r="210" s="2" customFormat="1" ht="31" spans="1:10">
      <c r="A210" s="97">
        <v>3</v>
      </c>
      <c r="B210" s="110" t="s">
        <v>265</v>
      </c>
      <c r="C210" s="34" t="s">
        <v>19</v>
      </c>
      <c r="D210" s="65">
        <v>747</v>
      </c>
      <c r="E210" s="80">
        <v>12</v>
      </c>
      <c r="F210" s="65">
        <f t="shared" si="32"/>
        <v>8964</v>
      </c>
      <c r="G210" s="111" t="s">
        <v>205</v>
      </c>
      <c r="H210" s="111" t="s">
        <v>176</v>
      </c>
      <c r="I210" s="111" t="s">
        <v>264</v>
      </c>
      <c r="J210" s="112"/>
    </row>
    <row r="211" s="2" customFormat="1" ht="31" spans="1:10">
      <c r="A211" s="97">
        <v>4</v>
      </c>
      <c r="B211" s="110" t="s">
        <v>266</v>
      </c>
      <c r="C211" s="34" t="s">
        <v>19</v>
      </c>
      <c r="D211" s="65">
        <v>1224.3</v>
      </c>
      <c r="E211" s="80">
        <v>38</v>
      </c>
      <c r="F211" s="65">
        <f t="shared" si="32"/>
        <v>46523.4</v>
      </c>
      <c r="G211" s="111" t="s">
        <v>267</v>
      </c>
      <c r="H211" s="111" t="s">
        <v>268</v>
      </c>
      <c r="I211" s="111" t="s">
        <v>269</v>
      </c>
      <c r="J211" s="112"/>
    </row>
    <row r="212" s="2" customFormat="1" ht="31" spans="1:10">
      <c r="A212" s="97">
        <v>5</v>
      </c>
      <c r="B212" s="110" t="s">
        <v>270</v>
      </c>
      <c r="C212" s="34" t="s">
        <v>102</v>
      </c>
      <c r="D212" s="65">
        <v>2294.6</v>
      </c>
      <c r="E212" s="80">
        <v>120</v>
      </c>
      <c r="F212" s="65">
        <f t="shared" si="32"/>
        <v>275352</v>
      </c>
      <c r="G212" s="111" t="s">
        <v>271</v>
      </c>
      <c r="H212" s="111" t="s">
        <v>120</v>
      </c>
      <c r="I212" s="111" t="s">
        <v>272</v>
      </c>
      <c r="J212" s="113"/>
    </row>
    <row r="213" s="2" customFormat="1" ht="17.6" spans="1:10">
      <c r="A213" s="97">
        <v>6</v>
      </c>
      <c r="B213" s="110" t="s">
        <v>273</v>
      </c>
      <c r="C213" s="34" t="s">
        <v>77</v>
      </c>
      <c r="D213" s="65">
        <v>8097.4</v>
      </c>
      <c r="E213" s="80">
        <v>7.8</v>
      </c>
      <c r="F213" s="65">
        <f t="shared" si="32"/>
        <v>63159.72</v>
      </c>
      <c r="G213" s="111" t="s">
        <v>20</v>
      </c>
      <c r="H213" s="111" t="s">
        <v>79</v>
      </c>
      <c r="I213" s="111" t="s">
        <v>274</v>
      </c>
      <c r="J213" s="112"/>
    </row>
    <row r="214" s="2" customFormat="1" ht="17.6" spans="1:10">
      <c r="A214" s="97">
        <v>7</v>
      </c>
      <c r="B214" s="110" t="s">
        <v>275</v>
      </c>
      <c r="C214" s="34" t="s">
        <v>77</v>
      </c>
      <c r="D214" s="65">
        <v>507.9</v>
      </c>
      <c r="E214" s="80">
        <v>58</v>
      </c>
      <c r="F214" s="65">
        <f t="shared" si="32"/>
        <v>29458.2</v>
      </c>
      <c r="G214" s="111" t="s">
        <v>175</v>
      </c>
      <c r="H214" s="111" t="s">
        <v>263</v>
      </c>
      <c r="I214" s="111" t="s">
        <v>264</v>
      </c>
      <c r="J214" s="112"/>
    </row>
    <row r="215" s="3" customFormat="1" ht="17.6" spans="1:10">
      <c r="A215" s="12" t="s">
        <v>38</v>
      </c>
      <c r="B215" s="109" t="s">
        <v>276</v>
      </c>
      <c r="C215" s="57"/>
      <c r="D215" s="18"/>
      <c r="E215" s="19"/>
      <c r="F215" s="18">
        <f>SUM(F216:F227)</f>
        <v>1023173.44</v>
      </c>
      <c r="G215" s="14"/>
      <c r="H215" s="14"/>
      <c r="I215" s="14"/>
      <c r="J215" s="18"/>
    </row>
    <row r="216" s="2" customFormat="1" ht="31" spans="1:10">
      <c r="A216" s="97">
        <v>1</v>
      </c>
      <c r="B216" s="110" t="s">
        <v>277</v>
      </c>
      <c r="C216" s="34" t="s">
        <v>77</v>
      </c>
      <c r="D216" s="65">
        <v>246.38</v>
      </c>
      <c r="E216" s="80">
        <v>420</v>
      </c>
      <c r="F216" s="65">
        <f t="shared" ref="F216:F227" si="33">ROUND(D216*E216,2)</f>
        <v>103479.6</v>
      </c>
      <c r="G216" s="111" t="s">
        <v>205</v>
      </c>
      <c r="H216" s="111" t="s">
        <v>278</v>
      </c>
      <c r="I216" s="111" t="s">
        <v>279</v>
      </c>
      <c r="J216" s="114"/>
    </row>
    <row r="217" s="2" customFormat="1" ht="31" spans="1:10">
      <c r="A217" s="97">
        <v>2</v>
      </c>
      <c r="B217" s="110" t="s">
        <v>280</v>
      </c>
      <c r="C217" s="34" t="s">
        <v>77</v>
      </c>
      <c r="D217" s="65">
        <v>85.86</v>
      </c>
      <c r="E217" s="80">
        <v>480</v>
      </c>
      <c r="F217" s="65">
        <f t="shared" si="33"/>
        <v>41212.8</v>
      </c>
      <c r="G217" s="111" t="s">
        <v>205</v>
      </c>
      <c r="H217" s="111" t="s">
        <v>278</v>
      </c>
      <c r="I217" s="111" t="s">
        <v>279</v>
      </c>
      <c r="J217" s="114"/>
    </row>
    <row r="218" s="2" customFormat="1" ht="31" spans="1:10">
      <c r="A218" s="97">
        <v>3</v>
      </c>
      <c r="B218" s="110" t="s">
        <v>281</v>
      </c>
      <c r="C218" s="34" t="s">
        <v>35</v>
      </c>
      <c r="D218" s="65">
        <v>5.919</v>
      </c>
      <c r="E218" s="80">
        <v>1200</v>
      </c>
      <c r="F218" s="65">
        <f t="shared" si="33"/>
        <v>7102.8</v>
      </c>
      <c r="G218" s="111" t="s">
        <v>282</v>
      </c>
      <c r="H218" s="111" t="s">
        <v>283</v>
      </c>
      <c r="I218" s="111" t="s">
        <v>284</v>
      </c>
      <c r="J218" s="114"/>
    </row>
    <row r="219" s="2" customFormat="1" ht="31" spans="1:10">
      <c r="A219" s="97">
        <v>4</v>
      </c>
      <c r="B219" s="110" t="s">
        <v>285</v>
      </c>
      <c r="C219" s="34" t="s">
        <v>77</v>
      </c>
      <c r="D219" s="65">
        <v>63.77</v>
      </c>
      <c r="E219" s="80">
        <v>380</v>
      </c>
      <c r="F219" s="65">
        <f t="shared" si="33"/>
        <v>24232.6</v>
      </c>
      <c r="G219" s="111" t="s">
        <v>286</v>
      </c>
      <c r="H219" s="111" t="s">
        <v>287</v>
      </c>
      <c r="I219" s="111" t="s">
        <v>288</v>
      </c>
      <c r="J219" s="114"/>
    </row>
    <row r="220" s="2" customFormat="1" ht="31" spans="1:10">
      <c r="A220" s="97">
        <v>5</v>
      </c>
      <c r="B220" s="110" t="s">
        <v>289</v>
      </c>
      <c r="C220" s="34" t="s">
        <v>19</v>
      </c>
      <c r="D220" s="65">
        <v>947.2</v>
      </c>
      <c r="E220" s="80">
        <v>520</v>
      </c>
      <c r="F220" s="65">
        <f t="shared" si="33"/>
        <v>492544</v>
      </c>
      <c r="G220" s="111" t="s">
        <v>78</v>
      </c>
      <c r="H220" s="111" t="s">
        <v>290</v>
      </c>
      <c r="I220" s="111" t="s">
        <v>291</v>
      </c>
      <c r="J220" s="114"/>
    </row>
    <row r="221" s="2" customFormat="1" ht="31" spans="1:10">
      <c r="A221" s="97">
        <v>6</v>
      </c>
      <c r="B221" s="110" t="s">
        <v>292</v>
      </c>
      <c r="C221" s="34" t="s">
        <v>35</v>
      </c>
      <c r="D221" s="65">
        <v>145.796</v>
      </c>
      <c r="E221" s="80">
        <v>1200</v>
      </c>
      <c r="F221" s="65">
        <f t="shared" si="33"/>
        <v>174955.2</v>
      </c>
      <c r="G221" s="111" t="s">
        <v>293</v>
      </c>
      <c r="H221" s="111" t="s">
        <v>294</v>
      </c>
      <c r="I221" s="111" t="s">
        <v>295</v>
      </c>
      <c r="J221" s="114"/>
    </row>
    <row r="222" s="2" customFormat="1" ht="31" spans="1:10">
      <c r="A222" s="97">
        <v>7</v>
      </c>
      <c r="B222" s="110" t="s">
        <v>296</v>
      </c>
      <c r="C222" s="34" t="s">
        <v>19</v>
      </c>
      <c r="D222" s="65">
        <v>231</v>
      </c>
      <c r="E222" s="80">
        <v>520</v>
      </c>
      <c r="F222" s="65">
        <f t="shared" si="33"/>
        <v>120120</v>
      </c>
      <c r="G222" s="111" t="s">
        <v>78</v>
      </c>
      <c r="H222" s="111" t="s">
        <v>290</v>
      </c>
      <c r="I222" s="111" t="s">
        <v>297</v>
      </c>
      <c r="J222" s="114"/>
    </row>
    <row r="223" s="2" customFormat="1" ht="31" spans="1:10">
      <c r="A223" s="97">
        <v>8</v>
      </c>
      <c r="B223" s="110" t="s">
        <v>281</v>
      </c>
      <c r="C223" s="34" t="s">
        <v>35</v>
      </c>
      <c r="D223" s="65">
        <v>3.716</v>
      </c>
      <c r="E223" s="80">
        <v>1200</v>
      </c>
      <c r="F223" s="65">
        <f t="shared" si="33"/>
        <v>4459.2</v>
      </c>
      <c r="G223" s="111" t="s">
        <v>282</v>
      </c>
      <c r="H223" s="111" t="s">
        <v>294</v>
      </c>
      <c r="I223" s="111" t="s">
        <v>284</v>
      </c>
      <c r="J223" s="112"/>
    </row>
    <row r="224" s="2" customFormat="1" ht="31" spans="1:10">
      <c r="A224" s="97">
        <v>9</v>
      </c>
      <c r="B224" s="110" t="s">
        <v>298</v>
      </c>
      <c r="C224" s="34" t="s">
        <v>19</v>
      </c>
      <c r="D224" s="65">
        <v>10.7</v>
      </c>
      <c r="E224" s="80">
        <v>168</v>
      </c>
      <c r="F224" s="65">
        <f t="shared" si="33"/>
        <v>1797.6</v>
      </c>
      <c r="G224" s="111" t="s">
        <v>299</v>
      </c>
      <c r="H224" s="111" t="s">
        <v>300</v>
      </c>
      <c r="I224" s="111" t="s">
        <v>301</v>
      </c>
      <c r="J224" s="115"/>
    </row>
    <row r="225" s="2" customFormat="1" ht="31" spans="1:10">
      <c r="A225" s="97">
        <v>10</v>
      </c>
      <c r="B225" s="110" t="s">
        <v>302</v>
      </c>
      <c r="C225" s="34" t="s">
        <v>19</v>
      </c>
      <c r="D225" s="65">
        <v>19.3</v>
      </c>
      <c r="E225" s="80">
        <v>560</v>
      </c>
      <c r="F225" s="65">
        <f t="shared" si="33"/>
        <v>10808</v>
      </c>
      <c r="G225" s="111" t="s">
        <v>78</v>
      </c>
      <c r="H225" s="111" t="s">
        <v>290</v>
      </c>
      <c r="I225" s="111" t="s">
        <v>291</v>
      </c>
      <c r="J225" s="112"/>
    </row>
    <row r="226" s="2" customFormat="1" ht="31" spans="1:10">
      <c r="A226" s="97">
        <v>11</v>
      </c>
      <c r="B226" s="110" t="s">
        <v>303</v>
      </c>
      <c r="C226" s="34" t="s">
        <v>52</v>
      </c>
      <c r="D226" s="65">
        <v>29.904</v>
      </c>
      <c r="E226" s="80">
        <v>260</v>
      </c>
      <c r="F226" s="65">
        <f t="shared" si="33"/>
        <v>7775.04</v>
      </c>
      <c r="G226" s="111" t="s">
        <v>78</v>
      </c>
      <c r="H226" s="111" t="s">
        <v>304</v>
      </c>
      <c r="I226" s="111" t="s">
        <v>305</v>
      </c>
      <c r="J226" s="116"/>
    </row>
    <row r="227" s="2" customFormat="1" ht="31" spans="1:10">
      <c r="A227" s="97">
        <v>12</v>
      </c>
      <c r="B227" s="110" t="s">
        <v>306</v>
      </c>
      <c r="C227" s="34" t="s">
        <v>52</v>
      </c>
      <c r="D227" s="65">
        <v>133.41</v>
      </c>
      <c r="E227" s="80">
        <v>260</v>
      </c>
      <c r="F227" s="65">
        <f t="shared" si="33"/>
        <v>34686.6</v>
      </c>
      <c r="G227" s="111" t="s">
        <v>78</v>
      </c>
      <c r="H227" s="111" t="s">
        <v>307</v>
      </c>
      <c r="I227" s="111" t="s">
        <v>308</v>
      </c>
      <c r="J227" s="112"/>
    </row>
    <row r="228" s="3" customFormat="1" ht="17.6" spans="1:10">
      <c r="A228" s="12" t="s">
        <v>44</v>
      </c>
      <c r="B228" s="109" t="s">
        <v>309</v>
      </c>
      <c r="C228" s="57"/>
      <c r="D228" s="18"/>
      <c r="E228" s="19"/>
      <c r="F228" s="18">
        <f>SUM(F229:F232)</f>
        <v>63855.92</v>
      </c>
      <c r="G228" s="14"/>
      <c r="H228" s="14"/>
      <c r="I228" s="14"/>
      <c r="J228" s="18"/>
    </row>
    <row r="229" s="2" customFormat="1" ht="31" spans="1:10">
      <c r="A229" s="97">
        <v>1</v>
      </c>
      <c r="B229" s="110" t="s">
        <v>310</v>
      </c>
      <c r="C229" s="34" t="s">
        <v>52</v>
      </c>
      <c r="D229" s="65">
        <v>1357.61</v>
      </c>
      <c r="E229" s="80">
        <v>22</v>
      </c>
      <c r="F229" s="65">
        <f t="shared" ref="F229:F232" si="34">ROUND(D229*E229,2)</f>
        <v>29867.42</v>
      </c>
      <c r="G229" s="111" t="s">
        <v>78</v>
      </c>
      <c r="H229" s="111" t="s">
        <v>311</v>
      </c>
      <c r="I229" s="111" t="s">
        <v>312</v>
      </c>
      <c r="J229" s="112"/>
    </row>
    <row r="230" s="2" customFormat="1" ht="46" spans="1:10">
      <c r="A230" s="97">
        <v>2</v>
      </c>
      <c r="B230" s="110" t="s">
        <v>313</v>
      </c>
      <c r="C230" s="34" t="s">
        <v>19</v>
      </c>
      <c r="D230" s="65">
        <v>10.8192</v>
      </c>
      <c r="E230" s="80">
        <v>360</v>
      </c>
      <c r="F230" s="65">
        <f t="shared" si="34"/>
        <v>3894.91</v>
      </c>
      <c r="G230" s="111" t="s">
        <v>314</v>
      </c>
      <c r="H230" s="111" t="s">
        <v>315</v>
      </c>
      <c r="I230" s="111" t="s">
        <v>316</v>
      </c>
      <c r="J230" s="117"/>
    </row>
    <row r="231" s="2" customFormat="1" ht="31" spans="1:10">
      <c r="A231" s="97">
        <v>3</v>
      </c>
      <c r="B231" s="110" t="s">
        <v>317</v>
      </c>
      <c r="C231" s="34" t="s">
        <v>52</v>
      </c>
      <c r="D231" s="65">
        <v>649.27</v>
      </c>
      <c r="E231" s="80">
        <v>28</v>
      </c>
      <c r="F231" s="65">
        <f t="shared" si="34"/>
        <v>18179.56</v>
      </c>
      <c r="G231" s="111" t="s">
        <v>78</v>
      </c>
      <c r="H231" s="111" t="s">
        <v>311</v>
      </c>
      <c r="I231" s="111" t="s">
        <v>308</v>
      </c>
      <c r="J231" s="112"/>
    </row>
    <row r="232" s="2" customFormat="1" ht="31" spans="1:10">
      <c r="A232" s="97">
        <v>4</v>
      </c>
      <c r="B232" s="110" t="s">
        <v>318</v>
      </c>
      <c r="C232" s="34" t="s">
        <v>19</v>
      </c>
      <c r="D232" s="65">
        <v>30.5488</v>
      </c>
      <c r="E232" s="80">
        <v>390</v>
      </c>
      <c r="F232" s="65">
        <f t="shared" si="34"/>
        <v>11914.03</v>
      </c>
      <c r="G232" s="111" t="s">
        <v>319</v>
      </c>
      <c r="H232" s="111" t="s">
        <v>320</v>
      </c>
      <c r="I232" s="111" t="s">
        <v>321</v>
      </c>
      <c r="J232" s="112"/>
    </row>
    <row r="233" s="3" customFormat="1" ht="17.6" spans="1:10">
      <c r="A233" s="12" t="s">
        <v>50</v>
      </c>
      <c r="B233" s="109" t="s">
        <v>322</v>
      </c>
      <c r="C233" s="57"/>
      <c r="D233" s="18"/>
      <c r="E233" s="19"/>
      <c r="F233" s="18">
        <f>SUM(F234:F236)</f>
        <v>23161.6</v>
      </c>
      <c r="G233" s="14"/>
      <c r="H233" s="14"/>
      <c r="I233" s="14"/>
      <c r="J233" s="18"/>
    </row>
    <row r="234" s="2" customFormat="1" ht="31" spans="1:10">
      <c r="A234" s="97">
        <v>1</v>
      </c>
      <c r="B234" s="110" t="s">
        <v>317</v>
      </c>
      <c r="C234" s="34" t="s">
        <v>52</v>
      </c>
      <c r="D234" s="65">
        <v>90</v>
      </c>
      <c r="E234" s="80">
        <v>28</v>
      </c>
      <c r="F234" s="65">
        <f t="shared" ref="F234:F236" si="35">ROUND(D234*E234,2)</f>
        <v>2520</v>
      </c>
      <c r="G234" s="111" t="s">
        <v>78</v>
      </c>
      <c r="H234" s="111" t="s">
        <v>311</v>
      </c>
      <c r="I234" s="111" t="s">
        <v>308</v>
      </c>
      <c r="J234" s="112"/>
    </row>
    <row r="235" s="2" customFormat="1" ht="31" spans="1:10">
      <c r="A235" s="97">
        <v>2</v>
      </c>
      <c r="B235" s="110" t="s">
        <v>323</v>
      </c>
      <c r="C235" s="34" t="s">
        <v>102</v>
      </c>
      <c r="D235" s="65">
        <v>117.92</v>
      </c>
      <c r="E235" s="80">
        <v>80</v>
      </c>
      <c r="F235" s="65">
        <f t="shared" si="35"/>
        <v>9433.6</v>
      </c>
      <c r="G235" s="111" t="s">
        <v>282</v>
      </c>
      <c r="H235" s="111" t="s">
        <v>307</v>
      </c>
      <c r="I235" s="111" t="s">
        <v>324</v>
      </c>
      <c r="J235" s="112"/>
    </row>
    <row r="236" s="2" customFormat="1" ht="31" spans="1:10">
      <c r="A236" s="97">
        <v>3</v>
      </c>
      <c r="B236" s="110" t="s">
        <v>325</v>
      </c>
      <c r="C236" s="34" t="s">
        <v>102</v>
      </c>
      <c r="D236" s="65">
        <v>140.1</v>
      </c>
      <c r="E236" s="80">
        <v>80</v>
      </c>
      <c r="F236" s="65">
        <f t="shared" si="35"/>
        <v>11208</v>
      </c>
      <c r="G236" s="111" t="s">
        <v>282</v>
      </c>
      <c r="H236" s="111" t="s">
        <v>307</v>
      </c>
      <c r="I236" s="111" t="s">
        <v>324</v>
      </c>
      <c r="J236" s="112"/>
    </row>
    <row r="237" s="3" customFormat="1" ht="17.6" spans="1:10">
      <c r="A237" s="12" t="s">
        <v>326</v>
      </c>
      <c r="B237" s="20" t="s">
        <v>327</v>
      </c>
      <c r="C237" s="57"/>
      <c r="D237" s="18"/>
      <c r="E237" s="19"/>
      <c r="F237" s="18">
        <f>SUM(F238:F252)</f>
        <v>984092.15</v>
      </c>
      <c r="G237" s="14"/>
      <c r="H237" s="14"/>
      <c r="I237" s="14"/>
      <c r="J237" s="18"/>
    </row>
    <row r="238" s="2" customFormat="1" ht="31" spans="1:10">
      <c r="A238" s="97">
        <v>1</v>
      </c>
      <c r="B238" s="110" t="s">
        <v>328</v>
      </c>
      <c r="C238" s="34" t="s">
        <v>19</v>
      </c>
      <c r="D238" s="65">
        <v>516</v>
      </c>
      <c r="E238" s="80">
        <v>480</v>
      </c>
      <c r="F238" s="65">
        <f t="shared" ref="F238:F252" si="36">ROUND(D238*E238,2)</f>
        <v>247680</v>
      </c>
      <c r="G238" s="111" t="s">
        <v>205</v>
      </c>
      <c r="H238" s="111" t="s">
        <v>278</v>
      </c>
      <c r="I238" s="111" t="s">
        <v>279</v>
      </c>
      <c r="J238" s="112"/>
    </row>
    <row r="239" s="2" customFormat="1" ht="31" spans="1:10">
      <c r="A239" s="97">
        <v>2</v>
      </c>
      <c r="B239" s="110" t="s">
        <v>329</v>
      </c>
      <c r="C239" s="34" t="s">
        <v>35</v>
      </c>
      <c r="D239" s="65">
        <v>15.92</v>
      </c>
      <c r="E239" s="80">
        <v>1200</v>
      </c>
      <c r="F239" s="65">
        <f t="shared" si="36"/>
        <v>19104</v>
      </c>
      <c r="G239" s="111" t="s">
        <v>330</v>
      </c>
      <c r="H239" s="111" t="s">
        <v>294</v>
      </c>
      <c r="I239" s="111" t="s">
        <v>331</v>
      </c>
      <c r="J239" s="112"/>
    </row>
    <row r="240" s="2" customFormat="1" ht="46" spans="1:10">
      <c r="A240" s="97">
        <v>3</v>
      </c>
      <c r="B240" s="110" t="s">
        <v>332</v>
      </c>
      <c r="C240" s="34" t="s">
        <v>19</v>
      </c>
      <c r="D240" s="65">
        <v>344.1</v>
      </c>
      <c r="E240" s="80">
        <v>58</v>
      </c>
      <c r="F240" s="65">
        <f t="shared" si="36"/>
        <v>19957.8</v>
      </c>
      <c r="G240" s="111" t="s">
        <v>262</v>
      </c>
      <c r="H240" s="111" t="s">
        <v>206</v>
      </c>
      <c r="I240" s="111" t="s">
        <v>264</v>
      </c>
      <c r="J240" s="112"/>
    </row>
    <row r="241" s="2" customFormat="1" ht="31" spans="1:10">
      <c r="A241" s="97">
        <v>4</v>
      </c>
      <c r="B241" s="110" t="s">
        <v>333</v>
      </c>
      <c r="C241" s="34" t="s">
        <v>19</v>
      </c>
      <c r="D241" s="65">
        <v>79.1976</v>
      </c>
      <c r="E241" s="80">
        <v>520</v>
      </c>
      <c r="F241" s="65">
        <f t="shared" si="36"/>
        <v>41182.75</v>
      </c>
      <c r="G241" s="111" t="s">
        <v>205</v>
      </c>
      <c r="H241" s="111" t="s">
        <v>278</v>
      </c>
      <c r="I241" s="111" t="s">
        <v>334</v>
      </c>
      <c r="J241" s="112"/>
    </row>
    <row r="242" s="2" customFormat="1" ht="31" spans="1:10">
      <c r="A242" s="97">
        <v>5</v>
      </c>
      <c r="B242" s="110" t="s">
        <v>335</v>
      </c>
      <c r="C242" s="34" t="s">
        <v>19</v>
      </c>
      <c r="D242" s="65">
        <v>98.52</v>
      </c>
      <c r="E242" s="80">
        <v>520</v>
      </c>
      <c r="F242" s="65">
        <f t="shared" si="36"/>
        <v>51230.4</v>
      </c>
      <c r="G242" s="118" t="s">
        <v>205</v>
      </c>
      <c r="H242" s="118" t="s">
        <v>278</v>
      </c>
      <c r="I242" s="118" t="s">
        <v>334</v>
      </c>
      <c r="J242" s="112"/>
    </row>
    <row r="243" s="2" customFormat="1" ht="31" spans="1:10">
      <c r="A243" s="97">
        <v>6</v>
      </c>
      <c r="B243" s="110" t="s">
        <v>336</v>
      </c>
      <c r="C243" s="34" t="s">
        <v>35</v>
      </c>
      <c r="D243" s="65">
        <v>9.033</v>
      </c>
      <c r="E243" s="80">
        <v>1200</v>
      </c>
      <c r="F243" s="65">
        <f t="shared" si="36"/>
        <v>10839.6</v>
      </c>
      <c r="G243" s="111" t="s">
        <v>205</v>
      </c>
      <c r="H243" s="111" t="s">
        <v>294</v>
      </c>
      <c r="I243" s="111" t="s">
        <v>337</v>
      </c>
      <c r="J243" s="112"/>
    </row>
    <row r="244" s="2" customFormat="1" ht="31" spans="1:10">
      <c r="A244" s="97">
        <v>7</v>
      </c>
      <c r="B244" s="110" t="s">
        <v>338</v>
      </c>
      <c r="C244" s="34" t="s">
        <v>52</v>
      </c>
      <c r="D244" s="65">
        <v>1720.2</v>
      </c>
      <c r="E244" s="80">
        <v>35</v>
      </c>
      <c r="F244" s="65">
        <f t="shared" si="36"/>
        <v>60207</v>
      </c>
      <c r="G244" s="111" t="s">
        <v>205</v>
      </c>
      <c r="H244" s="111" t="s">
        <v>176</v>
      </c>
      <c r="I244" s="111" t="s">
        <v>339</v>
      </c>
      <c r="J244" s="112"/>
    </row>
    <row r="245" s="2" customFormat="1" ht="46" spans="1:10">
      <c r="A245" s="97">
        <v>8</v>
      </c>
      <c r="B245" s="110" t="s">
        <v>340</v>
      </c>
      <c r="C245" s="34" t="s">
        <v>19</v>
      </c>
      <c r="D245" s="65">
        <v>355.2</v>
      </c>
      <c r="E245" s="80">
        <v>380</v>
      </c>
      <c r="F245" s="65">
        <f t="shared" si="36"/>
        <v>134976</v>
      </c>
      <c r="G245" s="111" t="s">
        <v>341</v>
      </c>
      <c r="H245" s="111" t="s">
        <v>342</v>
      </c>
      <c r="I245" s="111" t="s">
        <v>343</v>
      </c>
      <c r="J245" s="114"/>
    </row>
    <row r="246" s="2" customFormat="1" ht="31" spans="1:10">
      <c r="A246" s="97">
        <v>9</v>
      </c>
      <c r="B246" s="110" t="s">
        <v>344</v>
      </c>
      <c r="C246" s="34" t="s">
        <v>77</v>
      </c>
      <c r="D246" s="65">
        <v>88</v>
      </c>
      <c r="E246" s="80">
        <v>520</v>
      </c>
      <c r="F246" s="65">
        <f t="shared" si="36"/>
        <v>45760</v>
      </c>
      <c r="G246" s="111" t="s">
        <v>205</v>
      </c>
      <c r="H246" s="111" t="s">
        <v>278</v>
      </c>
      <c r="I246" s="111" t="s">
        <v>334</v>
      </c>
      <c r="J246" s="112"/>
    </row>
    <row r="247" s="2" customFormat="1" ht="17.6" spans="1:10">
      <c r="A247" s="97">
        <v>10</v>
      </c>
      <c r="B247" s="110" t="s">
        <v>345</v>
      </c>
      <c r="C247" s="34" t="s">
        <v>19</v>
      </c>
      <c r="D247" s="65">
        <v>4430.7</v>
      </c>
      <c r="E247" s="80">
        <v>26</v>
      </c>
      <c r="F247" s="65">
        <f t="shared" si="36"/>
        <v>115198.2</v>
      </c>
      <c r="G247" s="111" t="s">
        <v>175</v>
      </c>
      <c r="H247" s="111" t="s">
        <v>176</v>
      </c>
      <c r="I247" s="111" t="s">
        <v>260</v>
      </c>
      <c r="J247" s="112"/>
    </row>
    <row r="248" s="2" customFormat="1" ht="31" spans="1:10">
      <c r="A248" s="97">
        <v>11</v>
      </c>
      <c r="B248" s="110" t="s">
        <v>346</v>
      </c>
      <c r="C248" s="34" t="s">
        <v>77</v>
      </c>
      <c r="D248" s="65">
        <v>4430.7</v>
      </c>
      <c r="E248" s="80">
        <v>12</v>
      </c>
      <c r="F248" s="65">
        <f t="shared" si="36"/>
        <v>53168.4</v>
      </c>
      <c r="G248" s="111" t="s">
        <v>205</v>
      </c>
      <c r="H248" s="111" t="s">
        <v>176</v>
      </c>
      <c r="I248" s="111" t="s">
        <v>264</v>
      </c>
      <c r="J248" s="112"/>
    </row>
    <row r="249" s="2" customFormat="1" ht="31" spans="1:10">
      <c r="A249" s="97">
        <v>12</v>
      </c>
      <c r="B249" s="110" t="s">
        <v>347</v>
      </c>
      <c r="C249" s="34" t="s">
        <v>19</v>
      </c>
      <c r="D249" s="65">
        <v>1624.4</v>
      </c>
      <c r="E249" s="80">
        <v>12</v>
      </c>
      <c r="F249" s="65">
        <f t="shared" si="36"/>
        <v>19492.8</v>
      </c>
      <c r="G249" s="111" t="s">
        <v>205</v>
      </c>
      <c r="H249" s="111" t="s">
        <v>176</v>
      </c>
      <c r="I249" s="111" t="s">
        <v>264</v>
      </c>
      <c r="J249" s="112"/>
    </row>
    <row r="250" s="2" customFormat="1" ht="31" spans="1:10">
      <c r="A250" s="97">
        <v>13</v>
      </c>
      <c r="B250" s="110" t="s">
        <v>348</v>
      </c>
      <c r="C250" s="34" t="s">
        <v>19</v>
      </c>
      <c r="D250" s="65">
        <v>695</v>
      </c>
      <c r="E250" s="80">
        <v>168</v>
      </c>
      <c r="F250" s="65">
        <f t="shared" si="36"/>
        <v>116760</v>
      </c>
      <c r="G250" s="111" t="s">
        <v>95</v>
      </c>
      <c r="H250" s="111" t="s">
        <v>96</v>
      </c>
      <c r="I250" s="111" t="s">
        <v>349</v>
      </c>
      <c r="J250" s="112"/>
    </row>
    <row r="251" s="2" customFormat="1" ht="31" spans="1:10">
      <c r="A251" s="97">
        <v>14</v>
      </c>
      <c r="B251" s="110" t="s">
        <v>350</v>
      </c>
      <c r="C251" s="34" t="s">
        <v>19</v>
      </c>
      <c r="D251" s="65">
        <v>355.2</v>
      </c>
      <c r="E251" s="80">
        <v>86</v>
      </c>
      <c r="F251" s="65">
        <f t="shared" si="36"/>
        <v>30547.2</v>
      </c>
      <c r="G251" s="111" t="s">
        <v>95</v>
      </c>
      <c r="H251" s="111" t="s">
        <v>96</v>
      </c>
      <c r="I251" s="111" t="s">
        <v>349</v>
      </c>
      <c r="J251" s="114"/>
    </row>
    <row r="252" s="2" customFormat="1" ht="31" spans="1:10">
      <c r="A252" s="97">
        <v>15</v>
      </c>
      <c r="B252" s="110" t="s">
        <v>351</v>
      </c>
      <c r="C252" s="34" t="s">
        <v>19</v>
      </c>
      <c r="D252" s="65">
        <v>149.9</v>
      </c>
      <c r="E252" s="80">
        <v>120</v>
      </c>
      <c r="F252" s="65">
        <f t="shared" si="36"/>
        <v>17988</v>
      </c>
      <c r="G252" s="111" t="s">
        <v>95</v>
      </c>
      <c r="H252" s="111" t="s">
        <v>96</v>
      </c>
      <c r="I252" s="111" t="s">
        <v>349</v>
      </c>
      <c r="J252" s="112"/>
    </row>
    <row r="253" s="3" customFormat="1" ht="17.6" spans="1:10">
      <c r="A253" s="12" t="s">
        <v>352</v>
      </c>
      <c r="B253" s="20" t="s">
        <v>353</v>
      </c>
      <c r="C253" s="57"/>
      <c r="D253" s="18"/>
      <c r="E253" s="19"/>
      <c r="F253" s="18">
        <f>SUM(F254:F257)</f>
        <v>119782.56</v>
      </c>
      <c r="G253" s="14"/>
      <c r="H253" s="14"/>
      <c r="I253" s="14"/>
      <c r="J253" s="18"/>
    </row>
    <row r="254" s="2" customFormat="1" ht="31" spans="1:10">
      <c r="A254" s="97">
        <v>1</v>
      </c>
      <c r="B254" s="110" t="s">
        <v>354</v>
      </c>
      <c r="C254" s="34" t="s">
        <v>35</v>
      </c>
      <c r="D254" s="65">
        <v>0.765</v>
      </c>
      <c r="E254" s="80">
        <v>1200</v>
      </c>
      <c r="F254" s="65">
        <f>ROUND(D254*E254,2)</f>
        <v>918</v>
      </c>
      <c r="G254" s="111" t="s">
        <v>282</v>
      </c>
      <c r="H254" s="111" t="s">
        <v>294</v>
      </c>
      <c r="I254" s="111" t="s">
        <v>284</v>
      </c>
      <c r="J254" s="112"/>
    </row>
    <row r="255" s="2" customFormat="1" ht="31" spans="1:10">
      <c r="A255" s="97">
        <v>2</v>
      </c>
      <c r="B255" s="110" t="s">
        <v>355</v>
      </c>
      <c r="C255" s="34" t="s">
        <v>19</v>
      </c>
      <c r="D255" s="65">
        <v>50.9</v>
      </c>
      <c r="E255" s="80">
        <v>600</v>
      </c>
      <c r="F255" s="65">
        <f>ROUND(D255*E255,2)</f>
        <v>30540</v>
      </c>
      <c r="G255" s="111" t="s">
        <v>356</v>
      </c>
      <c r="H255" s="111" t="s">
        <v>357</v>
      </c>
      <c r="I255" s="111" t="s">
        <v>358</v>
      </c>
      <c r="J255" s="116"/>
    </row>
    <row r="256" s="2" customFormat="1" ht="31" spans="1:10">
      <c r="A256" s="97">
        <v>3</v>
      </c>
      <c r="B256" s="110" t="s">
        <v>359</v>
      </c>
      <c r="C256" s="34" t="s">
        <v>102</v>
      </c>
      <c r="D256" s="65">
        <v>495</v>
      </c>
      <c r="E256" s="80">
        <v>120</v>
      </c>
      <c r="F256" s="65">
        <f>ROUND(D256*E256,2)</f>
        <v>59400</v>
      </c>
      <c r="G256" s="111" t="s">
        <v>360</v>
      </c>
      <c r="H256" s="111" t="s">
        <v>361</v>
      </c>
      <c r="I256" s="111" t="s">
        <v>362</v>
      </c>
      <c r="J256" s="112"/>
    </row>
    <row r="257" s="2" customFormat="1" ht="31" spans="1:10">
      <c r="A257" s="97">
        <v>4</v>
      </c>
      <c r="B257" s="110" t="s">
        <v>363</v>
      </c>
      <c r="C257" s="34" t="s">
        <v>77</v>
      </c>
      <c r="D257" s="65">
        <v>172.17</v>
      </c>
      <c r="E257" s="80">
        <v>168</v>
      </c>
      <c r="F257" s="65">
        <f>ROUND(D257*E257,2)</f>
        <v>28924.56</v>
      </c>
      <c r="G257" s="111" t="s">
        <v>95</v>
      </c>
      <c r="H257" s="111" t="s">
        <v>96</v>
      </c>
      <c r="I257" s="111" t="s">
        <v>349</v>
      </c>
      <c r="J257" s="112"/>
    </row>
    <row r="258" s="3" customFormat="1" ht="17.6" spans="1:10">
      <c r="A258" s="12" t="s">
        <v>364</v>
      </c>
      <c r="B258" s="20" t="s">
        <v>71</v>
      </c>
      <c r="C258" s="57"/>
      <c r="D258" s="18"/>
      <c r="E258" s="19"/>
      <c r="F258" s="18">
        <f>SUM(F259:F268)</f>
        <v>258831.6</v>
      </c>
      <c r="G258" s="14"/>
      <c r="H258" s="14"/>
      <c r="I258" s="14"/>
      <c r="J258" s="18"/>
    </row>
    <row r="259" s="2" customFormat="1" ht="17.6" spans="1:10">
      <c r="A259" s="97">
        <v>1</v>
      </c>
      <c r="B259" s="110" t="s">
        <v>365</v>
      </c>
      <c r="C259" s="34" t="s">
        <v>77</v>
      </c>
      <c r="D259" s="65">
        <v>539.4</v>
      </c>
      <c r="E259" s="80">
        <v>18</v>
      </c>
      <c r="F259" s="65">
        <f t="shared" ref="F259:F270" si="37">ROUND(D259*E259,2)</f>
        <v>9709.2</v>
      </c>
      <c r="G259" s="111" t="s">
        <v>175</v>
      </c>
      <c r="H259" s="111" t="s">
        <v>176</v>
      </c>
      <c r="I259" s="111" t="s">
        <v>260</v>
      </c>
      <c r="J259" s="112"/>
    </row>
    <row r="260" s="2" customFormat="1" ht="31" spans="1:10">
      <c r="A260" s="97">
        <v>2</v>
      </c>
      <c r="B260" s="110" t="s">
        <v>366</v>
      </c>
      <c r="C260" s="34" t="s">
        <v>77</v>
      </c>
      <c r="D260" s="65">
        <v>99.1</v>
      </c>
      <c r="E260" s="80">
        <v>56</v>
      </c>
      <c r="F260" s="65">
        <f t="shared" si="37"/>
        <v>5549.6</v>
      </c>
      <c r="G260" s="111" t="s">
        <v>367</v>
      </c>
      <c r="H260" s="111" t="s">
        <v>368</v>
      </c>
      <c r="I260" s="111" t="s">
        <v>369</v>
      </c>
      <c r="J260" s="119"/>
    </row>
    <row r="261" s="2" customFormat="1" ht="31" spans="1:10">
      <c r="A261" s="97">
        <v>3</v>
      </c>
      <c r="B261" s="110" t="s">
        <v>370</v>
      </c>
      <c r="C261" s="34" t="s">
        <v>77</v>
      </c>
      <c r="D261" s="65">
        <v>31.3</v>
      </c>
      <c r="E261" s="80">
        <v>560</v>
      </c>
      <c r="F261" s="65">
        <f t="shared" si="37"/>
        <v>17528</v>
      </c>
      <c r="G261" s="111" t="s">
        <v>371</v>
      </c>
      <c r="H261" s="111" t="s">
        <v>287</v>
      </c>
      <c r="I261" s="111" t="s">
        <v>288</v>
      </c>
      <c r="J261" s="112"/>
    </row>
    <row r="262" s="2" customFormat="1" ht="31" spans="1:10">
      <c r="A262" s="97">
        <v>4</v>
      </c>
      <c r="B262" s="110" t="s">
        <v>372</v>
      </c>
      <c r="C262" s="34" t="s">
        <v>77</v>
      </c>
      <c r="D262" s="65">
        <v>296</v>
      </c>
      <c r="E262" s="80">
        <v>420</v>
      </c>
      <c r="F262" s="65">
        <f t="shared" si="37"/>
        <v>124320</v>
      </c>
      <c r="G262" s="111" t="s">
        <v>371</v>
      </c>
      <c r="H262" s="111" t="s">
        <v>287</v>
      </c>
      <c r="I262" s="111" t="s">
        <v>288</v>
      </c>
      <c r="J262" s="112"/>
    </row>
    <row r="263" s="2" customFormat="1" ht="31" spans="1:10">
      <c r="A263" s="97">
        <v>5</v>
      </c>
      <c r="B263" s="110" t="s">
        <v>373</v>
      </c>
      <c r="C263" s="34" t="s">
        <v>77</v>
      </c>
      <c r="D263" s="65">
        <v>47.9</v>
      </c>
      <c r="E263" s="80">
        <v>560</v>
      </c>
      <c r="F263" s="65">
        <f t="shared" si="37"/>
        <v>26824</v>
      </c>
      <c r="G263" s="111" t="s">
        <v>112</v>
      </c>
      <c r="H263" s="111" t="s">
        <v>278</v>
      </c>
      <c r="I263" s="111" t="s">
        <v>374</v>
      </c>
      <c r="J263" s="112"/>
    </row>
    <row r="264" s="2" customFormat="1" ht="31" spans="1:10">
      <c r="A264" s="97">
        <v>6</v>
      </c>
      <c r="B264" s="110" t="s">
        <v>348</v>
      </c>
      <c r="C264" s="34" t="s">
        <v>77</v>
      </c>
      <c r="D264" s="65">
        <v>97.5</v>
      </c>
      <c r="E264" s="80">
        <v>168</v>
      </c>
      <c r="F264" s="65">
        <f t="shared" si="37"/>
        <v>16380</v>
      </c>
      <c r="G264" s="111" t="s">
        <v>95</v>
      </c>
      <c r="H264" s="111" t="s">
        <v>96</v>
      </c>
      <c r="I264" s="111" t="s">
        <v>349</v>
      </c>
      <c r="J264" s="112"/>
    </row>
    <row r="265" s="2" customFormat="1" ht="31" spans="1:10">
      <c r="A265" s="97">
        <v>7</v>
      </c>
      <c r="B265" s="110" t="s">
        <v>350</v>
      </c>
      <c r="C265" s="34" t="s">
        <v>77</v>
      </c>
      <c r="D265" s="65">
        <v>46</v>
      </c>
      <c r="E265" s="80">
        <v>86</v>
      </c>
      <c r="F265" s="65">
        <f t="shared" si="37"/>
        <v>3956</v>
      </c>
      <c r="G265" s="111" t="s">
        <v>95</v>
      </c>
      <c r="H265" s="111" t="s">
        <v>96</v>
      </c>
      <c r="I265" s="111" t="s">
        <v>349</v>
      </c>
      <c r="J265" s="114"/>
    </row>
    <row r="266" s="2" customFormat="1" ht="31" spans="1:10">
      <c r="A266" s="97">
        <v>8</v>
      </c>
      <c r="B266" s="110" t="s">
        <v>351</v>
      </c>
      <c r="C266" s="34" t="s">
        <v>77</v>
      </c>
      <c r="D266" s="65">
        <v>155.9</v>
      </c>
      <c r="E266" s="80">
        <v>120</v>
      </c>
      <c r="F266" s="65">
        <f t="shared" si="37"/>
        <v>18708</v>
      </c>
      <c r="G266" s="111" t="s">
        <v>95</v>
      </c>
      <c r="H266" s="111" t="s">
        <v>96</v>
      </c>
      <c r="I266" s="111" t="s">
        <v>349</v>
      </c>
      <c r="J266" s="112"/>
    </row>
    <row r="267" s="2" customFormat="1" ht="31" spans="1:10">
      <c r="A267" s="97">
        <v>9</v>
      </c>
      <c r="B267" s="110" t="s">
        <v>375</v>
      </c>
      <c r="C267" s="34" t="s">
        <v>77</v>
      </c>
      <c r="D267" s="65">
        <v>78.4</v>
      </c>
      <c r="E267" s="80">
        <v>420</v>
      </c>
      <c r="F267" s="65">
        <f t="shared" si="37"/>
        <v>32928</v>
      </c>
      <c r="G267" s="111" t="s">
        <v>112</v>
      </c>
      <c r="H267" s="111" t="s">
        <v>376</v>
      </c>
      <c r="I267" s="111" t="s">
        <v>377</v>
      </c>
      <c r="J267" s="112"/>
    </row>
    <row r="268" s="2" customFormat="1" ht="31" spans="1:10">
      <c r="A268" s="97">
        <v>10</v>
      </c>
      <c r="B268" s="110" t="s">
        <v>378</v>
      </c>
      <c r="C268" s="34" t="s">
        <v>77</v>
      </c>
      <c r="D268" s="65">
        <v>52.3</v>
      </c>
      <c r="E268" s="80">
        <v>56</v>
      </c>
      <c r="F268" s="65">
        <f t="shared" si="37"/>
        <v>2928.8</v>
      </c>
      <c r="G268" s="111" t="s">
        <v>367</v>
      </c>
      <c r="H268" s="111" t="s">
        <v>368</v>
      </c>
      <c r="I268" s="111" t="s">
        <v>369</v>
      </c>
      <c r="J268" s="119"/>
    </row>
    <row r="269" s="3" customFormat="1" ht="17.6" spans="1:10">
      <c r="A269" s="12" t="s">
        <v>379</v>
      </c>
      <c r="B269" s="20" t="s">
        <v>380</v>
      </c>
      <c r="C269" s="57"/>
      <c r="D269" s="18"/>
      <c r="E269" s="19"/>
      <c r="F269" s="18">
        <f>SUM(F270:F274)</f>
        <v>27838.6</v>
      </c>
      <c r="G269" s="14"/>
      <c r="H269" s="14"/>
      <c r="I269" s="14"/>
      <c r="J269" s="18"/>
    </row>
    <row r="270" s="2" customFormat="1" ht="31" spans="1:10">
      <c r="A270" s="97">
        <v>1</v>
      </c>
      <c r="B270" s="110" t="s">
        <v>381</v>
      </c>
      <c r="C270" s="34" t="s">
        <v>52</v>
      </c>
      <c r="D270" s="65">
        <v>244.2</v>
      </c>
      <c r="E270" s="80">
        <v>18</v>
      </c>
      <c r="F270" s="65">
        <f t="shared" ref="F270:F274" si="38">ROUND(D270*E270,2)</f>
        <v>4395.6</v>
      </c>
      <c r="G270" s="111" t="s">
        <v>78</v>
      </c>
      <c r="H270" s="111" t="s">
        <v>307</v>
      </c>
      <c r="I270" s="111" t="s">
        <v>382</v>
      </c>
      <c r="J270" s="112"/>
    </row>
    <row r="271" s="2" customFormat="1" ht="31" spans="1:10">
      <c r="A271" s="97">
        <v>2</v>
      </c>
      <c r="B271" s="110" t="s">
        <v>383</v>
      </c>
      <c r="C271" s="34" t="s">
        <v>77</v>
      </c>
      <c r="D271" s="65">
        <v>27</v>
      </c>
      <c r="E271" s="80">
        <v>350</v>
      </c>
      <c r="F271" s="65">
        <f t="shared" si="38"/>
        <v>9450</v>
      </c>
      <c r="G271" s="111" t="s">
        <v>205</v>
      </c>
      <c r="H271" s="111" t="s">
        <v>384</v>
      </c>
      <c r="I271" s="111" t="s">
        <v>385</v>
      </c>
      <c r="J271" s="112"/>
    </row>
    <row r="272" s="2" customFormat="1" ht="31" spans="1:10">
      <c r="A272" s="97">
        <v>3</v>
      </c>
      <c r="B272" s="110" t="s">
        <v>386</v>
      </c>
      <c r="C272" s="34" t="s">
        <v>52</v>
      </c>
      <c r="D272" s="65">
        <v>247.7</v>
      </c>
      <c r="E272" s="80">
        <v>38</v>
      </c>
      <c r="F272" s="65">
        <f t="shared" si="38"/>
        <v>9412.6</v>
      </c>
      <c r="G272" s="111" t="s">
        <v>78</v>
      </c>
      <c r="H272" s="111" t="s">
        <v>311</v>
      </c>
      <c r="I272" s="111" t="s">
        <v>312</v>
      </c>
      <c r="J272" s="112"/>
    </row>
    <row r="273" s="2" customFormat="1" ht="31" spans="1:10">
      <c r="A273" s="97">
        <v>4</v>
      </c>
      <c r="B273" s="110" t="s">
        <v>387</v>
      </c>
      <c r="C273" s="34" t="s">
        <v>77</v>
      </c>
      <c r="D273" s="65">
        <v>10.8</v>
      </c>
      <c r="E273" s="80">
        <v>350</v>
      </c>
      <c r="F273" s="65">
        <f t="shared" si="38"/>
        <v>3780</v>
      </c>
      <c r="G273" s="111" t="s">
        <v>319</v>
      </c>
      <c r="H273" s="111" t="s">
        <v>388</v>
      </c>
      <c r="I273" s="111" t="s">
        <v>321</v>
      </c>
      <c r="J273" s="112"/>
    </row>
    <row r="274" s="2" customFormat="1" ht="31" spans="1:10">
      <c r="A274" s="97">
        <v>5</v>
      </c>
      <c r="B274" s="110" t="s">
        <v>389</v>
      </c>
      <c r="C274" s="34" t="s">
        <v>35</v>
      </c>
      <c r="D274" s="65">
        <v>0.667</v>
      </c>
      <c r="E274" s="80">
        <v>1200</v>
      </c>
      <c r="F274" s="65">
        <f t="shared" si="38"/>
        <v>800.4</v>
      </c>
      <c r="G274" s="111" t="s">
        <v>282</v>
      </c>
      <c r="H274" s="111" t="s">
        <v>294</v>
      </c>
      <c r="I274" s="111" t="s">
        <v>284</v>
      </c>
      <c r="J274" s="112"/>
    </row>
    <row r="275" s="3" customFormat="1" ht="17.6" spans="1:10">
      <c r="A275" s="12" t="s">
        <v>55</v>
      </c>
      <c r="B275" s="109" t="s">
        <v>390</v>
      </c>
      <c r="C275" s="12"/>
      <c r="D275" s="18"/>
      <c r="E275" s="19"/>
      <c r="F275" s="18">
        <f>F276+F283+F296+F301+F305+F321+F324</f>
        <v>1518831.2</v>
      </c>
      <c r="G275" s="14"/>
      <c r="H275" s="14"/>
      <c r="I275" s="14"/>
      <c r="J275" s="18"/>
    </row>
    <row r="276" s="3" customFormat="1" ht="17.6" spans="1:10">
      <c r="A276" s="12" t="s">
        <v>16</v>
      </c>
      <c r="B276" s="109" t="s">
        <v>258</v>
      </c>
      <c r="C276" s="12"/>
      <c r="D276" s="18"/>
      <c r="E276" s="19"/>
      <c r="F276" s="18">
        <f>SUM(F277:F282)</f>
        <v>347342</v>
      </c>
      <c r="G276" s="14"/>
      <c r="H276" s="14"/>
      <c r="I276" s="14"/>
      <c r="J276" s="18"/>
    </row>
    <row r="277" s="2" customFormat="1" ht="17.6" spans="1:10">
      <c r="A277" s="97">
        <v>1</v>
      </c>
      <c r="B277" s="110" t="s">
        <v>259</v>
      </c>
      <c r="C277" s="34" t="s">
        <v>77</v>
      </c>
      <c r="D277" s="65">
        <v>3433</v>
      </c>
      <c r="E277" s="80">
        <v>18</v>
      </c>
      <c r="F277" s="65">
        <f t="shared" ref="F277:F283" si="39">ROUND(D277*E277,2)</f>
        <v>61794</v>
      </c>
      <c r="G277" s="111" t="s">
        <v>175</v>
      </c>
      <c r="H277" s="111" t="s">
        <v>176</v>
      </c>
      <c r="I277" s="111" t="s">
        <v>260</v>
      </c>
      <c r="J277" s="112"/>
    </row>
    <row r="278" s="2" customFormat="1" ht="46" spans="1:10">
      <c r="A278" s="97">
        <v>2</v>
      </c>
      <c r="B278" s="110" t="s">
        <v>261</v>
      </c>
      <c r="C278" s="34" t="s">
        <v>77</v>
      </c>
      <c r="D278" s="65">
        <v>1023</v>
      </c>
      <c r="E278" s="80">
        <v>58</v>
      </c>
      <c r="F278" s="65">
        <f t="shared" si="39"/>
        <v>59334</v>
      </c>
      <c r="G278" s="111" t="s">
        <v>262</v>
      </c>
      <c r="H278" s="111" t="s">
        <v>263</v>
      </c>
      <c r="I278" s="111" t="s">
        <v>264</v>
      </c>
      <c r="J278" s="112"/>
    </row>
    <row r="279" s="2" customFormat="1" ht="31" spans="1:10">
      <c r="A279" s="97">
        <v>3</v>
      </c>
      <c r="B279" s="110" t="s">
        <v>265</v>
      </c>
      <c r="C279" s="34" t="s">
        <v>19</v>
      </c>
      <c r="D279" s="65">
        <v>183</v>
      </c>
      <c r="E279" s="80">
        <v>12</v>
      </c>
      <c r="F279" s="65">
        <f t="shared" si="39"/>
        <v>2196</v>
      </c>
      <c r="G279" s="111" t="s">
        <v>205</v>
      </c>
      <c r="H279" s="111" t="s">
        <v>176</v>
      </c>
      <c r="I279" s="111" t="s">
        <v>264</v>
      </c>
      <c r="J279" s="112"/>
    </row>
    <row r="280" s="2" customFormat="1" ht="31" spans="1:10">
      <c r="A280" s="97">
        <v>4</v>
      </c>
      <c r="B280" s="110" t="s">
        <v>266</v>
      </c>
      <c r="C280" s="34" t="s">
        <v>19</v>
      </c>
      <c r="D280" s="65">
        <v>327.3</v>
      </c>
      <c r="E280" s="80">
        <v>380</v>
      </c>
      <c r="F280" s="65">
        <f t="shared" si="39"/>
        <v>124374</v>
      </c>
      <c r="G280" s="111" t="s">
        <v>267</v>
      </c>
      <c r="H280" s="111" t="s">
        <v>268</v>
      </c>
      <c r="I280" s="111" t="s">
        <v>269</v>
      </c>
      <c r="J280" s="112"/>
    </row>
    <row r="281" s="2" customFormat="1" ht="31" spans="1:10">
      <c r="A281" s="97">
        <v>5</v>
      </c>
      <c r="B281" s="110" t="s">
        <v>270</v>
      </c>
      <c r="C281" s="34" t="s">
        <v>102</v>
      </c>
      <c r="D281" s="65">
        <v>613.7</v>
      </c>
      <c r="E281" s="80">
        <v>120</v>
      </c>
      <c r="F281" s="65">
        <f t="shared" si="39"/>
        <v>73644</v>
      </c>
      <c r="G281" s="111" t="s">
        <v>271</v>
      </c>
      <c r="H281" s="111" t="s">
        <v>120</v>
      </c>
      <c r="I281" s="111" t="s">
        <v>272</v>
      </c>
      <c r="J281" s="113"/>
    </row>
    <row r="282" s="2" customFormat="1" ht="17.6" spans="1:10">
      <c r="A282" s="97">
        <v>6</v>
      </c>
      <c r="B282" s="110" t="s">
        <v>273</v>
      </c>
      <c r="C282" s="34" t="s">
        <v>77</v>
      </c>
      <c r="D282" s="65">
        <v>3250</v>
      </c>
      <c r="E282" s="80">
        <v>8</v>
      </c>
      <c r="F282" s="65">
        <f t="shared" si="39"/>
        <v>26000</v>
      </c>
      <c r="G282" s="111" t="s">
        <v>20</v>
      </c>
      <c r="H282" s="111" t="s">
        <v>79</v>
      </c>
      <c r="I282" s="111" t="s">
        <v>274</v>
      </c>
      <c r="J282" s="112"/>
    </row>
    <row r="283" s="3" customFormat="1" ht="17.6" spans="1:10">
      <c r="A283" s="12" t="s">
        <v>38</v>
      </c>
      <c r="B283" s="109" t="s">
        <v>276</v>
      </c>
      <c r="C283" s="57"/>
      <c r="D283" s="18"/>
      <c r="E283" s="19"/>
      <c r="F283" s="18">
        <f>SUM(F284:F295)</f>
        <v>604044</v>
      </c>
      <c r="G283" s="14"/>
      <c r="H283" s="14"/>
      <c r="I283" s="14"/>
      <c r="J283" s="18"/>
    </row>
    <row r="284" s="2" customFormat="1" ht="31" spans="1:10">
      <c r="A284" s="97">
        <v>1</v>
      </c>
      <c r="B284" s="110" t="s">
        <v>277</v>
      </c>
      <c r="C284" s="34" t="s">
        <v>77</v>
      </c>
      <c r="D284" s="65">
        <v>213.2</v>
      </c>
      <c r="E284" s="80">
        <v>480</v>
      </c>
      <c r="F284" s="65">
        <f t="shared" ref="F284:F295" si="40">ROUND(D284*E284,2)</f>
        <v>102336</v>
      </c>
      <c r="G284" s="111" t="s">
        <v>205</v>
      </c>
      <c r="H284" s="111" t="s">
        <v>278</v>
      </c>
      <c r="I284" s="111" t="s">
        <v>279</v>
      </c>
      <c r="J284" s="112"/>
    </row>
    <row r="285" s="2" customFormat="1" ht="31" spans="1:10">
      <c r="A285" s="97">
        <v>2</v>
      </c>
      <c r="B285" s="110" t="s">
        <v>280</v>
      </c>
      <c r="C285" s="34" t="s">
        <v>77</v>
      </c>
      <c r="D285" s="65">
        <v>15.7</v>
      </c>
      <c r="E285" s="80">
        <v>480</v>
      </c>
      <c r="F285" s="65">
        <f t="shared" si="40"/>
        <v>7536</v>
      </c>
      <c r="G285" s="111" t="s">
        <v>205</v>
      </c>
      <c r="H285" s="111" t="s">
        <v>278</v>
      </c>
      <c r="I285" s="111" t="s">
        <v>279</v>
      </c>
      <c r="J285" s="112"/>
    </row>
    <row r="286" s="2" customFormat="1" ht="31" spans="1:10">
      <c r="A286" s="97">
        <v>3</v>
      </c>
      <c r="B286" s="110" t="s">
        <v>281</v>
      </c>
      <c r="C286" s="34" t="s">
        <v>35</v>
      </c>
      <c r="D286" s="65">
        <v>5.765</v>
      </c>
      <c r="E286" s="80">
        <v>1200</v>
      </c>
      <c r="F286" s="65">
        <f t="shared" si="40"/>
        <v>6918</v>
      </c>
      <c r="G286" s="111" t="s">
        <v>282</v>
      </c>
      <c r="H286" s="111" t="s">
        <v>294</v>
      </c>
      <c r="I286" s="111" t="s">
        <v>284</v>
      </c>
      <c r="J286" s="112"/>
    </row>
    <row r="287" s="2" customFormat="1" ht="31" spans="1:10">
      <c r="A287" s="97">
        <v>4</v>
      </c>
      <c r="B287" s="110" t="s">
        <v>285</v>
      </c>
      <c r="C287" s="34" t="s">
        <v>77</v>
      </c>
      <c r="D287" s="65">
        <v>4.1</v>
      </c>
      <c r="E287" s="80">
        <v>380</v>
      </c>
      <c r="F287" s="65">
        <f t="shared" si="40"/>
        <v>1558</v>
      </c>
      <c r="G287" s="111" t="s">
        <v>286</v>
      </c>
      <c r="H287" s="111" t="s">
        <v>287</v>
      </c>
      <c r="I287" s="111" t="s">
        <v>288</v>
      </c>
      <c r="J287" s="112"/>
    </row>
    <row r="288" s="2" customFormat="1" ht="31" spans="1:10">
      <c r="A288" s="97">
        <v>5</v>
      </c>
      <c r="B288" s="110" t="s">
        <v>289</v>
      </c>
      <c r="C288" s="34" t="s">
        <v>19</v>
      </c>
      <c r="D288" s="65">
        <v>504.9</v>
      </c>
      <c r="E288" s="80">
        <v>520</v>
      </c>
      <c r="F288" s="65">
        <f t="shared" si="40"/>
        <v>262548</v>
      </c>
      <c r="G288" s="111" t="s">
        <v>78</v>
      </c>
      <c r="H288" s="111" t="s">
        <v>290</v>
      </c>
      <c r="I288" s="111" t="s">
        <v>291</v>
      </c>
      <c r="J288" s="112"/>
    </row>
    <row r="289" s="2" customFormat="1" ht="31" spans="1:10">
      <c r="A289" s="97">
        <v>6</v>
      </c>
      <c r="B289" s="110" t="s">
        <v>292</v>
      </c>
      <c r="C289" s="34" t="s">
        <v>35</v>
      </c>
      <c r="D289" s="65">
        <v>76.749</v>
      </c>
      <c r="E289" s="80">
        <v>1200</v>
      </c>
      <c r="F289" s="65">
        <f t="shared" si="40"/>
        <v>92098.8</v>
      </c>
      <c r="G289" s="111" t="s">
        <v>391</v>
      </c>
      <c r="H289" s="111" t="s">
        <v>294</v>
      </c>
      <c r="I289" s="111" t="s">
        <v>295</v>
      </c>
      <c r="J289" s="112"/>
    </row>
    <row r="290" s="2" customFormat="1" ht="31" spans="1:10">
      <c r="A290" s="97">
        <v>7</v>
      </c>
      <c r="B290" s="110" t="s">
        <v>296</v>
      </c>
      <c r="C290" s="34" t="s">
        <v>19</v>
      </c>
      <c r="D290" s="65">
        <v>183</v>
      </c>
      <c r="E290" s="80">
        <v>520</v>
      </c>
      <c r="F290" s="65">
        <f t="shared" si="40"/>
        <v>95160</v>
      </c>
      <c r="G290" s="111" t="s">
        <v>78</v>
      </c>
      <c r="H290" s="111" t="s">
        <v>290</v>
      </c>
      <c r="I290" s="111" t="s">
        <v>297</v>
      </c>
      <c r="J290" s="112"/>
    </row>
    <row r="291" s="2" customFormat="1" ht="31" spans="1:10">
      <c r="A291" s="97">
        <v>8</v>
      </c>
      <c r="B291" s="110" t="s">
        <v>281</v>
      </c>
      <c r="C291" s="34" t="s">
        <v>35</v>
      </c>
      <c r="D291" s="65">
        <v>1.692</v>
      </c>
      <c r="E291" s="80">
        <v>1200</v>
      </c>
      <c r="F291" s="65">
        <f t="shared" si="40"/>
        <v>2030.4</v>
      </c>
      <c r="G291" s="111" t="s">
        <v>282</v>
      </c>
      <c r="H291" s="111" t="s">
        <v>294</v>
      </c>
      <c r="I291" s="111" t="s">
        <v>284</v>
      </c>
      <c r="J291" s="112"/>
    </row>
    <row r="292" s="2" customFormat="1" ht="31" spans="1:10">
      <c r="A292" s="97">
        <v>9</v>
      </c>
      <c r="B292" s="110" t="s">
        <v>298</v>
      </c>
      <c r="C292" s="34" t="s">
        <v>19</v>
      </c>
      <c r="D292" s="65">
        <v>7.6</v>
      </c>
      <c r="E292" s="80">
        <v>58</v>
      </c>
      <c r="F292" s="65">
        <f t="shared" si="40"/>
        <v>440.8</v>
      </c>
      <c r="G292" s="111" t="s">
        <v>299</v>
      </c>
      <c r="H292" s="111" t="s">
        <v>300</v>
      </c>
      <c r="I292" s="111" t="s">
        <v>301</v>
      </c>
      <c r="J292" s="115"/>
    </row>
    <row r="293" s="2" customFormat="1" ht="31" spans="1:10">
      <c r="A293" s="97">
        <v>10</v>
      </c>
      <c r="B293" s="110" t="s">
        <v>302</v>
      </c>
      <c r="C293" s="34" t="s">
        <v>19</v>
      </c>
      <c r="D293" s="65">
        <v>8</v>
      </c>
      <c r="E293" s="80">
        <v>560</v>
      </c>
      <c r="F293" s="65">
        <f t="shared" si="40"/>
        <v>4480</v>
      </c>
      <c r="G293" s="111" t="s">
        <v>78</v>
      </c>
      <c r="H293" s="111" t="s">
        <v>290</v>
      </c>
      <c r="I293" s="111" t="s">
        <v>291</v>
      </c>
      <c r="J293" s="112"/>
    </row>
    <row r="294" s="2" customFormat="1" ht="31" spans="1:10">
      <c r="A294" s="97">
        <v>11</v>
      </c>
      <c r="B294" s="110" t="s">
        <v>303</v>
      </c>
      <c r="C294" s="34" t="s">
        <v>52</v>
      </c>
      <c r="D294" s="65">
        <v>15.1</v>
      </c>
      <c r="E294" s="80">
        <v>260</v>
      </c>
      <c r="F294" s="65">
        <f t="shared" si="40"/>
        <v>3926</v>
      </c>
      <c r="G294" s="111" t="s">
        <v>78</v>
      </c>
      <c r="H294" s="111" t="s">
        <v>304</v>
      </c>
      <c r="I294" s="111" t="s">
        <v>305</v>
      </c>
      <c r="J294" s="116"/>
    </row>
    <row r="295" s="2" customFormat="1" ht="31" spans="1:10">
      <c r="A295" s="97">
        <v>12</v>
      </c>
      <c r="B295" s="110" t="s">
        <v>306</v>
      </c>
      <c r="C295" s="34" t="s">
        <v>52</v>
      </c>
      <c r="D295" s="65">
        <v>96.2</v>
      </c>
      <c r="E295" s="80">
        <v>260</v>
      </c>
      <c r="F295" s="65">
        <f t="shared" si="40"/>
        <v>25012</v>
      </c>
      <c r="G295" s="111" t="s">
        <v>78</v>
      </c>
      <c r="H295" s="111" t="s">
        <v>307</v>
      </c>
      <c r="I295" s="111" t="s">
        <v>308</v>
      </c>
      <c r="J295" s="112"/>
    </row>
    <row r="296" s="3" customFormat="1" ht="17.6" spans="1:10">
      <c r="A296" s="12" t="s">
        <v>44</v>
      </c>
      <c r="B296" s="109" t="s">
        <v>309</v>
      </c>
      <c r="C296" s="57"/>
      <c r="D296" s="18"/>
      <c r="E296" s="19"/>
      <c r="F296" s="18">
        <f>SUM(F297:F300)</f>
        <v>26987.6</v>
      </c>
      <c r="G296" s="14"/>
      <c r="H296" s="14"/>
      <c r="I296" s="14"/>
      <c r="J296" s="18"/>
    </row>
    <row r="297" s="2" customFormat="1" ht="31" spans="1:10">
      <c r="A297" s="97">
        <v>1</v>
      </c>
      <c r="B297" s="110" t="s">
        <v>310</v>
      </c>
      <c r="C297" s="34" t="s">
        <v>52</v>
      </c>
      <c r="D297" s="65">
        <v>511.6</v>
      </c>
      <c r="E297" s="80">
        <v>22</v>
      </c>
      <c r="F297" s="65">
        <f t="shared" ref="F297:F300" si="41">ROUND(D297*E297,2)</f>
        <v>11255.2</v>
      </c>
      <c r="G297" s="111" t="s">
        <v>78</v>
      </c>
      <c r="H297" s="111" t="s">
        <v>311</v>
      </c>
      <c r="I297" s="111" t="s">
        <v>312</v>
      </c>
      <c r="J297" s="112"/>
    </row>
    <row r="298" s="2" customFormat="1" ht="46" spans="1:10">
      <c r="A298" s="97">
        <v>2</v>
      </c>
      <c r="B298" s="110" t="s">
        <v>313</v>
      </c>
      <c r="C298" s="34" t="s">
        <v>19</v>
      </c>
      <c r="D298" s="65">
        <v>7.6</v>
      </c>
      <c r="E298" s="80">
        <v>360</v>
      </c>
      <c r="F298" s="65">
        <f t="shared" si="41"/>
        <v>2736</v>
      </c>
      <c r="G298" s="111" t="s">
        <v>314</v>
      </c>
      <c r="H298" s="111" t="s">
        <v>315</v>
      </c>
      <c r="I298" s="111" t="s">
        <v>316</v>
      </c>
      <c r="J298" s="117"/>
    </row>
    <row r="299" s="2" customFormat="1" ht="31" spans="1:10">
      <c r="A299" s="97">
        <v>3</v>
      </c>
      <c r="B299" s="110" t="s">
        <v>317</v>
      </c>
      <c r="C299" s="34" t="s">
        <v>52</v>
      </c>
      <c r="D299" s="65">
        <v>260.8</v>
      </c>
      <c r="E299" s="80">
        <v>28</v>
      </c>
      <c r="F299" s="65">
        <f t="shared" si="41"/>
        <v>7302.4</v>
      </c>
      <c r="G299" s="111" t="s">
        <v>78</v>
      </c>
      <c r="H299" s="111" t="s">
        <v>311</v>
      </c>
      <c r="I299" s="111" t="s">
        <v>308</v>
      </c>
      <c r="J299" s="112"/>
    </row>
    <row r="300" s="2" customFormat="1" ht="31" spans="1:10">
      <c r="A300" s="97">
        <v>4</v>
      </c>
      <c r="B300" s="110" t="s">
        <v>318</v>
      </c>
      <c r="C300" s="34" t="s">
        <v>19</v>
      </c>
      <c r="D300" s="65">
        <v>14.6</v>
      </c>
      <c r="E300" s="80">
        <v>390</v>
      </c>
      <c r="F300" s="65">
        <f t="shared" si="41"/>
        <v>5694</v>
      </c>
      <c r="G300" s="111" t="s">
        <v>319</v>
      </c>
      <c r="H300" s="111" t="s">
        <v>320</v>
      </c>
      <c r="I300" s="111" t="s">
        <v>321</v>
      </c>
      <c r="J300" s="112"/>
    </row>
    <row r="301" s="3" customFormat="1" ht="17.6" spans="1:10">
      <c r="A301" s="12" t="s">
        <v>50</v>
      </c>
      <c r="B301" s="109" t="s">
        <v>322</v>
      </c>
      <c r="C301" s="57"/>
      <c r="D301" s="18"/>
      <c r="E301" s="19"/>
      <c r="F301" s="18">
        <f>SUM(F302:F304)</f>
        <v>8858</v>
      </c>
      <c r="G301" s="14"/>
      <c r="H301" s="14"/>
      <c r="I301" s="14"/>
      <c r="J301" s="18"/>
    </row>
    <row r="302" s="2" customFormat="1" ht="31" spans="1:10">
      <c r="A302" s="97">
        <v>1</v>
      </c>
      <c r="B302" s="110" t="s">
        <v>317</v>
      </c>
      <c r="C302" s="34" t="s">
        <v>52</v>
      </c>
      <c r="D302" s="65">
        <v>49.5</v>
      </c>
      <c r="E302" s="80">
        <v>28</v>
      </c>
      <c r="F302" s="65">
        <f t="shared" ref="F302:F304" si="42">ROUND(D302*E302,2)</f>
        <v>1386</v>
      </c>
      <c r="G302" s="111" t="s">
        <v>78</v>
      </c>
      <c r="H302" s="111" t="s">
        <v>311</v>
      </c>
      <c r="I302" s="111" t="s">
        <v>308</v>
      </c>
      <c r="J302" s="112"/>
    </row>
    <row r="303" s="2" customFormat="1" ht="31" spans="1:10">
      <c r="A303" s="97">
        <v>2</v>
      </c>
      <c r="B303" s="110" t="s">
        <v>323</v>
      </c>
      <c r="C303" s="34" t="s">
        <v>102</v>
      </c>
      <c r="D303" s="65">
        <v>44.5</v>
      </c>
      <c r="E303" s="80">
        <v>80</v>
      </c>
      <c r="F303" s="65">
        <f t="shared" si="42"/>
        <v>3560</v>
      </c>
      <c r="G303" s="111" t="s">
        <v>282</v>
      </c>
      <c r="H303" s="111" t="s">
        <v>307</v>
      </c>
      <c r="I303" s="111" t="s">
        <v>324</v>
      </c>
      <c r="J303" s="112"/>
    </row>
    <row r="304" s="2" customFormat="1" ht="31" spans="1:10">
      <c r="A304" s="97">
        <v>3</v>
      </c>
      <c r="B304" s="110" t="s">
        <v>325</v>
      </c>
      <c r="C304" s="34" t="s">
        <v>102</v>
      </c>
      <c r="D304" s="65">
        <v>48.9</v>
      </c>
      <c r="E304" s="80">
        <v>80</v>
      </c>
      <c r="F304" s="65">
        <f t="shared" si="42"/>
        <v>3912</v>
      </c>
      <c r="G304" s="111" t="s">
        <v>282</v>
      </c>
      <c r="H304" s="111" t="s">
        <v>307</v>
      </c>
      <c r="I304" s="111" t="s">
        <v>324</v>
      </c>
      <c r="J304" s="112"/>
    </row>
    <row r="305" s="3" customFormat="1" ht="17.6" spans="1:10">
      <c r="A305" s="12" t="s">
        <v>326</v>
      </c>
      <c r="B305" s="20" t="s">
        <v>327</v>
      </c>
      <c r="C305" s="57"/>
      <c r="D305" s="18"/>
      <c r="E305" s="19"/>
      <c r="F305" s="18">
        <f>SUM(F306:F320)</f>
        <v>343674.2</v>
      </c>
      <c r="G305" s="14"/>
      <c r="H305" s="14"/>
      <c r="I305" s="14"/>
      <c r="J305" s="18"/>
    </row>
    <row r="306" s="2" customFormat="1" ht="31" spans="1:10">
      <c r="A306" s="97">
        <v>1</v>
      </c>
      <c r="B306" s="110" t="s">
        <v>328</v>
      </c>
      <c r="C306" s="34" t="s">
        <v>19</v>
      </c>
      <c r="D306" s="65">
        <v>202</v>
      </c>
      <c r="E306" s="80">
        <v>380</v>
      </c>
      <c r="F306" s="65">
        <f t="shared" ref="F306:F320" si="43">ROUND(D306*E306,2)</f>
        <v>76760</v>
      </c>
      <c r="G306" s="111" t="s">
        <v>205</v>
      </c>
      <c r="H306" s="111" t="s">
        <v>278</v>
      </c>
      <c r="I306" s="111" t="s">
        <v>279</v>
      </c>
      <c r="J306" s="112"/>
    </row>
    <row r="307" s="2" customFormat="1" ht="31" spans="1:10">
      <c r="A307" s="97">
        <v>2</v>
      </c>
      <c r="B307" s="110" t="s">
        <v>329</v>
      </c>
      <c r="C307" s="34" t="s">
        <v>35</v>
      </c>
      <c r="D307" s="65">
        <v>6.231</v>
      </c>
      <c r="E307" s="80">
        <v>1200</v>
      </c>
      <c r="F307" s="65">
        <f t="shared" si="43"/>
        <v>7477.2</v>
      </c>
      <c r="G307" s="111" t="s">
        <v>330</v>
      </c>
      <c r="H307" s="111" t="s">
        <v>294</v>
      </c>
      <c r="I307" s="111" t="s">
        <v>331</v>
      </c>
      <c r="J307" s="112"/>
    </row>
    <row r="308" s="2" customFormat="1" ht="46" spans="1:10">
      <c r="A308" s="97">
        <v>3</v>
      </c>
      <c r="B308" s="110" t="s">
        <v>332</v>
      </c>
      <c r="C308" s="34" t="s">
        <v>19</v>
      </c>
      <c r="D308" s="65">
        <v>134.7</v>
      </c>
      <c r="E308" s="80">
        <v>58</v>
      </c>
      <c r="F308" s="65">
        <f t="shared" si="43"/>
        <v>7812.6</v>
      </c>
      <c r="G308" s="111" t="s">
        <v>262</v>
      </c>
      <c r="H308" s="111" t="s">
        <v>206</v>
      </c>
      <c r="I308" s="111" t="s">
        <v>264</v>
      </c>
      <c r="J308" s="112"/>
    </row>
    <row r="309" s="2" customFormat="1" ht="31" spans="1:10">
      <c r="A309" s="97">
        <v>4</v>
      </c>
      <c r="B309" s="110" t="s">
        <v>333</v>
      </c>
      <c r="C309" s="34" t="s">
        <v>19</v>
      </c>
      <c r="D309" s="65">
        <v>30</v>
      </c>
      <c r="E309" s="80">
        <v>520</v>
      </c>
      <c r="F309" s="65">
        <f t="shared" si="43"/>
        <v>15600</v>
      </c>
      <c r="G309" s="111" t="s">
        <v>205</v>
      </c>
      <c r="H309" s="111" t="s">
        <v>278</v>
      </c>
      <c r="I309" s="111" t="s">
        <v>334</v>
      </c>
      <c r="J309" s="112"/>
    </row>
    <row r="310" s="2" customFormat="1" ht="31" spans="1:10">
      <c r="A310" s="97">
        <v>5</v>
      </c>
      <c r="B310" s="110" t="s">
        <v>335</v>
      </c>
      <c r="C310" s="34" t="s">
        <v>19</v>
      </c>
      <c r="D310" s="65">
        <v>26.6</v>
      </c>
      <c r="E310" s="80">
        <v>520</v>
      </c>
      <c r="F310" s="65">
        <f t="shared" si="43"/>
        <v>13832</v>
      </c>
      <c r="G310" s="118" t="s">
        <v>205</v>
      </c>
      <c r="H310" s="118" t="s">
        <v>278</v>
      </c>
      <c r="I310" s="118" t="s">
        <v>334</v>
      </c>
      <c r="J310" s="112"/>
    </row>
    <row r="311" s="2" customFormat="1" ht="31" spans="1:10">
      <c r="A311" s="97">
        <v>6</v>
      </c>
      <c r="B311" s="110" t="s">
        <v>336</v>
      </c>
      <c r="C311" s="34" t="s">
        <v>35</v>
      </c>
      <c r="D311" s="65">
        <v>2.448</v>
      </c>
      <c r="E311" s="80">
        <v>1200</v>
      </c>
      <c r="F311" s="65">
        <f t="shared" si="43"/>
        <v>2937.6</v>
      </c>
      <c r="G311" s="111" t="s">
        <v>205</v>
      </c>
      <c r="H311" s="111" t="s">
        <v>294</v>
      </c>
      <c r="I311" s="111" t="s">
        <v>337</v>
      </c>
      <c r="J311" s="112"/>
    </row>
    <row r="312" s="2" customFormat="1" ht="31" spans="1:10">
      <c r="A312" s="97">
        <v>7</v>
      </c>
      <c r="B312" s="110" t="s">
        <v>338</v>
      </c>
      <c r="C312" s="34" t="s">
        <v>52</v>
      </c>
      <c r="D312" s="65">
        <v>673.3</v>
      </c>
      <c r="E312" s="80">
        <v>38</v>
      </c>
      <c r="F312" s="65">
        <f t="shared" si="43"/>
        <v>25585.4</v>
      </c>
      <c r="G312" s="111" t="s">
        <v>205</v>
      </c>
      <c r="H312" s="111" t="s">
        <v>176</v>
      </c>
      <c r="I312" s="111" t="s">
        <v>339</v>
      </c>
      <c r="J312" s="112"/>
    </row>
    <row r="313" s="2" customFormat="1" ht="46" spans="1:10">
      <c r="A313" s="97">
        <v>8</v>
      </c>
      <c r="B313" s="110" t="s">
        <v>340</v>
      </c>
      <c r="C313" s="34" t="s">
        <v>19</v>
      </c>
      <c r="D313" s="65">
        <v>147.6</v>
      </c>
      <c r="E313" s="80">
        <v>380</v>
      </c>
      <c r="F313" s="65">
        <f t="shared" si="43"/>
        <v>56088</v>
      </c>
      <c r="G313" s="111" t="s">
        <v>341</v>
      </c>
      <c r="H313" s="111" t="s">
        <v>342</v>
      </c>
      <c r="I313" s="111" t="s">
        <v>343</v>
      </c>
      <c r="J313" s="114"/>
    </row>
    <row r="314" s="2" customFormat="1" ht="31" spans="1:10">
      <c r="A314" s="97">
        <v>9</v>
      </c>
      <c r="B314" s="110" t="s">
        <v>344</v>
      </c>
      <c r="C314" s="34" t="s">
        <v>77</v>
      </c>
      <c r="D314" s="65">
        <v>36.5</v>
      </c>
      <c r="E314" s="80">
        <v>520</v>
      </c>
      <c r="F314" s="65">
        <f t="shared" si="43"/>
        <v>18980</v>
      </c>
      <c r="G314" s="111" t="s">
        <v>205</v>
      </c>
      <c r="H314" s="111" t="s">
        <v>278</v>
      </c>
      <c r="I314" s="111" t="s">
        <v>334</v>
      </c>
      <c r="J314" s="112"/>
    </row>
    <row r="315" s="2" customFormat="1" ht="17.6" spans="1:10">
      <c r="A315" s="97">
        <v>10</v>
      </c>
      <c r="B315" s="110" t="s">
        <v>345</v>
      </c>
      <c r="C315" s="34" t="s">
        <v>19</v>
      </c>
      <c r="D315" s="65">
        <v>1449.9</v>
      </c>
      <c r="E315" s="80">
        <v>26</v>
      </c>
      <c r="F315" s="65">
        <f t="shared" si="43"/>
        <v>37697.4</v>
      </c>
      <c r="G315" s="111" t="s">
        <v>175</v>
      </c>
      <c r="H315" s="111" t="s">
        <v>176</v>
      </c>
      <c r="I315" s="111" t="s">
        <v>260</v>
      </c>
      <c r="J315" s="112"/>
    </row>
    <row r="316" s="2" customFormat="1" ht="31" spans="1:10">
      <c r="A316" s="97">
        <v>11</v>
      </c>
      <c r="B316" s="110" t="s">
        <v>346</v>
      </c>
      <c r="C316" s="34" t="s">
        <v>77</v>
      </c>
      <c r="D316" s="65">
        <v>1449.9</v>
      </c>
      <c r="E316" s="80">
        <v>12</v>
      </c>
      <c r="F316" s="65">
        <f t="shared" si="43"/>
        <v>17398.8</v>
      </c>
      <c r="G316" s="111" t="s">
        <v>205</v>
      </c>
      <c r="H316" s="111" t="s">
        <v>176</v>
      </c>
      <c r="I316" s="111" t="s">
        <v>264</v>
      </c>
      <c r="J316" s="112"/>
    </row>
    <row r="317" s="2" customFormat="1" ht="31" spans="1:10">
      <c r="A317" s="97">
        <v>12</v>
      </c>
      <c r="B317" s="110" t="s">
        <v>347</v>
      </c>
      <c r="C317" s="34" t="s">
        <v>19</v>
      </c>
      <c r="D317" s="65">
        <v>366.5</v>
      </c>
      <c r="E317" s="80">
        <v>12</v>
      </c>
      <c r="F317" s="65">
        <f t="shared" si="43"/>
        <v>4398</v>
      </c>
      <c r="G317" s="111" t="s">
        <v>205</v>
      </c>
      <c r="H317" s="111" t="s">
        <v>176</v>
      </c>
      <c r="I317" s="111" t="s">
        <v>264</v>
      </c>
      <c r="J317" s="112"/>
    </row>
    <row r="318" s="2" customFormat="1" ht="31" spans="1:10">
      <c r="A318" s="97">
        <v>13</v>
      </c>
      <c r="B318" s="110" t="s">
        <v>348</v>
      </c>
      <c r="C318" s="34" t="s">
        <v>19</v>
      </c>
      <c r="D318" s="65">
        <v>228.7</v>
      </c>
      <c r="E318" s="80">
        <v>168</v>
      </c>
      <c r="F318" s="65">
        <f t="shared" si="43"/>
        <v>38421.6</v>
      </c>
      <c r="G318" s="111" t="s">
        <v>95</v>
      </c>
      <c r="H318" s="111" t="s">
        <v>96</v>
      </c>
      <c r="I318" s="111" t="s">
        <v>349</v>
      </c>
      <c r="J318" s="112"/>
    </row>
    <row r="319" s="2" customFormat="1" ht="31" spans="1:10">
      <c r="A319" s="97">
        <v>14</v>
      </c>
      <c r="B319" s="110" t="s">
        <v>350</v>
      </c>
      <c r="C319" s="34" t="s">
        <v>19</v>
      </c>
      <c r="D319" s="65">
        <v>147.6</v>
      </c>
      <c r="E319" s="80">
        <v>86</v>
      </c>
      <c r="F319" s="65">
        <f t="shared" si="43"/>
        <v>12693.6</v>
      </c>
      <c r="G319" s="111" t="s">
        <v>95</v>
      </c>
      <c r="H319" s="111" t="s">
        <v>96</v>
      </c>
      <c r="I319" s="111" t="s">
        <v>349</v>
      </c>
      <c r="J319" s="114"/>
    </row>
    <row r="320" s="2" customFormat="1" ht="31" spans="1:10">
      <c r="A320" s="97">
        <v>15</v>
      </c>
      <c r="B320" s="110" t="s">
        <v>351</v>
      </c>
      <c r="C320" s="34" t="s">
        <v>19</v>
      </c>
      <c r="D320" s="65">
        <v>66.6</v>
      </c>
      <c r="E320" s="80">
        <v>120</v>
      </c>
      <c r="F320" s="65">
        <f t="shared" si="43"/>
        <v>7992</v>
      </c>
      <c r="G320" s="111" t="s">
        <v>95</v>
      </c>
      <c r="H320" s="111" t="s">
        <v>96</v>
      </c>
      <c r="I320" s="111" t="s">
        <v>349</v>
      </c>
      <c r="J320" s="112"/>
    </row>
    <row r="321" s="3" customFormat="1" ht="17.6" spans="1:10">
      <c r="A321" s="12" t="s">
        <v>352</v>
      </c>
      <c r="B321" s="20" t="s">
        <v>353</v>
      </c>
      <c r="C321" s="57"/>
      <c r="D321" s="18"/>
      <c r="E321" s="19"/>
      <c r="F321" s="18">
        <f>SUM(F322:F323)</f>
        <v>22816.8</v>
      </c>
      <c r="G321" s="14"/>
      <c r="H321" s="14"/>
      <c r="I321" s="14"/>
      <c r="J321" s="18"/>
    </row>
    <row r="322" s="2" customFormat="1" ht="31" spans="1:10">
      <c r="A322" s="97">
        <v>1</v>
      </c>
      <c r="B322" s="110" t="s">
        <v>359</v>
      </c>
      <c r="C322" s="34" t="s">
        <v>102</v>
      </c>
      <c r="D322" s="65">
        <v>120</v>
      </c>
      <c r="E322" s="80">
        <v>120</v>
      </c>
      <c r="F322" s="65">
        <f>ROUND(D322*E322,2)</f>
        <v>14400</v>
      </c>
      <c r="G322" s="111" t="s">
        <v>360</v>
      </c>
      <c r="H322" s="111" t="s">
        <v>361</v>
      </c>
      <c r="I322" s="111" t="s">
        <v>362</v>
      </c>
      <c r="J322" s="112"/>
    </row>
    <row r="323" s="2" customFormat="1" ht="31" spans="1:10">
      <c r="A323" s="97">
        <v>2</v>
      </c>
      <c r="B323" s="110" t="s">
        <v>363</v>
      </c>
      <c r="C323" s="34" t="s">
        <v>77</v>
      </c>
      <c r="D323" s="65">
        <v>50.1</v>
      </c>
      <c r="E323" s="80">
        <v>168</v>
      </c>
      <c r="F323" s="65">
        <f>ROUND(D323*E323,2)</f>
        <v>8416.8</v>
      </c>
      <c r="G323" s="111" t="s">
        <v>95</v>
      </c>
      <c r="H323" s="111" t="s">
        <v>96</v>
      </c>
      <c r="I323" s="111" t="s">
        <v>349</v>
      </c>
      <c r="J323" s="112"/>
    </row>
    <row r="324" s="3" customFormat="1" ht="17.6" spans="1:10">
      <c r="A324" s="12" t="s">
        <v>364</v>
      </c>
      <c r="B324" s="20" t="s">
        <v>71</v>
      </c>
      <c r="C324" s="57"/>
      <c r="D324" s="18"/>
      <c r="E324" s="19"/>
      <c r="F324" s="18">
        <f>SUM(F325:F334)</f>
        <v>165108.6</v>
      </c>
      <c r="G324" s="14"/>
      <c r="H324" s="14"/>
      <c r="I324" s="14"/>
      <c r="J324" s="18"/>
    </row>
    <row r="325" s="2" customFormat="1" ht="17.6" spans="1:10">
      <c r="A325" s="97">
        <v>1</v>
      </c>
      <c r="B325" s="110" t="s">
        <v>365</v>
      </c>
      <c r="C325" s="34" t="s">
        <v>77</v>
      </c>
      <c r="D325" s="65">
        <v>234</v>
      </c>
      <c r="E325" s="80">
        <v>18</v>
      </c>
      <c r="F325" s="65">
        <f t="shared" ref="F325:F336" si="44">ROUND(D325*E325,2)</f>
        <v>4212</v>
      </c>
      <c r="G325" s="111" t="s">
        <v>175</v>
      </c>
      <c r="H325" s="111" t="s">
        <v>176</v>
      </c>
      <c r="I325" s="111" t="s">
        <v>260</v>
      </c>
      <c r="J325" s="112"/>
    </row>
    <row r="326" s="2" customFormat="1" ht="31" spans="1:10">
      <c r="A326" s="97">
        <v>2</v>
      </c>
      <c r="B326" s="110" t="s">
        <v>366</v>
      </c>
      <c r="C326" s="34" t="s">
        <v>77</v>
      </c>
      <c r="D326" s="65">
        <v>27.4</v>
      </c>
      <c r="E326" s="80">
        <v>58</v>
      </c>
      <c r="F326" s="65">
        <f t="shared" si="44"/>
        <v>1589.2</v>
      </c>
      <c r="G326" s="111" t="s">
        <v>367</v>
      </c>
      <c r="H326" s="111" t="s">
        <v>368</v>
      </c>
      <c r="I326" s="111" t="s">
        <v>369</v>
      </c>
      <c r="J326" s="119"/>
    </row>
    <row r="327" s="2" customFormat="1" ht="31" spans="1:10">
      <c r="A327" s="97">
        <v>3</v>
      </c>
      <c r="B327" s="110" t="s">
        <v>370</v>
      </c>
      <c r="C327" s="34" t="s">
        <v>77</v>
      </c>
      <c r="D327" s="65">
        <v>19.8</v>
      </c>
      <c r="E327" s="80">
        <v>520</v>
      </c>
      <c r="F327" s="65">
        <f t="shared" si="44"/>
        <v>10296</v>
      </c>
      <c r="G327" s="111" t="s">
        <v>371</v>
      </c>
      <c r="H327" s="111" t="s">
        <v>287</v>
      </c>
      <c r="I327" s="111" t="s">
        <v>288</v>
      </c>
      <c r="J327" s="112"/>
    </row>
    <row r="328" s="2" customFormat="1" ht="31" spans="1:10">
      <c r="A328" s="97">
        <v>4</v>
      </c>
      <c r="B328" s="110" t="s">
        <v>372</v>
      </c>
      <c r="C328" s="34" t="s">
        <v>77</v>
      </c>
      <c r="D328" s="65">
        <v>136.5</v>
      </c>
      <c r="E328" s="80">
        <v>520</v>
      </c>
      <c r="F328" s="65">
        <f t="shared" si="44"/>
        <v>70980</v>
      </c>
      <c r="G328" s="111" t="s">
        <v>371</v>
      </c>
      <c r="H328" s="111" t="s">
        <v>287</v>
      </c>
      <c r="I328" s="111" t="s">
        <v>288</v>
      </c>
      <c r="J328" s="112"/>
    </row>
    <row r="329" s="2" customFormat="1" ht="31" spans="1:10">
      <c r="A329" s="97">
        <v>5</v>
      </c>
      <c r="B329" s="110" t="s">
        <v>373</v>
      </c>
      <c r="C329" s="34" t="s">
        <v>77</v>
      </c>
      <c r="D329" s="65">
        <v>22</v>
      </c>
      <c r="E329" s="80">
        <v>480</v>
      </c>
      <c r="F329" s="65">
        <f t="shared" si="44"/>
        <v>10560</v>
      </c>
      <c r="G329" s="111" t="s">
        <v>112</v>
      </c>
      <c r="H329" s="111" t="s">
        <v>278</v>
      </c>
      <c r="I329" s="111" t="s">
        <v>374</v>
      </c>
      <c r="J329" s="112"/>
    </row>
    <row r="330" s="2" customFormat="1" ht="31" spans="1:10">
      <c r="A330" s="97">
        <v>6</v>
      </c>
      <c r="B330" s="110" t="s">
        <v>348</v>
      </c>
      <c r="C330" s="34" t="s">
        <v>77</v>
      </c>
      <c r="D330" s="65">
        <v>144.7</v>
      </c>
      <c r="E330" s="80">
        <v>168</v>
      </c>
      <c r="F330" s="65">
        <f t="shared" si="44"/>
        <v>24309.6</v>
      </c>
      <c r="G330" s="111" t="s">
        <v>95</v>
      </c>
      <c r="H330" s="111" t="s">
        <v>96</v>
      </c>
      <c r="I330" s="111" t="s">
        <v>349</v>
      </c>
      <c r="J330" s="112"/>
    </row>
    <row r="331" s="2" customFormat="1" ht="31" spans="1:10">
      <c r="A331" s="97">
        <v>7</v>
      </c>
      <c r="B331" s="110" t="s">
        <v>350</v>
      </c>
      <c r="C331" s="34" t="s">
        <v>77</v>
      </c>
      <c r="D331" s="65">
        <v>80.1</v>
      </c>
      <c r="E331" s="80">
        <v>80</v>
      </c>
      <c r="F331" s="65">
        <f t="shared" si="44"/>
        <v>6408</v>
      </c>
      <c r="G331" s="111" t="s">
        <v>95</v>
      </c>
      <c r="H331" s="111" t="s">
        <v>96</v>
      </c>
      <c r="I331" s="111" t="s">
        <v>349</v>
      </c>
      <c r="J331" s="114"/>
    </row>
    <row r="332" s="2" customFormat="1" ht="31" spans="1:10">
      <c r="A332" s="97">
        <v>8</v>
      </c>
      <c r="B332" s="110" t="s">
        <v>351</v>
      </c>
      <c r="C332" s="34" t="s">
        <v>77</v>
      </c>
      <c r="D332" s="65">
        <v>195.9</v>
      </c>
      <c r="E332" s="80">
        <v>120</v>
      </c>
      <c r="F332" s="65">
        <f t="shared" si="44"/>
        <v>23508</v>
      </c>
      <c r="G332" s="111" t="s">
        <v>95</v>
      </c>
      <c r="H332" s="111" t="s">
        <v>96</v>
      </c>
      <c r="I332" s="111" t="s">
        <v>349</v>
      </c>
      <c r="J332" s="112"/>
    </row>
    <row r="333" s="2" customFormat="1" ht="31" spans="1:10">
      <c r="A333" s="97">
        <v>9</v>
      </c>
      <c r="B333" s="110" t="s">
        <v>375</v>
      </c>
      <c r="C333" s="34" t="s">
        <v>77</v>
      </c>
      <c r="D333" s="65">
        <v>30.9</v>
      </c>
      <c r="E333" s="80">
        <v>390</v>
      </c>
      <c r="F333" s="65">
        <f t="shared" si="44"/>
        <v>12051</v>
      </c>
      <c r="G333" s="111" t="s">
        <v>112</v>
      </c>
      <c r="H333" s="111" t="s">
        <v>376</v>
      </c>
      <c r="I333" s="111" t="s">
        <v>377</v>
      </c>
      <c r="J333" s="112"/>
    </row>
    <row r="334" s="2" customFormat="1" ht="31" spans="1:10">
      <c r="A334" s="97">
        <v>10</v>
      </c>
      <c r="B334" s="110" t="s">
        <v>378</v>
      </c>
      <c r="C334" s="34" t="s">
        <v>77</v>
      </c>
      <c r="D334" s="65">
        <v>20.6</v>
      </c>
      <c r="E334" s="80">
        <v>58</v>
      </c>
      <c r="F334" s="65">
        <f t="shared" si="44"/>
        <v>1194.8</v>
      </c>
      <c r="G334" s="111" t="s">
        <v>367</v>
      </c>
      <c r="H334" s="111" t="s">
        <v>368</v>
      </c>
      <c r="I334" s="111" t="s">
        <v>369</v>
      </c>
      <c r="J334" s="119"/>
    </row>
    <row r="335" s="3" customFormat="1" ht="17.6" spans="1:10">
      <c r="A335" s="12" t="s">
        <v>70</v>
      </c>
      <c r="B335" s="109" t="s">
        <v>392</v>
      </c>
      <c r="C335" s="57"/>
      <c r="D335" s="18"/>
      <c r="E335" s="19"/>
      <c r="F335" s="18">
        <f>F336+F341+F354+F359+F362</f>
        <v>156113.4</v>
      </c>
      <c r="G335" s="14"/>
      <c r="H335" s="14"/>
      <c r="I335" s="14"/>
      <c r="J335" s="18"/>
    </row>
    <row r="336" s="3" customFormat="1" ht="17.6" spans="1:10">
      <c r="A336" s="12" t="s">
        <v>16</v>
      </c>
      <c r="B336" s="109" t="s">
        <v>258</v>
      </c>
      <c r="C336" s="57"/>
      <c r="D336" s="18"/>
      <c r="E336" s="19"/>
      <c r="F336" s="18">
        <f>SUM(F337:F340)</f>
        <v>13493.4</v>
      </c>
      <c r="G336" s="14"/>
      <c r="H336" s="14"/>
      <c r="I336" s="14"/>
      <c r="J336" s="18"/>
    </row>
    <row r="337" s="2" customFormat="1" ht="17.6" spans="1:10">
      <c r="A337" s="97">
        <v>1</v>
      </c>
      <c r="B337" s="110" t="s">
        <v>259</v>
      </c>
      <c r="C337" s="34" t="s">
        <v>77</v>
      </c>
      <c r="D337" s="65">
        <v>317</v>
      </c>
      <c r="E337" s="80">
        <v>18</v>
      </c>
      <c r="F337" s="65">
        <f>ROUND(D337*E337,2)</f>
        <v>5706</v>
      </c>
      <c r="G337" s="111" t="s">
        <v>175</v>
      </c>
      <c r="H337" s="111" t="s">
        <v>176</v>
      </c>
      <c r="I337" s="111" t="s">
        <v>260</v>
      </c>
      <c r="J337" s="112"/>
    </row>
    <row r="338" s="2" customFormat="1" ht="46" spans="1:10">
      <c r="A338" s="97">
        <v>2</v>
      </c>
      <c r="B338" s="110" t="s">
        <v>261</v>
      </c>
      <c r="C338" s="34" t="s">
        <v>77</v>
      </c>
      <c r="D338" s="65">
        <v>87</v>
      </c>
      <c r="E338" s="80">
        <v>58</v>
      </c>
      <c r="F338" s="65">
        <f>ROUND(D338*E338,2)</f>
        <v>5046</v>
      </c>
      <c r="G338" s="111" t="s">
        <v>262</v>
      </c>
      <c r="H338" s="111" t="s">
        <v>263</v>
      </c>
      <c r="I338" s="111" t="s">
        <v>264</v>
      </c>
      <c r="J338" s="112"/>
    </row>
    <row r="339" s="2" customFormat="1" ht="31" spans="1:10">
      <c r="A339" s="97">
        <v>3</v>
      </c>
      <c r="B339" s="110" t="s">
        <v>265</v>
      </c>
      <c r="C339" s="34" t="s">
        <v>19</v>
      </c>
      <c r="D339" s="65">
        <v>64</v>
      </c>
      <c r="E339" s="80">
        <v>12</v>
      </c>
      <c r="F339" s="65">
        <f>ROUND(D339*E339,2)</f>
        <v>768</v>
      </c>
      <c r="G339" s="111" t="s">
        <v>205</v>
      </c>
      <c r="H339" s="111" t="s">
        <v>176</v>
      </c>
      <c r="I339" s="111" t="s">
        <v>264</v>
      </c>
      <c r="J339" s="112"/>
    </row>
    <row r="340" s="2" customFormat="1" ht="17.6" spans="1:10">
      <c r="A340" s="97">
        <v>4</v>
      </c>
      <c r="B340" s="110" t="s">
        <v>273</v>
      </c>
      <c r="C340" s="34" t="s">
        <v>77</v>
      </c>
      <c r="D340" s="65">
        <v>253</v>
      </c>
      <c r="E340" s="80">
        <v>7.8</v>
      </c>
      <c r="F340" s="65">
        <f>ROUND(D340*E340,2)</f>
        <v>1973.4</v>
      </c>
      <c r="G340" s="111" t="s">
        <v>20</v>
      </c>
      <c r="H340" s="111" t="s">
        <v>79</v>
      </c>
      <c r="I340" s="111" t="s">
        <v>274</v>
      </c>
      <c r="J340" s="112"/>
    </row>
    <row r="341" s="3" customFormat="1" ht="17.6" spans="1:10">
      <c r="A341" s="12" t="s">
        <v>38</v>
      </c>
      <c r="B341" s="109" t="s">
        <v>276</v>
      </c>
      <c r="C341" s="57"/>
      <c r="D341" s="18"/>
      <c r="E341" s="19"/>
      <c r="F341" s="18">
        <f>SUM(F342:F353)</f>
        <v>65803.2</v>
      </c>
      <c r="G341" s="14"/>
      <c r="H341" s="14"/>
      <c r="I341" s="14"/>
      <c r="J341" s="18"/>
    </row>
    <row r="342" s="2" customFormat="1" ht="31" spans="1:10">
      <c r="A342" s="97">
        <v>1</v>
      </c>
      <c r="B342" s="110" t="s">
        <v>277</v>
      </c>
      <c r="C342" s="34" t="s">
        <v>77</v>
      </c>
      <c r="D342" s="65">
        <v>22.7</v>
      </c>
      <c r="E342" s="80">
        <v>420</v>
      </c>
      <c r="F342" s="65">
        <f t="shared" ref="F342:F355" si="45">ROUND(D342*E342,2)</f>
        <v>9534</v>
      </c>
      <c r="G342" s="111" t="s">
        <v>205</v>
      </c>
      <c r="H342" s="111" t="s">
        <v>278</v>
      </c>
      <c r="I342" s="111" t="s">
        <v>279</v>
      </c>
      <c r="J342" s="112"/>
    </row>
    <row r="343" s="2" customFormat="1" ht="31" spans="1:10">
      <c r="A343" s="97">
        <v>2</v>
      </c>
      <c r="B343" s="110" t="s">
        <v>280</v>
      </c>
      <c r="C343" s="34" t="s">
        <v>77</v>
      </c>
      <c r="D343" s="65">
        <v>5.1</v>
      </c>
      <c r="E343" s="80">
        <v>420</v>
      </c>
      <c r="F343" s="65">
        <f t="shared" si="45"/>
        <v>2142</v>
      </c>
      <c r="G343" s="111" t="s">
        <v>205</v>
      </c>
      <c r="H343" s="111" t="s">
        <v>278</v>
      </c>
      <c r="I343" s="111" t="s">
        <v>279</v>
      </c>
      <c r="J343" s="112"/>
    </row>
    <row r="344" s="2" customFormat="1" ht="31" spans="1:10">
      <c r="A344" s="97">
        <v>3</v>
      </c>
      <c r="B344" s="110" t="s">
        <v>281</v>
      </c>
      <c r="C344" s="34" t="s">
        <v>35</v>
      </c>
      <c r="D344" s="65">
        <v>0.896</v>
      </c>
      <c r="E344" s="80">
        <v>1200</v>
      </c>
      <c r="F344" s="65">
        <f t="shared" si="45"/>
        <v>1075.2</v>
      </c>
      <c r="G344" s="111" t="s">
        <v>282</v>
      </c>
      <c r="H344" s="111" t="s">
        <v>294</v>
      </c>
      <c r="I344" s="111" t="s">
        <v>284</v>
      </c>
      <c r="J344" s="112"/>
    </row>
    <row r="345" s="2" customFormat="1" ht="31" spans="1:10">
      <c r="A345" s="97">
        <v>4</v>
      </c>
      <c r="B345" s="110" t="s">
        <v>285</v>
      </c>
      <c r="C345" s="34" t="s">
        <v>19</v>
      </c>
      <c r="D345" s="65">
        <v>3.2</v>
      </c>
      <c r="E345" s="80">
        <v>480</v>
      </c>
      <c r="F345" s="65">
        <f t="shared" si="45"/>
        <v>1536</v>
      </c>
      <c r="G345" s="111" t="s">
        <v>286</v>
      </c>
      <c r="H345" s="111" t="s">
        <v>287</v>
      </c>
      <c r="I345" s="111" t="s">
        <v>288</v>
      </c>
      <c r="J345" s="112"/>
    </row>
    <row r="346" s="2" customFormat="1" ht="31" spans="1:10">
      <c r="A346" s="97">
        <v>5</v>
      </c>
      <c r="B346" s="110" t="s">
        <v>289</v>
      </c>
      <c r="C346" s="34" t="s">
        <v>19</v>
      </c>
      <c r="D346" s="65">
        <v>55.3</v>
      </c>
      <c r="E346" s="80">
        <v>520</v>
      </c>
      <c r="F346" s="65">
        <f t="shared" si="45"/>
        <v>28756</v>
      </c>
      <c r="G346" s="111" t="s">
        <v>78</v>
      </c>
      <c r="H346" s="111" t="s">
        <v>290</v>
      </c>
      <c r="I346" s="111" t="s">
        <v>291</v>
      </c>
      <c r="J346" s="112"/>
    </row>
    <row r="347" s="2" customFormat="1" ht="31" spans="1:10">
      <c r="A347" s="97">
        <v>6</v>
      </c>
      <c r="B347" s="110" t="s">
        <v>292</v>
      </c>
      <c r="C347" s="34" t="s">
        <v>35</v>
      </c>
      <c r="D347" s="65">
        <v>8.409</v>
      </c>
      <c r="E347" s="80">
        <v>1200</v>
      </c>
      <c r="F347" s="65">
        <f t="shared" si="45"/>
        <v>10090.8</v>
      </c>
      <c r="G347" s="111" t="s">
        <v>391</v>
      </c>
      <c r="H347" s="111" t="s">
        <v>294</v>
      </c>
      <c r="I347" s="111" t="s">
        <v>295</v>
      </c>
      <c r="J347" s="112"/>
    </row>
    <row r="348" s="2" customFormat="1" ht="31" spans="1:10">
      <c r="A348" s="97">
        <v>7</v>
      </c>
      <c r="B348" s="110" t="s">
        <v>296</v>
      </c>
      <c r="C348" s="34" t="s">
        <v>19</v>
      </c>
      <c r="D348" s="65">
        <v>18.7</v>
      </c>
      <c r="E348" s="80">
        <v>520</v>
      </c>
      <c r="F348" s="65">
        <f t="shared" si="45"/>
        <v>9724</v>
      </c>
      <c r="G348" s="111" t="s">
        <v>78</v>
      </c>
      <c r="H348" s="111" t="s">
        <v>290</v>
      </c>
      <c r="I348" s="111" t="s">
        <v>297</v>
      </c>
      <c r="J348" s="112"/>
    </row>
    <row r="349" s="2" customFormat="1" ht="31" spans="1:10">
      <c r="A349" s="97">
        <v>8</v>
      </c>
      <c r="B349" s="110" t="s">
        <v>281</v>
      </c>
      <c r="C349" s="34" t="s">
        <v>35</v>
      </c>
      <c r="D349" s="65">
        <v>0.421</v>
      </c>
      <c r="E349" s="80">
        <v>1200</v>
      </c>
      <c r="F349" s="65">
        <f t="shared" si="45"/>
        <v>505.2</v>
      </c>
      <c r="G349" s="111" t="s">
        <v>282</v>
      </c>
      <c r="H349" s="111" t="s">
        <v>294</v>
      </c>
      <c r="I349" s="111" t="s">
        <v>284</v>
      </c>
      <c r="J349" s="112"/>
    </row>
    <row r="350" s="2" customFormat="1" ht="31" spans="1:10">
      <c r="A350" s="97">
        <v>9</v>
      </c>
      <c r="B350" s="110" t="s">
        <v>298</v>
      </c>
      <c r="C350" s="34" t="s">
        <v>19</v>
      </c>
      <c r="D350" s="65">
        <v>0.6</v>
      </c>
      <c r="E350" s="80">
        <v>80</v>
      </c>
      <c r="F350" s="65">
        <f t="shared" si="45"/>
        <v>48</v>
      </c>
      <c r="G350" s="111" t="s">
        <v>299</v>
      </c>
      <c r="H350" s="111" t="s">
        <v>300</v>
      </c>
      <c r="I350" s="111" t="s">
        <v>301</v>
      </c>
      <c r="J350" s="115"/>
    </row>
    <row r="351" s="2" customFormat="1" ht="31" spans="1:10">
      <c r="A351" s="97">
        <v>10</v>
      </c>
      <c r="B351" s="110" t="s">
        <v>302</v>
      </c>
      <c r="C351" s="34" t="s">
        <v>19</v>
      </c>
      <c r="D351" s="65">
        <v>1.1</v>
      </c>
      <c r="E351" s="80">
        <v>480</v>
      </c>
      <c r="F351" s="65">
        <f t="shared" si="45"/>
        <v>528</v>
      </c>
      <c r="G351" s="111" t="s">
        <v>78</v>
      </c>
      <c r="H351" s="111" t="s">
        <v>290</v>
      </c>
      <c r="I351" s="111" t="s">
        <v>291</v>
      </c>
      <c r="J351" s="112"/>
    </row>
    <row r="352" s="2" customFormat="1" ht="31" spans="1:10">
      <c r="A352" s="97">
        <v>11</v>
      </c>
      <c r="B352" s="110" t="s">
        <v>303</v>
      </c>
      <c r="C352" s="34" t="s">
        <v>52</v>
      </c>
      <c r="D352" s="65">
        <v>4.7</v>
      </c>
      <c r="E352" s="80">
        <v>80</v>
      </c>
      <c r="F352" s="65">
        <f t="shared" si="45"/>
        <v>376</v>
      </c>
      <c r="G352" s="111" t="s">
        <v>78</v>
      </c>
      <c r="H352" s="111" t="s">
        <v>304</v>
      </c>
      <c r="I352" s="111" t="s">
        <v>305</v>
      </c>
      <c r="J352" s="116"/>
    </row>
    <row r="353" s="2" customFormat="1" ht="31" spans="1:10">
      <c r="A353" s="97">
        <v>12</v>
      </c>
      <c r="B353" s="110" t="s">
        <v>306</v>
      </c>
      <c r="C353" s="34" t="s">
        <v>52</v>
      </c>
      <c r="D353" s="65">
        <v>18.6</v>
      </c>
      <c r="E353" s="80">
        <v>80</v>
      </c>
      <c r="F353" s="65">
        <f t="shared" si="45"/>
        <v>1488</v>
      </c>
      <c r="G353" s="111" t="s">
        <v>78</v>
      </c>
      <c r="H353" s="111" t="s">
        <v>307</v>
      </c>
      <c r="I353" s="111" t="s">
        <v>308</v>
      </c>
      <c r="J353" s="112"/>
    </row>
    <row r="354" s="3" customFormat="1" ht="17.6" spans="1:10">
      <c r="A354" s="12" t="s">
        <v>44</v>
      </c>
      <c r="B354" s="109" t="s">
        <v>309</v>
      </c>
      <c r="C354" s="57"/>
      <c r="D354" s="18"/>
      <c r="E354" s="19"/>
      <c r="F354" s="18">
        <f>SUM(F355:F358)</f>
        <v>4329.4</v>
      </c>
      <c r="G354" s="14"/>
      <c r="H354" s="14"/>
      <c r="I354" s="14"/>
      <c r="J354" s="18"/>
    </row>
    <row r="355" s="2" customFormat="1" ht="31" spans="1:10">
      <c r="A355" s="97">
        <v>1</v>
      </c>
      <c r="B355" s="110" t="s">
        <v>310</v>
      </c>
      <c r="C355" s="34" t="s">
        <v>52</v>
      </c>
      <c r="D355" s="65">
        <v>69.8</v>
      </c>
      <c r="E355" s="80">
        <v>22</v>
      </c>
      <c r="F355" s="65">
        <f t="shared" ref="F355:F358" si="46">ROUND(D355*E355,2)</f>
        <v>1535.6</v>
      </c>
      <c r="G355" s="111" t="s">
        <v>78</v>
      </c>
      <c r="H355" s="111" t="s">
        <v>311</v>
      </c>
      <c r="I355" s="111" t="s">
        <v>312</v>
      </c>
      <c r="J355" s="112"/>
    </row>
    <row r="356" s="2" customFormat="1" ht="46" spans="1:10">
      <c r="A356" s="97">
        <v>2</v>
      </c>
      <c r="B356" s="110" t="s">
        <v>313</v>
      </c>
      <c r="C356" s="34" t="s">
        <v>19</v>
      </c>
      <c r="D356" s="65">
        <v>0.9</v>
      </c>
      <c r="E356" s="80">
        <v>360</v>
      </c>
      <c r="F356" s="65">
        <f t="shared" si="46"/>
        <v>324</v>
      </c>
      <c r="G356" s="111" t="s">
        <v>314</v>
      </c>
      <c r="H356" s="111" t="s">
        <v>315</v>
      </c>
      <c r="I356" s="111" t="s">
        <v>316</v>
      </c>
      <c r="J356" s="117"/>
    </row>
    <row r="357" s="2" customFormat="1" ht="31" spans="1:10">
      <c r="A357" s="97">
        <v>3</v>
      </c>
      <c r="B357" s="110" t="s">
        <v>317</v>
      </c>
      <c r="C357" s="34" t="s">
        <v>52</v>
      </c>
      <c r="D357" s="65">
        <v>50.6</v>
      </c>
      <c r="E357" s="80">
        <v>28</v>
      </c>
      <c r="F357" s="65">
        <f t="shared" si="46"/>
        <v>1416.8</v>
      </c>
      <c r="G357" s="111" t="s">
        <v>78</v>
      </c>
      <c r="H357" s="111" t="s">
        <v>311</v>
      </c>
      <c r="I357" s="111" t="s">
        <v>308</v>
      </c>
      <c r="J357" s="112"/>
    </row>
    <row r="358" s="2" customFormat="1" ht="31" spans="1:10">
      <c r="A358" s="97">
        <v>4</v>
      </c>
      <c r="B358" s="110" t="s">
        <v>318</v>
      </c>
      <c r="C358" s="34" t="s">
        <v>19</v>
      </c>
      <c r="D358" s="65">
        <v>2.7</v>
      </c>
      <c r="E358" s="80">
        <v>390</v>
      </c>
      <c r="F358" s="65">
        <f t="shared" si="46"/>
        <v>1053</v>
      </c>
      <c r="G358" s="111" t="s">
        <v>319</v>
      </c>
      <c r="H358" s="111" t="s">
        <v>320</v>
      </c>
      <c r="I358" s="111" t="s">
        <v>321</v>
      </c>
      <c r="J358" s="112"/>
    </row>
    <row r="359" s="3" customFormat="1" ht="17.6" spans="1:10">
      <c r="A359" s="12" t="s">
        <v>50</v>
      </c>
      <c r="B359" s="109" t="s">
        <v>322</v>
      </c>
      <c r="C359" s="57"/>
      <c r="D359" s="18"/>
      <c r="E359" s="19"/>
      <c r="F359" s="18">
        <f>SUM(F360:F361)</f>
        <v>3607.2</v>
      </c>
      <c r="G359" s="14"/>
      <c r="H359" s="14"/>
      <c r="I359" s="14"/>
      <c r="J359" s="18"/>
    </row>
    <row r="360" s="2" customFormat="1" ht="31" spans="1:10">
      <c r="A360" s="97">
        <v>1</v>
      </c>
      <c r="B360" s="110" t="s">
        <v>317</v>
      </c>
      <c r="C360" s="34" t="s">
        <v>52</v>
      </c>
      <c r="D360" s="65">
        <v>15.4</v>
      </c>
      <c r="E360" s="80">
        <v>28</v>
      </c>
      <c r="F360" s="65">
        <f t="shared" ref="F360:F375" si="47">ROUND(D360*E360,2)</f>
        <v>431.2</v>
      </c>
      <c r="G360" s="111" t="s">
        <v>78</v>
      </c>
      <c r="H360" s="111" t="s">
        <v>311</v>
      </c>
      <c r="I360" s="111" t="s">
        <v>308</v>
      </c>
      <c r="J360" s="112"/>
    </row>
    <row r="361" s="2" customFormat="1" ht="31" spans="1:10">
      <c r="A361" s="97">
        <v>2</v>
      </c>
      <c r="B361" s="110" t="s">
        <v>323</v>
      </c>
      <c r="C361" s="34" t="s">
        <v>102</v>
      </c>
      <c r="D361" s="65">
        <v>39.7</v>
      </c>
      <c r="E361" s="80">
        <v>80</v>
      </c>
      <c r="F361" s="65">
        <f t="shared" si="47"/>
        <v>3176</v>
      </c>
      <c r="G361" s="111" t="s">
        <v>282</v>
      </c>
      <c r="H361" s="111" t="s">
        <v>307</v>
      </c>
      <c r="I361" s="111" t="s">
        <v>324</v>
      </c>
      <c r="J361" s="112"/>
    </row>
    <row r="362" s="3" customFormat="1" ht="17.6" spans="1:10">
      <c r="A362" s="12" t="s">
        <v>393</v>
      </c>
      <c r="B362" s="20" t="s">
        <v>71</v>
      </c>
      <c r="C362" s="57"/>
      <c r="D362" s="18"/>
      <c r="E362" s="19"/>
      <c r="F362" s="18">
        <f>SUM(F363:F374)</f>
        <v>68880.2</v>
      </c>
      <c r="G362" s="14"/>
      <c r="H362" s="14"/>
      <c r="I362" s="14"/>
      <c r="J362" s="18"/>
    </row>
    <row r="363" s="2" customFormat="1" ht="17.6" spans="1:10">
      <c r="A363" s="97">
        <v>1</v>
      </c>
      <c r="B363" s="110" t="s">
        <v>365</v>
      </c>
      <c r="C363" s="34" t="s">
        <v>77</v>
      </c>
      <c r="D363" s="65">
        <v>70</v>
      </c>
      <c r="E363" s="80">
        <v>18</v>
      </c>
      <c r="F363" s="65">
        <f t="shared" si="47"/>
        <v>1260</v>
      </c>
      <c r="G363" s="111" t="s">
        <v>175</v>
      </c>
      <c r="H363" s="111" t="s">
        <v>176</v>
      </c>
      <c r="I363" s="111" t="s">
        <v>260</v>
      </c>
      <c r="J363" s="112"/>
    </row>
    <row r="364" s="2" customFormat="1" ht="31" spans="1:10">
      <c r="A364" s="97">
        <v>2</v>
      </c>
      <c r="B364" s="110" t="s">
        <v>366</v>
      </c>
      <c r="C364" s="34" t="s">
        <v>77</v>
      </c>
      <c r="D364" s="65">
        <v>4.3</v>
      </c>
      <c r="E364" s="80">
        <v>380</v>
      </c>
      <c r="F364" s="65">
        <f t="shared" si="47"/>
        <v>1634</v>
      </c>
      <c r="G364" s="111" t="s">
        <v>367</v>
      </c>
      <c r="H364" s="111" t="s">
        <v>368</v>
      </c>
      <c r="I364" s="111" t="s">
        <v>369</v>
      </c>
      <c r="J364" s="119"/>
    </row>
    <row r="365" s="2" customFormat="1" ht="31" spans="1:10">
      <c r="A365" s="97">
        <v>3</v>
      </c>
      <c r="B365" s="110" t="s">
        <v>370</v>
      </c>
      <c r="C365" s="34" t="s">
        <v>77</v>
      </c>
      <c r="D365" s="65">
        <v>2.8</v>
      </c>
      <c r="E365" s="80">
        <v>520</v>
      </c>
      <c r="F365" s="65">
        <f t="shared" si="47"/>
        <v>1456</v>
      </c>
      <c r="G365" s="111" t="s">
        <v>371</v>
      </c>
      <c r="H365" s="111" t="s">
        <v>287</v>
      </c>
      <c r="I365" s="111" t="s">
        <v>288</v>
      </c>
      <c r="J365" s="112"/>
    </row>
    <row r="366" s="2" customFormat="1" ht="31" spans="1:10">
      <c r="A366" s="97">
        <v>4</v>
      </c>
      <c r="B366" s="110" t="s">
        <v>372</v>
      </c>
      <c r="C366" s="34" t="s">
        <v>77</v>
      </c>
      <c r="D366" s="65">
        <v>33.6</v>
      </c>
      <c r="E366" s="80">
        <v>520</v>
      </c>
      <c r="F366" s="65">
        <f t="shared" si="47"/>
        <v>17472</v>
      </c>
      <c r="G366" s="111" t="s">
        <v>371</v>
      </c>
      <c r="H366" s="111" t="s">
        <v>287</v>
      </c>
      <c r="I366" s="111" t="s">
        <v>288</v>
      </c>
      <c r="J366" s="112"/>
    </row>
    <row r="367" s="2" customFormat="1" ht="31" spans="1:10">
      <c r="A367" s="97">
        <v>5</v>
      </c>
      <c r="B367" s="110" t="s">
        <v>373</v>
      </c>
      <c r="C367" s="34" t="s">
        <v>77</v>
      </c>
      <c r="D367" s="65">
        <v>6.5</v>
      </c>
      <c r="E367" s="80">
        <v>480</v>
      </c>
      <c r="F367" s="65">
        <f t="shared" si="47"/>
        <v>3120</v>
      </c>
      <c r="G367" s="111" t="s">
        <v>112</v>
      </c>
      <c r="H367" s="111" t="s">
        <v>278</v>
      </c>
      <c r="I367" s="111" t="s">
        <v>374</v>
      </c>
      <c r="J367" s="112"/>
    </row>
    <row r="368" s="2" customFormat="1" ht="31" spans="1:10">
      <c r="A368" s="97">
        <v>6</v>
      </c>
      <c r="B368" s="110" t="s">
        <v>394</v>
      </c>
      <c r="C368" s="34" t="s">
        <v>77</v>
      </c>
      <c r="D368" s="65">
        <v>2</v>
      </c>
      <c r="E368" s="80">
        <v>168</v>
      </c>
      <c r="F368" s="65">
        <f t="shared" si="47"/>
        <v>336</v>
      </c>
      <c r="G368" s="111" t="s">
        <v>95</v>
      </c>
      <c r="H368" s="111" t="s">
        <v>96</v>
      </c>
      <c r="I368" s="111" t="s">
        <v>349</v>
      </c>
      <c r="J368" s="112"/>
    </row>
    <row r="369" s="2" customFormat="1" ht="31" spans="1:10">
      <c r="A369" s="97">
        <v>7</v>
      </c>
      <c r="B369" s="110" t="s">
        <v>351</v>
      </c>
      <c r="C369" s="34" t="s">
        <v>77</v>
      </c>
      <c r="D369" s="65">
        <v>19.1</v>
      </c>
      <c r="E369" s="80">
        <v>120</v>
      </c>
      <c r="F369" s="65">
        <f t="shared" si="47"/>
        <v>2292</v>
      </c>
      <c r="G369" s="111" t="s">
        <v>95</v>
      </c>
      <c r="H369" s="111" t="s">
        <v>96</v>
      </c>
      <c r="I369" s="111" t="s">
        <v>349</v>
      </c>
      <c r="J369" s="112"/>
    </row>
    <row r="370" s="2" customFormat="1" ht="31" spans="1:10">
      <c r="A370" s="97">
        <v>8</v>
      </c>
      <c r="B370" s="110" t="s">
        <v>395</v>
      </c>
      <c r="C370" s="34" t="s">
        <v>35</v>
      </c>
      <c r="D370" s="65">
        <v>10.8</v>
      </c>
      <c r="E370" s="80">
        <v>2400</v>
      </c>
      <c r="F370" s="65">
        <f t="shared" si="47"/>
        <v>25920</v>
      </c>
      <c r="G370" s="111" t="s">
        <v>396</v>
      </c>
      <c r="H370" s="111" t="s">
        <v>397</v>
      </c>
      <c r="I370" s="111" t="s">
        <v>398</v>
      </c>
      <c r="J370" s="114"/>
    </row>
    <row r="371" s="2" customFormat="1" ht="31" spans="1:10">
      <c r="A371" s="97">
        <v>9</v>
      </c>
      <c r="B371" s="110" t="s">
        <v>375</v>
      </c>
      <c r="C371" s="34" t="s">
        <v>77</v>
      </c>
      <c r="D371" s="65">
        <v>23.2</v>
      </c>
      <c r="E371" s="80">
        <v>390</v>
      </c>
      <c r="F371" s="65">
        <f t="shared" si="47"/>
        <v>9048</v>
      </c>
      <c r="G371" s="111" t="s">
        <v>112</v>
      </c>
      <c r="H371" s="111" t="s">
        <v>376</v>
      </c>
      <c r="I371" s="111" t="s">
        <v>377</v>
      </c>
      <c r="J371" s="112"/>
    </row>
    <row r="372" s="2" customFormat="1" ht="31" spans="1:10">
      <c r="A372" s="97">
        <v>10</v>
      </c>
      <c r="B372" s="110" t="s">
        <v>378</v>
      </c>
      <c r="C372" s="34" t="s">
        <v>77</v>
      </c>
      <c r="D372" s="65">
        <v>15.5</v>
      </c>
      <c r="E372" s="80">
        <v>58</v>
      </c>
      <c r="F372" s="65">
        <f t="shared" si="47"/>
        <v>899</v>
      </c>
      <c r="G372" s="111" t="s">
        <v>367</v>
      </c>
      <c r="H372" s="111" t="s">
        <v>368</v>
      </c>
      <c r="I372" s="111" t="s">
        <v>369</v>
      </c>
      <c r="J372" s="119"/>
    </row>
    <row r="373" s="2" customFormat="1" ht="31" spans="1:10">
      <c r="A373" s="97">
        <v>11</v>
      </c>
      <c r="B373" s="110" t="s">
        <v>399</v>
      </c>
      <c r="C373" s="34" t="s">
        <v>77</v>
      </c>
      <c r="D373" s="65">
        <v>60</v>
      </c>
      <c r="E373" s="80">
        <v>70</v>
      </c>
      <c r="F373" s="65">
        <f t="shared" si="47"/>
        <v>4200</v>
      </c>
      <c r="G373" s="111" t="s">
        <v>175</v>
      </c>
      <c r="H373" s="111" t="s">
        <v>176</v>
      </c>
      <c r="I373" s="111" t="s">
        <v>400</v>
      </c>
      <c r="J373" s="114"/>
    </row>
    <row r="374" s="2" customFormat="1" ht="31" spans="1:10">
      <c r="A374" s="97">
        <v>12</v>
      </c>
      <c r="B374" s="110" t="s">
        <v>363</v>
      </c>
      <c r="C374" s="34" t="s">
        <v>19</v>
      </c>
      <c r="D374" s="65">
        <v>7.4</v>
      </c>
      <c r="E374" s="80">
        <v>168</v>
      </c>
      <c r="F374" s="65">
        <f t="shared" si="47"/>
        <v>1243.2</v>
      </c>
      <c r="G374" s="111" t="s">
        <v>95</v>
      </c>
      <c r="H374" s="111" t="s">
        <v>96</v>
      </c>
      <c r="I374" s="111" t="s">
        <v>349</v>
      </c>
      <c r="J374" s="112"/>
    </row>
    <row r="375" s="4" customFormat="1" ht="17.6" spans="1:10">
      <c r="A375" s="120" t="s">
        <v>401</v>
      </c>
      <c r="B375" s="109" t="s">
        <v>117</v>
      </c>
      <c r="C375" s="57" t="s">
        <v>35</v>
      </c>
      <c r="D375" s="18">
        <v>508.46</v>
      </c>
      <c r="E375" s="19">
        <v>18</v>
      </c>
      <c r="F375" s="18">
        <f t="shared" si="47"/>
        <v>9152.28</v>
      </c>
      <c r="G375" s="121" t="s">
        <v>402</v>
      </c>
      <c r="H375" s="121" t="s">
        <v>176</v>
      </c>
      <c r="I375" s="121" t="s">
        <v>403</v>
      </c>
      <c r="J375" s="18"/>
    </row>
    <row r="376" s="4" customFormat="1" ht="17.6" spans="1:10">
      <c r="A376" s="120" t="s">
        <v>404</v>
      </c>
      <c r="B376" s="120"/>
      <c r="C376" s="120"/>
      <c r="D376" s="122"/>
      <c r="E376" s="123"/>
      <c r="F376" s="122">
        <f>F4+F57+F135+F205</f>
        <v>39664554.17</v>
      </c>
      <c r="G376" s="124" t="s">
        <v>405</v>
      </c>
      <c r="H376" s="125">
        <f t="shared" ref="H376:H378" si="48">F376</f>
        <v>39664554.17</v>
      </c>
      <c r="I376" s="125"/>
      <c r="J376" s="18"/>
    </row>
    <row r="377" s="4" customFormat="1" ht="17.6" spans="1:10">
      <c r="A377" s="120" t="s">
        <v>406</v>
      </c>
      <c r="B377" s="120"/>
      <c r="C377" s="126">
        <v>0.09</v>
      </c>
      <c r="D377" s="122"/>
      <c r="E377" s="123"/>
      <c r="F377" s="122">
        <f>F376*C377</f>
        <v>3569809.8753</v>
      </c>
      <c r="G377" s="124" t="s">
        <v>405</v>
      </c>
      <c r="H377" s="125">
        <f t="shared" si="48"/>
        <v>3569809.8753</v>
      </c>
      <c r="I377" s="125"/>
      <c r="J377" s="18"/>
    </row>
    <row r="378" s="4" customFormat="1" ht="17.6" spans="1:10">
      <c r="A378" s="120" t="s">
        <v>407</v>
      </c>
      <c r="B378" s="120"/>
      <c r="C378" s="120" t="s">
        <v>15</v>
      </c>
      <c r="D378" s="18"/>
      <c r="E378" s="19"/>
      <c r="F378" s="18">
        <f>F376+F377</f>
        <v>43234364.0453</v>
      </c>
      <c r="G378" s="124" t="s">
        <v>405</v>
      </c>
      <c r="H378" s="125">
        <f t="shared" si="48"/>
        <v>43234364.0453</v>
      </c>
      <c r="I378" s="125"/>
      <c r="J378" s="18"/>
    </row>
    <row r="379" s="1" customFormat="1" spans="1:10">
      <c r="A379" s="127" t="s">
        <v>408</v>
      </c>
      <c r="B379" s="127"/>
      <c r="C379" s="128"/>
      <c r="D379" s="128"/>
      <c r="E379" s="128"/>
      <c r="F379" s="127" t="s">
        <v>409</v>
      </c>
      <c r="G379" s="127"/>
      <c r="H379" s="128"/>
      <c r="I379" s="128"/>
      <c r="J379" s="129"/>
    </row>
    <row r="380" s="1" customFormat="1" spans="1:10">
      <c r="A380" s="128"/>
      <c r="B380" s="130"/>
      <c r="C380" s="128"/>
      <c r="D380" s="128"/>
      <c r="E380" s="128"/>
      <c r="F380" s="128"/>
      <c r="G380" s="128"/>
      <c r="H380" s="128"/>
      <c r="I380" s="128"/>
      <c r="J380" s="129"/>
    </row>
    <row r="381" s="1" customFormat="1" spans="1:10">
      <c r="A381" s="128"/>
      <c r="B381" s="130"/>
      <c r="C381" s="128"/>
      <c r="D381" s="128"/>
      <c r="E381" s="128"/>
      <c r="F381" s="128"/>
      <c r="G381" s="128"/>
      <c r="H381" s="128"/>
      <c r="I381" s="128"/>
      <c r="J381" s="129"/>
    </row>
    <row r="382" s="1" customFormat="1" spans="1:10">
      <c r="A382" s="128"/>
      <c r="B382" s="130"/>
      <c r="C382" s="128"/>
      <c r="D382" s="128"/>
      <c r="E382" s="128"/>
      <c r="F382" s="128"/>
      <c r="G382" s="128"/>
      <c r="H382" s="128"/>
      <c r="I382" s="128"/>
      <c r="J382" s="129"/>
    </row>
    <row r="383" s="1" customFormat="1" spans="1:10">
      <c r="A383" s="128"/>
      <c r="B383" s="130"/>
      <c r="C383" s="128"/>
      <c r="D383" s="128"/>
      <c r="E383" s="128"/>
      <c r="F383" s="128"/>
      <c r="G383" s="128"/>
      <c r="H383" s="128"/>
      <c r="I383" s="128"/>
      <c r="J383" s="129"/>
    </row>
    <row r="384" s="1" customFormat="1" spans="1:10">
      <c r="A384" s="128"/>
      <c r="B384" s="130"/>
      <c r="C384" s="128"/>
      <c r="D384" s="128"/>
      <c r="E384" s="128"/>
      <c r="F384" s="128"/>
      <c r="G384" s="128"/>
      <c r="H384" s="128"/>
      <c r="I384" s="128"/>
      <c r="J384" s="129"/>
    </row>
    <row r="385" s="1" customFormat="1" spans="1:10">
      <c r="A385" s="128"/>
      <c r="B385" s="130"/>
      <c r="C385" s="128"/>
      <c r="D385" s="128"/>
      <c r="E385" s="128"/>
      <c r="F385" s="128"/>
      <c r="G385" s="128"/>
      <c r="H385" s="128"/>
      <c r="I385" s="128"/>
      <c r="J385" s="129"/>
    </row>
    <row r="386" s="1" customFormat="1" spans="1:10">
      <c r="A386" s="128"/>
      <c r="B386" s="130"/>
      <c r="C386" s="128"/>
      <c r="D386" s="128"/>
      <c r="E386" s="128"/>
      <c r="F386" s="128"/>
      <c r="G386" s="128"/>
      <c r="H386" s="128"/>
      <c r="I386" s="128"/>
      <c r="J386" s="129"/>
    </row>
    <row r="387" s="1" customFormat="1" spans="1:10">
      <c r="A387" s="128"/>
      <c r="B387" s="130"/>
      <c r="C387" s="128"/>
      <c r="D387" s="128"/>
      <c r="E387" s="128"/>
      <c r="F387" s="128"/>
      <c r="G387" s="128"/>
      <c r="H387" s="128"/>
      <c r="I387" s="128"/>
      <c r="J387" s="129"/>
    </row>
    <row r="388" s="1" customFormat="1" spans="1:10">
      <c r="A388" s="128"/>
      <c r="B388" s="130"/>
      <c r="C388" s="128"/>
      <c r="D388" s="128"/>
      <c r="E388" s="128"/>
      <c r="F388" s="128"/>
      <c r="G388" s="128"/>
      <c r="H388" s="128"/>
      <c r="I388" s="128"/>
      <c r="J388" s="129"/>
    </row>
    <row r="389" s="1" customFormat="1" spans="1:10">
      <c r="A389" s="128"/>
      <c r="B389" s="130"/>
      <c r="C389" s="128"/>
      <c r="D389" s="128"/>
      <c r="E389" s="128"/>
      <c r="F389" s="128"/>
      <c r="G389" s="128"/>
      <c r="H389" s="128"/>
      <c r="I389" s="128"/>
      <c r="J389" s="129"/>
    </row>
    <row r="390" s="1" customFormat="1" spans="1:10">
      <c r="A390" s="128"/>
      <c r="B390" s="130"/>
      <c r="C390" s="128"/>
      <c r="D390" s="128"/>
      <c r="E390" s="128"/>
      <c r="F390" s="128"/>
      <c r="G390" s="128"/>
      <c r="H390" s="128"/>
      <c r="I390" s="128"/>
      <c r="J390" s="129"/>
    </row>
    <row r="391" s="1" customFormat="1" spans="1:10">
      <c r="A391" s="128"/>
      <c r="B391" s="130"/>
      <c r="C391" s="128"/>
      <c r="D391" s="128"/>
      <c r="E391" s="128"/>
      <c r="F391" s="128"/>
      <c r="G391" s="128"/>
      <c r="H391" s="128"/>
      <c r="I391" s="128"/>
      <c r="J391" s="129"/>
    </row>
    <row r="392" s="1" customFormat="1" spans="1:10">
      <c r="A392" s="128"/>
      <c r="B392" s="130"/>
      <c r="C392" s="128"/>
      <c r="D392" s="128"/>
      <c r="E392" s="128"/>
      <c r="F392" s="128"/>
      <c r="G392" s="128"/>
      <c r="H392" s="128"/>
      <c r="I392" s="128"/>
      <c r="J392" s="129"/>
    </row>
    <row r="393" s="1" customFormat="1" spans="1:10">
      <c r="A393" s="128"/>
      <c r="B393" s="130"/>
      <c r="C393" s="128"/>
      <c r="D393" s="128"/>
      <c r="E393" s="128"/>
      <c r="F393" s="128"/>
      <c r="G393" s="128"/>
      <c r="H393" s="128"/>
      <c r="I393" s="128"/>
      <c r="J393" s="129"/>
    </row>
    <row r="394" s="1" customFormat="1" spans="1:10">
      <c r="A394" s="128"/>
      <c r="B394" s="130"/>
      <c r="C394" s="128"/>
      <c r="D394" s="128"/>
      <c r="E394" s="128"/>
      <c r="F394" s="128"/>
      <c r="G394" s="128"/>
      <c r="H394" s="128"/>
      <c r="I394" s="128"/>
      <c r="J394" s="129"/>
    </row>
    <row r="395" s="1" customFormat="1" spans="1:10">
      <c r="A395" s="128"/>
      <c r="B395" s="130"/>
      <c r="C395" s="128"/>
      <c r="D395" s="128"/>
      <c r="E395" s="128"/>
      <c r="F395" s="128"/>
      <c r="G395" s="128"/>
      <c r="H395" s="128"/>
      <c r="I395" s="128"/>
      <c r="J395" s="129"/>
    </row>
    <row r="396" s="1" customFormat="1" spans="1:10">
      <c r="A396" s="128"/>
      <c r="B396" s="130"/>
      <c r="C396" s="128"/>
      <c r="D396" s="128"/>
      <c r="E396" s="128"/>
      <c r="F396" s="128"/>
      <c r="G396" s="128"/>
      <c r="H396" s="128"/>
      <c r="I396" s="128"/>
      <c r="J396" s="129"/>
    </row>
    <row r="397" s="1" customFormat="1" spans="1:10">
      <c r="A397" s="128"/>
      <c r="B397" s="130"/>
      <c r="C397" s="128"/>
      <c r="D397" s="128"/>
      <c r="E397" s="128"/>
      <c r="F397" s="128"/>
      <c r="G397" s="128"/>
      <c r="H397" s="128"/>
      <c r="I397" s="128"/>
      <c r="J397" s="129"/>
    </row>
    <row r="398" s="1" customFormat="1" spans="1:10">
      <c r="A398" s="128"/>
      <c r="B398" s="130"/>
      <c r="C398" s="128"/>
      <c r="D398" s="128"/>
      <c r="E398" s="128"/>
      <c r="F398" s="128"/>
      <c r="G398" s="128"/>
      <c r="H398" s="128"/>
      <c r="I398" s="128"/>
      <c r="J398" s="129"/>
    </row>
    <row r="399" s="1" customFormat="1" spans="1:10">
      <c r="A399" s="128"/>
      <c r="B399" s="130"/>
      <c r="C399" s="128"/>
      <c r="D399" s="128"/>
      <c r="E399" s="128"/>
      <c r="F399" s="128"/>
      <c r="G399" s="128"/>
      <c r="H399" s="128"/>
      <c r="I399" s="128"/>
      <c r="J399" s="129"/>
    </row>
    <row r="400" s="1" customFormat="1" spans="1:10">
      <c r="A400" s="128"/>
      <c r="B400" s="130"/>
      <c r="C400" s="128"/>
      <c r="D400" s="128"/>
      <c r="E400" s="128"/>
      <c r="F400" s="128"/>
      <c r="G400" s="128"/>
      <c r="H400" s="128"/>
      <c r="I400" s="128"/>
      <c r="J400" s="129"/>
    </row>
    <row r="401" s="1" customFormat="1" spans="1:10">
      <c r="A401" s="128"/>
      <c r="B401" s="130"/>
      <c r="C401" s="128"/>
      <c r="D401" s="128"/>
      <c r="E401" s="128"/>
      <c r="F401" s="128"/>
      <c r="G401" s="128"/>
      <c r="H401" s="128"/>
      <c r="I401" s="128"/>
      <c r="J401" s="129"/>
    </row>
    <row r="402" s="1" customFormat="1" spans="1:10">
      <c r="A402" s="128"/>
      <c r="B402" s="130"/>
      <c r="C402" s="128"/>
      <c r="D402" s="128"/>
      <c r="E402" s="128"/>
      <c r="F402" s="128"/>
      <c r="G402" s="128"/>
      <c r="H402" s="128"/>
      <c r="I402" s="128"/>
      <c r="J402" s="129"/>
    </row>
    <row r="403" s="1" customFormat="1" spans="1:10">
      <c r="A403" s="128"/>
      <c r="B403" s="130"/>
      <c r="C403" s="128"/>
      <c r="D403" s="128"/>
      <c r="E403" s="128"/>
      <c r="F403" s="128"/>
      <c r="G403" s="128"/>
      <c r="H403" s="128"/>
      <c r="I403" s="128"/>
      <c r="J403" s="129"/>
    </row>
    <row r="404" s="1" customFormat="1" spans="1:10">
      <c r="A404" s="128"/>
      <c r="B404" s="130"/>
      <c r="C404" s="128"/>
      <c r="D404" s="128"/>
      <c r="E404" s="128"/>
      <c r="F404" s="128"/>
      <c r="G404" s="128"/>
      <c r="H404" s="128"/>
      <c r="I404" s="128"/>
      <c r="J404" s="129"/>
    </row>
    <row r="405" s="1" customFormat="1" spans="1:10">
      <c r="A405" s="128"/>
      <c r="B405" s="130"/>
      <c r="C405" s="128"/>
      <c r="D405" s="128"/>
      <c r="E405" s="128"/>
      <c r="F405" s="128"/>
      <c r="G405" s="128"/>
      <c r="H405" s="128"/>
      <c r="I405" s="128"/>
      <c r="J405" s="129"/>
    </row>
    <row r="406" s="1" customFormat="1" spans="1:10">
      <c r="A406" s="128"/>
      <c r="B406" s="130"/>
      <c r="C406" s="128"/>
      <c r="D406" s="128"/>
      <c r="E406" s="128"/>
      <c r="F406" s="128"/>
      <c r="G406" s="128"/>
      <c r="H406" s="128"/>
      <c r="I406" s="128"/>
      <c r="J406" s="129"/>
    </row>
    <row r="407" s="1" customFormat="1" spans="1:10">
      <c r="A407" s="128"/>
      <c r="B407" s="130"/>
      <c r="C407" s="128"/>
      <c r="D407" s="128"/>
      <c r="E407" s="128"/>
      <c r="F407" s="128"/>
      <c r="G407" s="128"/>
      <c r="H407" s="128"/>
      <c r="I407" s="128"/>
      <c r="J407" s="129"/>
    </row>
    <row r="408" s="1" customFormat="1" spans="1:10">
      <c r="A408" s="128"/>
      <c r="B408" s="130"/>
      <c r="C408" s="128"/>
      <c r="D408" s="128"/>
      <c r="E408" s="128"/>
      <c r="F408" s="128"/>
      <c r="G408" s="128"/>
      <c r="H408" s="128"/>
      <c r="I408" s="128"/>
      <c r="J408" s="129"/>
    </row>
    <row r="409" s="1" customFormat="1" spans="1:10">
      <c r="A409" s="128"/>
      <c r="B409" s="130"/>
      <c r="C409" s="128"/>
      <c r="D409" s="128"/>
      <c r="E409" s="128"/>
      <c r="F409" s="128"/>
      <c r="G409" s="128"/>
      <c r="H409" s="128"/>
      <c r="I409" s="128"/>
      <c r="J409" s="129"/>
    </row>
    <row r="410" s="1" customFormat="1" spans="1:10">
      <c r="A410" s="128"/>
      <c r="B410" s="130"/>
      <c r="C410" s="128"/>
      <c r="D410" s="128"/>
      <c r="E410" s="128"/>
      <c r="F410" s="128"/>
      <c r="G410" s="128"/>
      <c r="H410" s="128"/>
      <c r="I410" s="128"/>
      <c r="J410" s="129"/>
    </row>
    <row r="411" s="1" customFormat="1" spans="1:10">
      <c r="A411" s="128"/>
      <c r="B411" s="130"/>
      <c r="C411" s="128"/>
      <c r="D411" s="128"/>
      <c r="E411" s="128"/>
      <c r="F411" s="128"/>
      <c r="G411" s="128"/>
      <c r="H411" s="128"/>
      <c r="I411" s="128"/>
      <c r="J411" s="129"/>
    </row>
    <row r="412" s="1" customFormat="1" spans="1:10">
      <c r="A412" s="128"/>
      <c r="B412" s="130"/>
      <c r="C412" s="128"/>
      <c r="D412" s="128"/>
      <c r="E412" s="128"/>
      <c r="F412" s="128"/>
      <c r="G412" s="128"/>
      <c r="H412" s="128"/>
      <c r="I412" s="128"/>
      <c r="J412" s="129"/>
    </row>
    <row r="413" s="1" customFormat="1" spans="1:10">
      <c r="A413" s="128"/>
      <c r="B413" s="130"/>
      <c r="C413" s="128"/>
      <c r="D413" s="128"/>
      <c r="E413" s="128"/>
      <c r="F413" s="128"/>
      <c r="G413" s="128"/>
      <c r="H413" s="128"/>
      <c r="I413" s="128"/>
      <c r="J413" s="129"/>
    </row>
    <row r="414" s="1" customFormat="1" spans="1:10">
      <c r="A414" s="128"/>
      <c r="B414" s="130"/>
      <c r="C414" s="128"/>
      <c r="D414" s="128"/>
      <c r="E414" s="128"/>
      <c r="F414" s="128"/>
      <c r="G414" s="128"/>
      <c r="H414" s="128"/>
      <c r="I414" s="128"/>
      <c r="J414" s="129"/>
    </row>
    <row r="415" s="1" customFormat="1" spans="1:10">
      <c r="A415" s="128"/>
      <c r="B415" s="130"/>
      <c r="C415" s="128"/>
      <c r="D415" s="128"/>
      <c r="E415" s="128"/>
      <c r="F415" s="128"/>
      <c r="G415" s="128"/>
      <c r="H415" s="128"/>
      <c r="I415" s="128"/>
      <c r="J415" s="129"/>
    </row>
    <row r="416" s="1" customFormat="1" spans="1:10">
      <c r="A416" s="128"/>
      <c r="B416" s="130"/>
      <c r="C416" s="128"/>
      <c r="D416" s="128"/>
      <c r="E416" s="128"/>
      <c r="F416" s="128"/>
      <c r="G416" s="128"/>
      <c r="H416" s="128"/>
      <c r="I416" s="128"/>
      <c r="J416" s="129"/>
    </row>
    <row r="417" s="1" customFormat="1" spans="1:10">
      <c r="A417" s="128"/>
      <c r="B417" s="130"/>
      <c r="C417" s="128"/>
      <c r="D417" s="128"/>
      <c r="E417" s="128"/>
      <c r="F417" s="128"/>
      <c r="G417" s="128"/>
      <c r="H417" s="128"/>
      <c r="I417" s="128"/>
      <c r="J417" s="129"/>
    </row>
    <row r="418" s="1" customFormat="1" spans="1:10">
      <c r="A418" s="128"/>
      <c r="B418" s="130"/>
      <c r="C418" s="128"/>
      <c r="D418" s="128"/>
      <c r="E418" s="128"/>
      <c r="F418" s="128"/>
      <c r="G418" s="128"/>
      <c r="H418" s="128"/>
      <c r="I418" s="128"/>
      <c r="J418" s="129"/>
    </row>
    <row r="419" s="1" customFormat="1" spans="1:10">
      <c r="A419" s="128"/>
      <c r="B419" s="130"/>
      <c r="C419" s="128"/>
      <c r="D419" s="128"/>
      <c r="E419" s="128"/>
      <c r="F419" s="128"/>
      <c r="G419" s="128"/>
      <c r="H419" s="128"/>
      <c r="I419" s="128"/>
      <c r="J419" s="129"/>
    </row>
    <row r="420" s="1" customFormat="1" spans="1:10">
      <c r="A420" s="128"/>
      <c r="B420" s="130"/>
      <c r="C420" s="128"/>
      <c r="D420" s="128"/>
      <c r="E420" s="128"/>
      <c r="F420" s="128"/>
      <c r="G420" s="128"/>
      <c r="H420" s="128"/>
      <c r="I420" s="128"/>
      <c r="J420" s="129"/>
    </row>
    <row r="421" s="1" customFormat="1" spans="1:10">
      <c r="A421" s="128"/>
      <c r="B421" s="130"/>
      <c r="C421" s="128"/>
      <c r="D421" s="128"/>
      <c r="E421" s="128"/>
      <c r="F421" s="128"/>
      <c r="G421" s="128"/>
      <c r="H421" s="128"/>
      <c r="I421" s="128"/>
      <c r="J421" s="129"/>
    </row>
    <row r="422" s="1" customFormat="1" spans="1:10">
      <c r="A422" s="128"/>
      <c r="B422" s="130"/>
      <c r="C422" s="128"/>
      <c r="D422" s="128"/>
      <c r="E422" s="128"/>
      <c r="F422" s="128"/>
      <c r="G422" s="128"/>
      <c r="H422" s="128"/>
      <c r="I422" s="128"/>
      <c r="J422" s="129"/>
    </row>
    <row r="423" s="1" customFormat="1" spans="1:10">
      <c r="A423" s="128"/>
      <c r="B423" s="130"/>
      <c r="C423" s="128"/>
      <c r="D423" s="128"/>
      <c r="E423" s="128"/>
      <c r="F423" s="128"/>
      <c r="G423" s="128"/>
      <c r="H423" s="128"/>
      <c r="I423" s="128"/>
      <c r="J423" s="129"/>
    </row>
    <row r="424" s="1" customFormat="1" spans="1:10">
      <c r="A424" s="128"/>
      <c r="B424" s="130"/>
      <c r="C424" s="128"/>
      <c r="D424" s="128"/>
      <c r="E424" s="128"/>
      <c r="F424" s="128"/>
      <c r="G424" s="128"/>
      <c r="H424" s="128"/>
      <c r="I424" s="128"/>
      <c r="J424" s="129"/>
    </row>
    <row r="425" s="1" customFormat="1" spans="1:10">
      <c r="A425" s="128"/>
      <c r="B425" s="130"/>
      <c r="C425" s="128"/>
      <c r="D425" s="128"/>
      <c r="E425" s="128"/>
      <c r="F425" s="128"/>
      <c r="G425" s="128"/>
      <c r="H425" s="128"/>
      <c r="I425" s="128"/>
      <c r="J425" s="129"/>
    </row>
    <row r="426" s="1" customFormat="1" spans="1:10">
      <c r="A426" s="128"/>
      <c r="B426" s="130"/>
      <c r="C426" s="128"/>
      <c r="D426" s="128"/>
      <c r="E426" s="128"/>
      <c r="F426" s="128"/>
      <c r="G426" s="128"/>
      <c r="H426" s="128"/>
      <c r="I426" s="128"/>
      <c r="J426" s="129"/>
    </row>
    <row r="427" s="1" customFormat="1" spans="1:10">
      <c r="A427" s="128"/>
      <c r="B427" s="130"/>
      <c r="C427" s="128"/>
      <c r="D427" s="128"/>
      <c r="E427" s="128"/>
      <c r="F427" s="128"/>
      <c r="G427" s="128"/>
      <c r="H427" s="128"/>
      <c r="I427" s="128"/>
      <c r="J427" s="129"/>
    </row>
    <row r="428" s="1" customFormat="1" spans="1:10">
      <c r="A428" s="128"/>
      <c r="B428" s="130"/>
      <c r="C428" s="128"/>
      <c r="D428" s="128"/>
      <c r="E428" s="128"/>
      <c r="F428" s="128"/>
      <c r="G428" s="128"/>
      <c r="H428" s="128"/>
      <c r="I428" s="128"/>
      <c r="J428" s="129"/>
    </row>
    <row r="429" s="1" customFormat="1" spans="1:10">
      <c r="A429" s="128"/>
      <c r="B429" s="130"/>
      <c r="C429" s="128"/>
      <c r="D429" s="128"/>
      <c r="E429" s="128"/>
      <c r="F429" s="128"/>
      <c r="G429" s="128"/>
      <c r="H429" s="128"/>
      <c r="I429" s="128"/>
      <c r="J429" s="129"/>
    </row>
    <row r="430" s="1" customFormat="1" spans="1:10">
      <c r="A430" s="128"/>
      <c r="B430" s="130"/>
      <c r="C430" s="128"/>
      <c r="D430" s="128"/>
      <c r="E430" s="128"/>
      <c r="F430" s="128"/>
      <c r="G430" s="128"/>
      <c r="H430" s="128"/>
      <c r="I430" s="128"/>
      <c r="J430" s="129"/>
    </row>
    <row r="431" s="1" customFormat="1" spans="1:10">
      <c r="A431" s="128"/>
      <c r="B431" s="130"/>
      <c r="C431" s="128"/>
      <c r="D431" s="128"/>
      <c r="E431" s="128"/>
      <c r="F431" s="128"/>
      <c r="G431" s="128"/>
      <c r="H431" s="128"/>
      <c r="I431" s="128"/>
      <c r="J431" s="129"/>
    </row>
    <row r="432" s="1" customFormat="1" spans="1:10">
      <c r="A432" s="128"/>
      <c r="B432" s="130"/>
      <c r="C432" s="128"/>
      <c r="D432" s="128"/>
      <c r="E432" s="128"/>
      <c r="F432" s="128"/>
      <c r="G432" s="128"/>
      <c r="H432" s="128"/>
      <c r="I432" s="128"/>
      <c r="J432" s="129"/>
    </row>
    <row r="433" s="1" customFormat="1" spans="1:10">
      <c r="A433" s="128"/>
      <c r="B433" s="130"/>
      <c r="C433" s="128"/>
      <c r="D433" s="128"/>
      <c r="E433" s="128"/>
      <c r="F433" s="128"/>
      <c r="G433" s="128"/>
      <c r="H433" s="128"/>
      <c r="I433" s="128"/>
      <c r="J433" s="129"/>
    </row>
    <row r="434" s="1" customFormat="1" spans="1:10">
      <c r="A434" s="128"/>
      <c r="B434" s="130"/>
      <c r="C434" s="128"/>
      <c r="D434" s="128"/>
      <c r="E434" s="128"/>
      <c r="F434" s="128"/>
      <c r="G434" s="128"/>
      <c r="H434" s="128"/>
      <c r="I434" s="128"/>
      <c r="J434" s="129"/>
    </row>
  </sheetData>
  <sheetProtection formatCells="0" formatColumns="0" formatRows="0" insertRows="0" insertColumns="0" insertHyperlinks="0" deleteColumns="0" deleteRows="0" sort="0" autoFilter="0" pivotTables="0"/>
  <mergeCells count="14">
    <mergeCell ref="A1:J1"/>
    <mergeCell ref="A2:J2"/>
    <mergeCell ref="A4:B4"/>
    <mergeCell ref="A57:B57"/>
    <mergeCell ref="A135:B135"/>
    <mergeCell ref="A205:B205"/>
    <mergeCell ref="A376:B376"/>
    <mergeCell ref="H376:I376"/>
    <mergeCell ref="A377:B377"/>
    <mergeCell ref="H377:I377"/>
    <mergeCell ref="A378:B378"/>
    <mergeCell ref="H378:I378"/>
    <mergeCell ref="A379:B379"/>
    <mergeCell ref="F379:G379"/>
  </mergeCells>
  <pageMargins left="0.75" right="0.75" top="1" bottom="1" header="0.5" footer="0.5"/>
  <pageSetup paperSize="9" scale="45" orientation="landscape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WWO_wpscloud_20260508175737-a9385e8bc7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一工区路基3队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scad</cp:lastModifiedBy>
  <dcterms:created xsi:type="dcterms:W3CDTF">2026-01-21T08:36:00Z</dcterms:created>
  <dcterms:modified xsi:type="dcterms:W3CDTF">2026-05-20T16:57:04Z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KSOReadingLayout">
    <vt:bool>true</vt:bool>
  </property>
  <property fmtid="{D5CDD505-2E9C-101B-9397-08002B2CF9AE}" pid="4" name="ICV">
    <vt:lpwstr>7EB5E3C0BFAB8F660E970A6AFE8AD433_43</vt:lpwstr>
  </property>
  <property fmtid="{D5CDD505-2E9C-101B-9397-08002B2CF9AE}" pid="5" name="KSOProductBuildVer">
    <vt:lpwstr>2052-12.1.25895.25895</vt:lpwstr>
  </property>
</Properties>
</file>