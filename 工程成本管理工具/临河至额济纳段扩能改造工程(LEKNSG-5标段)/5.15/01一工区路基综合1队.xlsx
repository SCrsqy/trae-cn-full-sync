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280" windowHeight="7590" tabRatio="600" firstSheet="0" activeTab="0" autoFilterDateGrouping="1"/>
  </bookViews>
  <sheets>
    <sheet xmlns:r="http://schemas.openxmlformats.org/officeDocument/2006/relationships" name="一工区路基1队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_ "/>
    <numFmt numFmtId="166" formatCode="0.00_);[Red]\(0.00\)"/>
    <numFmt numFmtId="167" formatCode="\T\L@"/>
    <numFmt numFmtId="168" formatCode="0_);[Red]\(0\)"/>
    <numFmt numFmtId="169" formatCode="[DBNum2][$RMB]General;[Red][DBNum2][$RMB]General"/>
  </numFmts>
  <fonts count="37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6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b val="1"/>
      <color rgb="FF000000"/>
      <sz val="10"/>
      <scheme val="minor"/>
    </font>
    <font>
      <name val="宋体"/>
      <charset val="204"/>
      <sz val="10"/>
      <scheme val="minor"/>
    </font>
    <font>
      <name val="宋体"/>
      <charset val="134"/>
      <sz val="9"/>
      <scheme val="minor"/>
    </font>
    <font>
      <name val="宋体"/>
      <charset val="134"/>
      <color indexed="8"/>
      <sz val="10"/>
    </font>
    <font>
      <name val="宋体"/>
      <charset val="134"/>
      <sz val="9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0"/>
      <color indexed="8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7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2" borderId="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3" borderId="9" applyAlignment="1">
      <alignment vertical="center"/>
    </xf>
    <xf numFmtId="0" fontId="24" fillId="4" borderId="10" applyAlignment="1">
      <alignment vertical="center"/>
    </xf>
    <xf numFmtId="0" fontId="25" fillId="4" borderId="9" applyAlignment="1">
      <alignment vertical="center"/>
    </xf>
    <xf numFmtId="0" fontId="26" fillId="5" borderId="11" applyAlignment="1">
      <alignment vertical="center"/>
    </xf>
    <xf numFmtId="0" fontId="27" fillId="0" borderId="12" applyAlignment="1">
      <alignment vertical="center"/>
    </xf>
    <xf numFmtId="0" fontId="28" fillId="0" borderId="13" applyAlignment="1">
      <alignment vertical="center"/>
    </xf>
    <xf numFmtId="0" fontId="29" fillId="6" borderId="0" applyAlignment="1">
      <alignment vertical="center"/>
    </xf>
    <xf numFmtId="0" fontId="30" fillId="7" borderId="0" applyAlignment="1">
      <alignment vertical="center"/>
    </xf>
    <xf numFmtId="0" fontId="31" fillId="8" borderId="0" applyAlignment="1">
      <alignment vertical="center"/>
    </xf>
    <xf numFmtId="0" fontId="32" fillId="9" borderId="0" applyAlignment="1">
      <alignment vertical="center"/>
    </xf>
    <xf numFmtId="0" fontId="33" fillId="10" borderId="0" applyAlignment="1">
      <alignment vertical="center"/>
    </xf>
    <xf numFmtId="0" fontId="33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4" fillId="0" borderId="0"/>
    <xf numFmtId="0" fontId="34" fillId="0" borderId="0"/>
    <xf numFmtId="0" fontId="14" fillId="0" borderId="0"/>
    <xf numFmtId="0" fontId="34" fillId="0" borderId="0"/>
    <xf numFmtId="0" fontId="35" fillId="0" borderId="0" applyAlignment="1">
      <alignment vertical="top"/>
    </xf>
    <xf numFmtId="0" fontId="36" fillId="0" borderId="0" applyAlignment="1">
      <alignment vertical="top"/>
    </xf>
    <xf numFmtId="0" fontId="35" fillId="0" borderId="0" applyAlignment="1">
      <alignment vertical="top"/>
    </xf>
    <xf numFmtId="0" fontId="34" fillId="0" borderId="0"/>
  </cellStyleXfs>
  <cellXfs count="1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justify" vertical="center" wrapText="1"/>
    </xf>
    <xf numFmtId="49" fontId="6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56">
      <alignment horizontal="center" vertical="center" wrapText="1"/>
    </xf>
    <xf numFmtId="0" fontId="6" fillId="0" borderId="1" applyAlignment="1" pivotButton="0" quotePrefix="0" xfId="56">
      <alignment horizontal="left" vertical="center" wrapText="1"/>
    </xf>
    <xf numFmtId="164" fontId="6" fillId="0" borderId="1" applyAlignment="1" pivotButton="0" quotePrefix="0" xfId="56">
      <alignment horizontal="right" vertical="center" wrapText="1"/>
    </xf>
    <xf numFmtId="0" fontId="6" fillId="0" borderId="1" applyAlignment="1" pivotButton="0" quotePrefix="0" xfId="56">
      <alignment horizontal="justify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left" vertical="center" wrapText="1"/>
    </xf>
    <xf numFmtId="164" fontId="6" fillId="0" borderId="1" applyAlignment="1" pivotButton="0" quotePrefix="0" xfId="56">
      <alignment horizontal="right" vertical="center"/>
    </xf>
    <xf numFmtId="164" fontId="3" fillId="0" borderId="1" applyAlignment="1" pivotButton="0" quotePrefix="0" xfId="50">
      <alignment horizontal="right" vertical="center" wrapText="1"/>
    </xf>
    <xf numFmtId="0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56">
      <alignment horizontal="center" vertical="center"/>
    </xf>
    <xf numFmtId="49" fontId="7" fillId="0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4" fontId="2" fillId="0" borderId="1" applyAlignment="1" pivotButton="0" quotePrefix="0" xfId="50">
      <alignment horizontal="right" vertical="center" wrapText="1"/>
    </xf>
    <xf numFmtId="165" fontId="7" fillId="0" borderId="1" applyAlignment="1" pivotButton="0" quotePrefix="0" xfId="0">
      <alignment horizontal="justify" vertical="center" wrapText="1"/>
    </xf>
    <xf numFmtId="166" fontId="7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49">
      <alignment horizontal="justify" vertical="center" wrapText="1"/>
    </xf>
    <xf numFmtId="167" fontId="2" fillId="0" borderId="1" applyAlignment="1" pivotButton="0" quotePrefix="0" xfId="49">
      <alignment horizontal="justify" vertical="center" wrapText="1"/>
    </xf>
    <xf numFmtId="0" fontId="2" fillId="0" borderId="1" applyAlignment="1" pivotButton="0" quotePrefix="0" xfId="51">
      <alignment horizontal="justify" vertical="center" wrapText="1"/>
    </xf>
    <xf numFmtId="0" fontId="7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56">
      <alignment horizontal="center" vertical="center"/>
    </xf>
    <xf numFmtId="164" fontId="3" fillId="0" borderId="1" applyAlignment="1" pivotButton="0" quotePrefix="0" xfId="0">
      <alignment horizontal="right" vertical="center"/>
    </xf>
    <xf numFmtId="167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56">
      <alignment horizontal="justify" vertical="center" wrapText="1"/>
    </xf>
    <xf numFmtId="49" fontId="6" fillId="0" borderId="1" applyAlignment="1" pivotButton="0" quotePrefix="0" xfId="0">
      <alignment horizontal="left" vertical="center" wrapText="1"/>
    </xf>
    <xf numFmtId="164" fontId="3" fillId="0" borderId="4" applyAlignment="1" pivotButton="0" quotePrefix="0" xfId="0">
      <alignment horizontal="right" vertical="center" wrapText="1"/>
    </xf>
    <xf numFmtId="164" fontId="3" fillId="0" borderId="4" applyAlignment="1" pivotButton="0" quotePrefix="0" xfId="50">
      <alignment horizontal="right" vertical="center" wrapText="1"/>
    </xf>
    <xf numFmtId="49" fontId="7" fillId="0" borderId="1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 wrapText="1"/>
    </xf>
    <xf numFmtId="164" fontId="2" fillId="0" borderId="4" applyAlignment="1" pivotButton="0" quotePrefix="0" xfId="50">
      <alignment horizontal="right" vertical="center" wrapText="1"/>
    </xf>
    <xf numFmtId="0" fontId="7" fillId="0" borderId="1" applyAlignment="1" pivotButton="0" quotePrefix="0" xfId="54">
      <alignment horizontal="justify" vertical="center" wrapText="1"/>
    </xf>
    <xf numFmtId="167" fontId="2" fillId="0" borderId="4" applyAlignment="1" pivotButton="0" quotePrefix="0" xfId="49">
      <alignment horizontal="justify" vertical="center" wrapText="1"/>
    </xf>
    <xf numFmtId="0" fontId="3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167" fontId="3" fillId="0" borderId="4" applyAlignment="1" pivotButton="0" quotePrefix="0" xfId="49">
      <alignment horizontal="justify" vertical="center" wrapText="1"/>
    </xf>
    <xf numFmtId="0" fontId="2" fillId="0" borderId="1" applyAlignment="1" pivotButton="0" quotePrefix="0" xfId="49">
      <alignment horizontal="justify" vertical="center" wrapText="1"/>
    </xf>
    <xf numFmtId="166" fontId="6" fillId="0" borderId="1" applyAlignment="1" pivotButton="0" quotePrefix="0" xfId="0">
      <alignment horizontal="justify" vertical="center" wrapText="1"/>
    </xf>
    <xf numFmtId="49" fontId="6" fillId="0" borderId="1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/>
    </xf>
    <xf numFmtId="0" fontId="6" fillId="0" borderId="4" applyAlignment="1" pivotButton="0" quotePrefix="0" xfId="56">
      <alignment horizontal="justify" vertical="center" wrapText="1"/>
    </xf>
    <xf numFmtId="49" fontId="6" fillId="0" borderId="4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right" vertical="center" wrapText="1"/>
    </xf>
    <xf numFmtId="166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right" vertical="center" wrapText="1"/>
    </xf>
    <xf numFmtId="166" fontId="2" fillId="0" borderId="1" applyAlignment="1" pivotButton="0" quotePrefix="0" xfId="49">
      <alignment horizontal="justify" vertical="center" wrapText="1"/>
    </xf>
    <xf numFmtId="164" fontId="7" fillId="0" borderId="4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51">
      <alignment horizontal="justify" vertical="center" wrapText="1"/>
    </xf>
    <xf numFmtId="4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51">
      <alignment horizontal="justify" vertical="center" wrapText="1"/>
    </xf>
    <xf numFmtId="49" fontId="7" fillId="0" borderId="1" applyAlignment="1" pivotButton="0" quotePrefix="0" xfId="0">
      <alignment horizontal="justify" vertical="center" wrapText="1"/>
    </xf>
    <xf numFmtId="0" fontId="7" fillId="0" borderId="2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/>
    </xf>
    <xf numFmtId="0" fontId="6" fillId="0" borderId="5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51">
      <alignment horizontal="justify" vertical="center" wrapText="1"/>
    </xf>
    <xf numFmtId="0" fontId="2" fillId="0" borderId="1" applyAlignment="1" pivotButton="0" quotePrefix="0" xfId="0">
      <alignment horizontal="justify" vertical="center"/>
    </xf>
    <xf numFmtId="0" fontId="2" fillId="0" borderId="5" applyAlignment="1" pivotButton="0" quotePrefix="0" xfId="0">
      <alignment horizontal="justify" vertical="center" wrapText="1"/>
    </xf>
    <xf numFmtId="164" fontId="10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0" fontId="2" fillId="0" borderId="4" applyAlignment="1" pivotButton="0" quotePrefix="0" xfId="51">
      <alignment horizontal="justify" vertical="center" wrapText="1"/>
    </xf>
    <xf numFmtId="0" fontId="6" fillId="0" borderId="2" applyAlignment="1" pivotButton="0" quotePrefix="0" xfId="0">
      <alignment horizontal="justify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49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49">
      <alignment horizontal="center" vertical="center" wrapText="1"/>
    </xf>
    <xf numFmtId="49" fontId="7" fillId="0" borderId="1" applyAlignment="1" pivotButton="0" quotePrefix="0" xfId="53">
      <alignment horizontal="center" vertical="center"/>
    </xf>
    <xf numFmtId="167" fontId="11" fillId="0" borderId="1" applyAlignment="1" pivotButton="0" quotePrefix="0" xfId="49">
      <alignment horizontal="center" vertical="center" wrapText="1"/>
    </xf>
    <xf numFmtId="0" fontId="12" fillId="0" borderId="1" applyAlignment="1" pivotButton="0" quotePrefix="0" xfId="51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55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7" fillId="0" borderId="1" applyAlignment="1" pivotButton="0" quotePrefix="0" xfId="54">
      <alignment horizontal="center" vertical="center" wrapText="1"/>
    </xf>
    <xf numFmtId="49" fontId="13" fillId="0" borderId="1" applyAlignment="1" pivotButton="0" quotePrefix="0" xfId="53">
      <alignment horizontal="center" vertical="center" wrapText="1"/>
    </xf>
    <xf numFmtId="167" fontId="3" fillId="0" borderId="1" applyAlignment="1" pivotButton="0" quotePrefix="0" xfId="49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left" vertical="center" wrapText="1"/>
    </xf>
    <xf numFmtId="9" fontId="6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56">
      <alignment horizontal="right" vertical="center" wrapText="1"/>
    </xf>
    <xf numFmtId="164" fontId="6" fillId="0" borderId="1" applyAlignment="1" pivotButton="0" quotePrefix="0" xfId="56">
      <alignment horizontal="right" vertical="center"/>
    </xf>
    <xf numFmtId="164" fontId="3" fillId="0" borderId="1" applyAlignment="1" pivotButton="0" quotePrefix="0" xfId="50">
      <alignment horizontal="right" vertical="center" wrapText="1"/>
    </xf>
    <xf numFmtId="164" fontId="8" fillId="0" borderId="1" applyAlignment="1" pivotButton="0" quotePrefix="0" xfId="0">
      <alignment horizontal="right" vertical="center"/>
    </xf>
    <xf numFmtId="164" fontId="2" fillId="0" borderId="1" applyAlignment="1" pivotButton="0" quotePrefix="0" xfId="50">
      <alignment horizontal="right" vertical="center" wrapText="1"/>
    </xf>
    <xf numFmtId="165" fontId="7" fillId="0" borderId="1" applyAlignment="1" pivotButton="0" quotePrefix="0" xfId="0">
      <alignment horizontal="justify" vertical="center" wrapText="1"/>
    </xf>
    <xf numFmtId="166" fontId="7" fillId="0" borderId="1" applyAlignment="1" pivotButton="0" quotePrefix="0" xfId="0">
      <alignment horizontal="justify" vertical="center" wrapText="1"/>
    </xf>
    <xf numFmtId="167" fontId="2" fillId="0" borderId="1" applyAlignment="1" pivotButton="0" quotePrefix="0" xfId="49">
      <alignment horizontal="justify" vertical="center" wrapText="1"/>
    </xf>
    <xf numFmtId="164" fontId="3" fillId="0" borderId="1" applyAlignment="1" pivotButton="0" quotePrefix="0" xfId="0">
      <alignment horizontal="right" vertical="center"/>
    </xf>
    <xf numFmtId="167" fontId="3" fillId="0" borderId="1" applyAlignment="1" pivotButton="0" quotePrefix="0" xfId="49">
      <alignment horizontal="justify" vertical="center" wrapText="1"/>
    </xf>
    <xf numFmtId="164" fontId="3" fillId="0" borderId="4" applyAlignment="1" pivotButton="0" quotePrefix="0" xfId="0">
      <alignment horizontal="right" vertical="center" wrapText="1"/>
    </xf>
    <xf numFmtId="164" fontId="3" fillId="0" borderId="4" applyAlignment="1" pivotButton="0" quotePrefix="0" xfId="50">
      <alignment horizontal="right" vertical="center" wrapText="1"/>
    </xf>
    <xf numFmtId="164" fontId="2" fillId="0" borderId="4" applyAlignment="1" pivotButton="0" quotePrefix="0" xfId="0">
      <alignment horizontal="right" vertical="center" wrapText="1"/>
    </xf>
    <xf numFmtId="164" fontId="2" fillId="0" borderId="4" applyAlignment="1" pivotButton="0" quotePrefix="0" xfId="50">
      <alignment horizontal="right" vertical="center" wrapText="1"/>
    </xf>
    <xf numFmtId="167" fontId="2" fillId="0" borderId="4" applyAlignment="1" pivotButton="0" quotePrefix="0" xfId="49">
      <alignment horizontal="justify" vertical="center" wrapText="1"/>
    </xf>
    <xf numFmtId="165" fontId="6" fillId="0" borderId="1" applyAlignment="1" pivotButton="0" quotePrefix="0" xfId="0">
      <alignment horizontal="justify" vertical="center" wrapText="1"/>
    </xf>
    <xf numFmtId="167" fontId="3" fillId="0" borderId="4" applyAlignment="1" pivotButton="0" quotePrefix="0" xfId="49">
      <alignment horizontal="justify" vertical="center" wrapText="1"/>
    </xf>
    <xf numFmtId="166" fontId="6" fillId="0" borderId="1" applyAlignment="1" pivotButton="0" quotePrefix="0" xfId="0">
      <alignment horizontal="justify" vertical="center" wrapText="1"/>
    </xf>
    <xf numFmtId="164" fontId="6" fillId="0" borderId="4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 wrapText="1"/>
    </xf>
    <xf numFmtId="166" fontId="3" fillId="0" borderId="1" applyAlignment="1" pivotButton="0" quotePrefix="0" xfId="49">
      <alignment horizontal="justify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right" vertical="center" wrapText="1"/>
    </xf>
    <xf numFmtId="166" fontId="2" fillId="0" borderId="1" applyAlignment="1" pivotButton="0" quotePrefix="0" xfId="49">
      <alignment horizontal="justify" vertical="center" wrapText="1"/>
    </xf>
    <xf numFmtId="164" fontId="2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 wrapText="1"/>
    </xf>
    <xf numFmtId="164" fontId="10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49">
      <alignment horizontal="center" vertical="center" wrapText="1"/>
    </xf>
    <xf numFmtId="167" fontId="11" fillId="0" borderId="1" applyAlignment="1" pivotButton="0" quotePrefix="0" xfId="49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49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left" vertical="center" wrapText="1"/>
    </xf>
    <xf numFmtId="164" fontId="14" fillId="0" borderId="0" applyAlignment="1" pivotButton="0" quotePrefix="0" xfId="0">
      <alignment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调整表（轨道）  附件：中铁六局集团劳务分包指导价汇总（印刷版）" xfId="49"/>
    <cellStyle name="常规_Sheet1 2" xfId="50"/>
    <cellStyle name="常规 3" xfId="51"/>
    <cellStyle name="常规 10" xfId="52"/>
    <cellStyle name="常规_Sheet1_4" xfId="53"/>
    <cellStyle name="常规_公路工程内部限价指标2010年" xfId="54"/>
    <cellStyle name="常规_Sheet1_5" xfId="55"/>
    <cellStyle name="常规_001标底清单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tabSelected="1" zoomScale="75" zoomScaleNormal="75" workbookViewId="0">
      <pane ySplit="3" topLeftCell="A4" activePane="bottomLeft" state="frozen"/>
      <selection activeCell="A1" sqref="A1"/>
      <selection pane="bottomLeft" activeCell="A3" sqref="A3"/>
    </sheetView>
  </sheetViews>
  <sheetFormatPr baseColWidth="8" defaultColWidth="9" defaultRowHeight="14.1"/>
  <cols>
    <col width="8.780701754385969" customWidth="1" style="5" min="1" max="1"/>
    <col width="25.780701754386" customWidth="1" style="1" min="2" max="2"/>
    <col width="10.780701754386" customWidth="1" style="5" min="3" max="4"/>
    <col width="12.780701754386" customWidth="1" style="5" min="5" max="6"/>
    <col width="20.780701754386" customWidth="1" style="5" min="7" max="9"/>
    <col width="9.780701754385969" customWidth="1" style="127" min="10" max="10"/>
    <col width="9" customWidth="1" style="1" min="11" max="16384"/>
  </cols>
  <sheetData>
    <row r="1" ht="24.75" customFormat="1" customHeight="1" s="1">
      <c r="A1" s="7" t="inlineStr">
        <is>
          <t>一工区路基综合1队分包报价清单</t>
        </is>
      </c>
    </row>
    <row r="2" ht="25.5" customFormat="1" customHeight="1" s="2">
      <c r="A2" s="9" t="inlineStr">
        <is>
          <t>工程项目名称：临哈铁路临河至额济纳段扩能改造工程LEKNSG-5标                                       合同编号：2026-HHLH-LWFB-</t>
        </is>
      </c>
    </row>
    <row r="3" ht="32.25" customFormat="1" customHeight="1" s="2">
      <c r="A3" s="12" t="inlineStr">
        <is>
          <t>序号</t>
        </is>
      </c>
      <c r="B3" s="12" t="inlineStr">
        <is>
          <t>工程计价细目</t>
        </is>
      </c>
      <c r="C3" s="12" t="inlineStr">
        <is>
          <t>单位</t>
        </is>
      </c>
      <c r="D3" s="12" t="inlineStr">
        <is>
          <t>数量
（暂定）</t>
        </is>
      </c>
      <c r="E3" s="12" t="inlineStr">
        <is>
          <t>不含增值税单
价（元）</t>
        </is>
      </c>
      <c r="F3" s="128" t="inlineStr">
        <is>
          <t>不含增值税合
价（元）</t>
        </is>
      </c>
      <c r="G3" s="12" t="inlineStr">
        <is>
          <t>计量规则</t>
        </is>
      </c>
      <c r="H3" s="12" t="inlineStr">
        <is>
          <t>费用组成</t>
        </is>
      </c>
      <c r="I3" s="12" t="inlineStr">
        <is>
          <t>工作内容</t>
        </is>
      </c>
      <c r="J3" s="24" t="inlineStr">
        <is>
          <t>备注</t>
        </is>
      </c>
    </row>
    <row r="4" ht="32.25" customFormat="1" customHeight="1" s="2">
      <c r="A4" s="104" t="inlineStr">
        <is>
          <t>路基土石方工程</t>
        </is>
      </c>
      <c r="B4" s="129" t="n"/>
      <c r="C4" s="12" t="n"/>
      <c r="D4" s="130" t="n"/>
      <c r="E4" s="130" t="n"/>
      <c r="F4" s="130">
        <f>F5+F25+F45+F50</f>
        <v/>
      </c>
      <c r="G4" s="54" t="n"/>
      <c r="H4" s="54" t="n"/>
      <c r="I4" s="54" t="n"/>
      <c r="J4" s="19" t="n"/>
    </row>
    <row r="5" ht="32.25" customFormat="1" customHeight="1" s="3">
      <c r="A5" s="20" t="inlineStr">
        <is>
          <t>一</t>
        </is>
      </c>
      <c r="B5" s="21" t="inlineStr">
        <is>
          <t>区间土石方</t>
        </is>
      </c>
      <c r="C5" s="20" t="inlineStr">
        <is>
          <t>元</t>
        </is>
      </c>
      <c r="D5" s="131" t="n"/>
      <c r="E5" s="131" t="n"/>
      <c r="F5" s="131">
        <f>F6+F14+F19+F24</f>
        <v/>
      </c>
      <c r="G5" s="23" t="n"/>
      <c r="H5" s="23" t="n"/>
      <c r="I5" s="23" t="n"/>
      <c r="J5" s="23" t="n"/>
    </row>
    <row r="6" ht="32.25" customFormat="1" customHeight="1" s="3">
      <c r="A6" s="24" t="inlineStr">
        <is>
          <t>（一）</t>
        </is>
      </c>
      <c r="B6" s="63" t="inlineStr">
        <is>
          <t>土方</t>
        </is>
      </c>
      <c r="C6" s="20" t="inlineStr">
        <is>
          <t>元</t>
        </is>
      </c>
      <c r="D6" s="132" t="n"/>
      <c r="E6" s="133" t="n"/>
      <c r="F6" s="133">
        <f>SUM(F7:F13)</f>
        <v/>
      </c>
      <c r="G6" s="28" t="n"/>
      <c r="H6" s="28" t="n"/>
      <c r="I6" s="28" t="n"/>
      <c r="J6" s="23" t="n"/>
    </row>
    <row r="7" ht="32.25" customFormat="1" customHeight="1" s="2">
      <c r="A7" s="29" t="n">
        <v>1</v>
      </c>
      <c r="B7" s="67" t="inlineStr">
        <is>
          <t>挖土方</t>
        </is>
      </c>
      <c r="C7" s="31" t="inlineStr">
        <is>
          <t>m³</t>
        </is>
      </c>
      <c r="D7" s="134" t="n">
        <v>27145</v>
      </c>
      <c r="E7" s="135" t="n">
        <v>4.5</v>
      </c>
      <c r="F7" s="135">
        <f>ROUND(D7*E7,2)</f>
        <v/>
      </c>
      <c r="G7" s="136" t="inlineStr">
        <is>
          <t>按施工图断面尺寸计算</t>
        </is>
      </c>
      <c r="H7" s="137" t="inlineStr">
        <is>
          <t xml:space="preserve">包含全部费用 </t>
        </is>
      </c>
      <c r="I7" s="56" t="inlineStr">
        <is>
          <t>施工准备、就位、挖、装车，等待装车、安全防护、文明施工等全部工作内容。</t>
        </is>
      </c>
      <c r="J7" s="138" t="n"/>
    </row>
    <row r="8" ht="32.25" customFormat="1" customHeight="1" s="2">
      <c r="A8" s="29" t="n">
        <v>2</v>
      </c>
      <c r="B8" s="67" t="inlineStr">
        <is>
          <t>1km运输</t>
        </is>
      </c>
      <c r="C8" s="31" t="inlineStr">
        <is>
          <t>m³</t>
        </is>
      </c>
      <c r="D8" s="134" t="n">
        <v>27145</v>
      </c>
      <c r="E8" s="135" t="n">
        <v>7.8</v>
      </c>
      <c r="F8" s="135">
        <f>ROUND(D8*E8,2)</f>
        <v/>
      </c>
      <c r="G8" s="136" t="inlineStr">
        <is>
          <t>按施工图断面尺寸计算</t>
        </is>
      </c>
      <c r="H8" s="56" t="inlineStr">
        <is>
          <t xml:space="preserve">包含全部费用 </t>
        </is>
      </c>
      <c r="I8" s="38" t="inlineStr">
        <is>
          <t>1km运输、卸、空回等全部工作内容。</t>
        </is>
      </c>
      <c r="J8" s="138" t="n"/>
    </row>
    <row r="9" ht="32.25" customFormat="1" customHeight="1" s="2">
      <c r="A9" s="29" t="n">
        <v>3</v>
      </c>
      <c r="B9" s="67" t="inlineStr">
        <is>
          <t>利用土填方压实</t>
        </is>
      </c>
      <c r="C9" s="31" t="inlineStr">
        <is>
          <t>m³</t>
        </is>
      </c>
      <c r="D9" s="134" t="n">
        <v>27145</v>
      </c>
      <c r="E9" s="135" t="n">
        <v>6</v>
      </c>
      <c r="F9" s="135">
        <f>ROUND(D9*E9,2)</f>
        <v/>
      </c>
      <c r="G9" s="83" t="inlineStr">
        <is>
          <t>按施工图断面压实方计算</t>
        </is>
      </c>
      <c r="H9" s="83" t="inlineStr">
        <is>
          <t xml:space="preserve">包含全部费用 </t>
        </is>
      </c>
      <c r="I9" s="83" t="inlineStr">
        <is>
          <t>打碎土块、分层匀平、洒水、压实、修整路堤边坡及路面、安全防护、文明施工。</t>
        </is>
      </c>
      <c r="J9" s="138" t="n"/>
    </row>
    <row r="10" ht="32.25" customFormat="1" customHeight="1" s="2">
      <c r="A10" s="29" t="n">
        <v>4</v>
      </c>
      <c r="B10" s="67" t="inlineStr">
        <is>
          <t>借土填方挖装车（1km运输）</t>
        </is>
      </c>
      <c r="C10" s="31" t="inlineStr">
        <is>
          <t>m³</t>
        </is>
      </c>
      <c r="D10" s="134" t="n">
        <v>15348</v>
      </c>
      <c r="E10" s="135" t="n">
        <v>10.2</v>
      </c>
      <c r="F10" s="135">
        <f>ROUND(D10*E10,2)</f>
        <v/>
      </c>
      <c r="G10" s="136" t="inlineStr">
        <is>
          <t>按施工图断面尺寸计算</t>
        </is>
      </c>
      <c r="H10" s="137" t="inlineStr">
        <is>
          <t xml:space="preserve">包含全部费用 </t>
        </is>
      </c>
      <c r="I10" s="56" t="inlineStr">
        <is>
          <t>施工准备、就位、挖、装车，等待装车、1KM运输。</t>
        </is>
      </c>
      <c r="J10" s="138" t="n"/>
    </row>
    <row r="11" ht="32.25" customFormat="1" customHeight="1" s="2">
      <c r="A11" s="29" t="n">
        <v>5</v>
      </c>
      <c r="B11" s="67" t="inlineStr">
        <is>
          <t>增运2km</t>
        </is>
      </c>
      <c r="C11" s="31" t="inlineStr">
        <is>
          <t>m³</t>
        </is>
      </c>
      <c r="D11" s="134" t="n">
        <v>15348</v>
      </c>
      <c r="E11" s="135" t="n">
        <v>3.8</v>
      </c>
      <c r="F11" s="135">
        <f>ROUND(D11*E11,2)</f>
        <v/>
      </c>
      <c r="G11" s="56" t="inlineStr">
        <is>
          <t>按施工图断面尺寸和现场实际测量运距计算</t>
        </is>
      </c>
      <c r="H11" s="56" t="inlineStr">
        <is>
          <t xml:space="preserve">包含全部费用 </t>
        </is>
      </c>
      <c r="I11" s="38" t="inlineStr">
        <is>
          <t>运输、卸、空回等全部工作内容。</t>
        </is>
      </c>
      <c r="J11" s="138" t="n"/>
    </row>
    <row r="12" ht="32.25" customFormat="1" customHeight="1" s="2">
      <c r="A12" s="29" t="n">
        <v>6</v>
      </c>
      <c r="B12" s="67" t="inlineStr">
        <is>
          <t>借土填方压实土方</t>
        </is>
      </c>
      <c r="C12" s="31" t="inlineStr">
        <is>
          <t>m³</t>
        </is>
      </c>
      <c r="D12" s="134" t="n">
        <v>15348</v>
      </c>
      <c r="E12" s="135" t="n">
        <v>6</v>
      </c>
      <c r="F12" s="135">
        <f>ROUND(D12*E12,2)</f>
        <v/>
      </c>
      <c r="G12" s="83" t="inlineStr">
        <is>
          <t>按施工图断面压实方计算</t>
        </is>
      </c>
      <c r="H12" s="137" t="inlineStr">
        <is>
          <t xml:space="preserve">包含全部费用 </t>
        </is>
      </c>
      <c r="I12" s="56" t="inlineStr">
        <is>
          <t>打碎土块、分层匀平、洒水、压实、修整路堤边坡及路面、安全防护、文明施工等全部工作内容。</t>
        </is>
      </c>
      <c r="J12" s="138" t="n"/>
    </row>
    <row r="13" ht="32.25" customFormat="1" customHeight="1" s="2">
      <c r="A13" s="29" t="n">
        <v>7</v>
      </c>
      <c r="B13" s="67" t="inlineStr">
        <is>
          <t>施工用水</t>
        </is>
      </c>
      <c r="C13" s="31" t="inlineStr">
        <is>
          <t>t</t>
        </is>
      </c>
      <c r="D13" s="134" t="n">
        <v>2124.65</v>
      </c>
      <c r="E13" s="135" t="n">
        <v>18</v>
      </c>
      <c r="F13" s="135">
        <f>ROUND(D13*E13,2)</f>
        <v/>
      </c>
      <c r="G13" s="83" t="inlineStr">
        <is>
          <t>固定费用</t>
        </is>
      </c>
      <c r="H13" s="137" t="inlineStr">
        <is>
          <t xml:space="preserve">包含全部费用 </t>
        </is>
      </c>
      <c r="I13" s="83" t="inlineStr">
        <is>
          <t>水资源购置</t>
        </is>
      </c>
      <c r="J13" s="138" t="n"/>
    </row>
    <row r="14" ht="32.25" customFormat="1" customHeight="1" s="3">
      <c r="A14" s="40" t="inlineStr">
        <is>
          <t>（二）</t>
        </is>
      </c>
      <c r="B14" s="63" t="inlineStr">
        <is>
          <t>AB组填料</t>
        </is>
      </c>
      <c r="C14" s="20" t="inlineStr">
        <is>
          <t>元</t>
        </is>
      </c>
      <c r="D14" s="139" t="n"/>
      <c r="E14" s="139" t="n"/>
      <c r="F14" s="133">
        <f>SUM(F15:F18)</f>
        <v/>
      </c>
      <c r="G14" s="28" t="n"/>
      <c r="H14" s="28" t="n"/>
      <c r="I14" s="28" t="n"/>
      <c r="J14" s="140" t="n"/>
    </row>
    <row r="15" ht="32.25" customFormat="1" customHeight="1" s="2">
      <c r="A15" s="29" t="n">
        <v>1</v>
      </c>
      <c r="B15" s="67" t="inlineStr">
        <is>
          <t>AB组填料借方挖装车（1km运输）</t>
        </is>
      </c>
      <c r="C15" s="31" t="inlineStr">
        <is>
          <t>m³</t>
        </is>
      </c>
      <c r="D15" s="135" t="n">
        <v>94748</v>
      </c>
      <c r="E15" s="135" t="n">
        <v>11</v>
      </c>
      <c r="F15" s="135">
        <f>ROUND(D15*E15,2)</f>
        <v/>
      </c>
      <c r="G15" s="136" t="inlineStr">
        <is>
          <t>按施工图断面尺寸计算</t>
        </is>
      </c>
      <c r="H15" s="137" t="inlineStr">
        <is>
          <t xml:space="preserve">包含全部费用 </t>
        </is>
      </c>
      <c r="I15" s="56" t="inlineStr">
        <is>
          <t>施工准备、就位、挖、装车，等待装车、1KM运输。</t>
        </is>
      </c>
      <c r="J15" s="43" t="n"/>
    </row>
    <row r="16" ht="32.25" customFormat="1" customHeight="1" s="2">
      <c r="A16" s="29" t="n">
        <v>2</v>
      </c>
      <c r="B16" s="67" t="inlineStr">
        <is>
          <t>AB组填料借方增运2km</t>
        </is>
      </c>
      <c r="C16" s="31" t="inlineStr">
        <is>
          <t>m³</t>
        </is>
      </c>
      <c r="D16" s="135" t="n">
        <v>94748</v>
      </c>
      <c r="E16" s="135" t="n">
        <v>3.8</v>
      </c>
      <c r="F16" s="135">
        <f>ROUND(D16*E16,2)</f>
        <v/>
      </c>
      <c r="G16" s="56" t="inlineStr">
        <is>
          <t>按施工图断面尺寸和现场实际测量运距计算</t>
        </is>
      </c>
      <c r="H16" s="56" t="inlineStr">
        <is>
          <t xml:space="preserve">包含全部费用 </t>
        </is>
      </c>
      <c r="I16" s="38" t="inlineStr">
        <is>
          <t>运输、卸、空回等全部工作内容。</t>
        </is>
      </c>
      <c r="J16" s="43" t="n"/>
    </row>
    <row r="17" ht="32.25" customFormat="1" customHeight="1" s="2">
      <c r="A17" s="29" t="n">
        <v>3</v>
      </c>
      <c r="B17" s="67" t="inlineStr">
        <is>
          <t>AB组填料压实方</t>
        </is>
      </c>
      <c r="C17" s="31" t="inlineStr">
        <is>
          <t>m³</t>
        </is>
      </c>
      <c r="D17" s="135" t="n">
        <v>94748</v>
      </c>
      <c r="E17" s="135" t="n">
        <v>6.8</v>
      </c>
      <c r="F17" s="135">
        <f>ROUND(D17*E17,2)</f>
        <v/>
      </c>
      <c r="G17" s="83" t="inlineStr">
        <is>
          <t>按施工图断面压实方计算</t>
        </is>
      </c>
      <c r="H17" s="83" t="inlineStr">
        <is>
          <t xml:space="preserve">包含全部费用 </t>
        </is>
      </c>
      <c r="I17" s="83" t="inlineStr">
        <is>
          <t>施工准备，分层摊铺、推平、洒水、碾压、整平，路面及边坡修整、安全防护、文明施工等全部工作内容。</t>
        </is>
      </c>
      <c r="J17" s="43" t="n"/>
    </row>
    <row r="18" ht="32.25" customFormat="1" customHeight="1" s="2">
      <c r="A18" s="29" t="n">
        <v>4</v>
      </c>
      <c r="B18" s="67" t="inlineStr">
        <is>
          <t>施工用水</t>
        </is>
      </c>
      <c r="C18" s="31" t="inlineStr">
        <is>
          <t>t</t>
        </is>
      </c>
      <c r="D18" s="134" t="n">
        <v>4737.4</v>
      </c>
      <c r="E18" s="135" t="n">
        <v>18</v>
      </c>
      <c r="F18" s="135">
        <f>ROUND(D18*E18,2)</f>
        <v/>
      </c>
      <c r="G18" s="83" t="inlineStr">
        <is>
          <t>固定费用</t>
        </is>
      </c>
      <c r="H18" s="137" t="inlineStr">
        <is>
          <t xml:space="preserve">包含全部费用 </t>
        </is>
      </c>
      <c r="I18" s="83" t="inlineStr">
        <is>
          <t>水资源购置</t>
        </is>
      </c>
      <c r="J18" s="43" t="n"/>
    </row>
    <row r="19" ht="32.25" customFormat="1" customHeight="1" s="3">
      <c r="A19" s="40" t="inlineStr">
        <is>
          <t>（三）</t>
        </is>
      </c>
      <c r="B19" s="58" t="inlineStr">
        <is>
          <t>石方</t>
        </is>
      </c>
      <c r="C19" s="20" t="inlineStr">
        <is>
          <t>元</t>
        </is>
      </c>
      <c r="D19" s="141" t="n"/>
      <c r="E19" s="142" t="n"/>
      <c r="F19" s="133">
        <f>SUM(F20:F23)</f>
        <v/>
      </c>
      <c r="G19" s="28" t="n"/>
      <c r="H19" s="28" t="n"/>
      <c r="I19" s="28" t="n"/>
      <c r="J19" s="140" t="n"/>
    </row>
    <row r="20" ht="32.25" customFormat="1" customHeight="1" s="2">
      <c r="A20" s="29" t="n">
        <v>1</v>
      </c>
      <c r="B20" s="47" t="inlineStr">
        <is>
          <t>挖石方利用方（机械破碎开挖）</t>
        </is>
      </c>
      <c r="C20" s="31" t="inlineStr">
        <is>
          <t>m³</t>
        </is>
      </c>
      <c r="D20" s="143" t="n">
        <v>77802</v>
      </c>
      <c r="E20" s="144" t="n">
        <v>15.5</v>
      </c>
      <c r="F20" s="135">
        <f>ROUND(D20*E20,2)</f>
        <v/>
      </c>
      <c r="G20" s="136" t="inlineStr">
        <is>
          <t>按施工图断面尺寸计算</t>
        </is>
      </c>
      <c r="H20" s="56" t="inlineStr">
        <is>
          <t xml:space="preserve">包含全部费用 </t>
        </is>
      </c>
      <c r="I20" s="50" t="inlineStr">
        <is>
          <t>挖石，装石，清理，修整边坡，人工清槽、安全防护、文明施工等全部工作内容。</t>
        </is>
      </c>
      <c r="J20" s="138" t="n"/>
    </row>
    <row r="21" ht="32.25" customFormat="1" customHeight="1" s="2">
      <c r="A21" s="29" t="n">
        <v>2</v>
      </c>
      <c r="B21" s="67" t="inlineStr">
        <is>
          <t>1km运输</t>
        </is>
      </c>
      <c r="C21" s="31" t="inlineStr">
        <is>
          <t>m³</t>
        </is>
      </c>
      <c r="D21" s="143" t="n">
        <v>77802</v>
      </c>
      <c r="E21" s="144" t="n">
        <v>7.8</v>
      </c>
      <c r="F21" s="135">
        <f>ROUND(D21*E21,2)</f>
        <v/>
      </c>
      <c r="G21" s="136" t="inlineStr">
        <is>
          <t>按施工图断面尺寸计算</t>
        </is>
      </c>
      <c r="H21" s="56" t="inlineStr">
        <is>
          <t xml:space="preserve">包含全部费用 </t>
        </is>
      </c>
      <c r="I21" s="38" t="inlineStr">
        <is>
          <t>1km运输、卸、空回等全部工作内容。</t>
        </is>
      </c>
      <c r="J21" s="145" t="n"/>
    </row>
    <row r="22" ht="32.25" customFormat="1" customHeight="1" s="2">
      <c r="A22" s="29" t="n">
        <v>3</v>
      </c>
      <c r="B22" s="47" t="inlineStr">
        <is>
          <t>利用石填方</t>
        </is>
      </c>
      <c r="C22" s="31" t="inlineStr">
        <is>
          <t>m³</t>
        </is>
      </c>
      <c r="D22" s="143" t="n">
        <v>77802</v>
      </c>
      <c r="E22" s="144" t="n">
        <v>7.2</v>
      </c>
      <c r="F22" s="135">
        <f>ROUND(D22*E22,2)</f>
        <v/>
      </c>
      <c r="G22" s="83" t="inlineStr">
        <is>
          <t>按施工图断面压实方计算</t>
        </is>
      </c>
      <c r="H22" s="83" t="inlineStr">
        <is>
          <t xml:space="preserve">包含全部费用 </t>
        </is>
      </c>
      <c r="I22" s="83" t="inlineStr">
        <is>
          <t>施工准备，分层摊铺、推平、洒水、碾压、整平，路面及边坡修整、安全防护、文明施工等全部工作内容。</t>
        </is>
      </c>
      <c r="J22" s="145" t="n"/>
    </row>
    <row r="23" ht="32.25" customFormat="1" customHeight="1" s="2">
      <c r="A23" s="29" t="n">
        <v>4</v>
      </c>
      <c r="B23" s="67" t="inlineStr">
        <is>
          <t>施工用水</t>
        </is>
      </c>
      <c r="C23" s="31" t="inlineStr">
        <is>
          <t>t</t>
        </is>
      </c>
      <c r="D23" s="134">
        <f>D22*0.05</f>
        <v/>
      </c>
      <c r="E23" s="135" t="n">
        <v>18</v>
      </c>
      <c r="F23" s="135">
        <f>ROUND(D23*E23,2)</f>
        <v/>
      </c>
      <c r="G23" s="83" t="inlineStr">
        <is>
          <t>固定费用</t>
        </is>
      </c>
      <c r="H23" s="137" t="inlineStr">
        <is>
          <t xml:space="preserve">包含全部费用 </t>
        </is>
      </c>
      <c r="I23" s="83" t="inlineStr">
        <is>
          <t>水资源购置</t>
        </is>
      </c>
      <c r="J23" s="145" t="n"/>
    </row>
    <row r="24" ht="32.25" customFormat="1" customHeight="1" s="3">
      <c r="A24" s="40" t="inlineStr">
        <is>
          <t>（四）</t>
        </is>
      </c>
      <c r="B24" s="58" t="inlineStr">
        <is>
          <t>挖台阶</t>
        </is>
      </c>
      <c r="C24" s="75" t="inlineStr">
        <is>
          <t>㎡</t>
        </is>
      </c>
      <c r="D24" s="141" t="n">
        <v>35338</v>
      </c>
      <c r="E24" s="142" t="n">
        <v>2.8</v>
      </c>
      <c r="F24" s="133">
        <f>ROUND(D24*E24,2)</f>
        <v/>
      </c>
      <c r="G24" s="146" t="inlineStr">
        <is>
          <t>按开挖平面尺寸水平投影面积计算</t>
        </is>
      </c>
      <c r="H24" s="54" t="inlineStr">
        <is>
          <t xml:space="preserve">包含全部费用 </t>
        </is>
      </c>
      <c r="I24" s="54" t="inlineStr">
        <is>
          <t>挂线、开挖，散土，修整断面、安全防护、文明施工等全部工作内容。</t>
        </is>
      </c>
      <c r="J24" s="147" t="n"/>
    </row>
    <row r="25" ht="32.25" customFormat="1" customHeight="1" s="3">
      <c r="A25" s="20" t="inlineStr">
        <is>
          <t>二</t>
        </is>
      </c>
      <c r="B25" s="21" t="inlineStr">
        <is>
          <t>站场土石方（海日罕站）</t>
        </is>
      </c>
      <c r="C25" s="20" t="inlineStr">
        <is>
          <t>元</t>
        </is>
      </c>
      <c r="D25" s="131" t="n"/>
      <c r="E25" s="131" t="n"/>
      <c r="F25" s="131">
        <f>F26+F34+F39+F44</f>
        <v/>
      </c>
      <c r="G25" s="23" t="n"/>
      <c r="H25" s="23" t="n"/>
      <c r="I25" s="23" t="n"/>
      <c r="J25" s="23" t="n"/>
    </row>
    <row r="26" ht="32.25" customFormat="1" customHeight="1" s="3">
      <c r="A26" s="24" t="inlineStr">
        <is>
          <t>（一）</t>
        </is>
      </c>
      <c r="B26" s="63" t="inlineStr">
        <is>
          <t>土方</t>
        </is>
      </c>
      <c r="C26" s="20" t="inlineStr">
        <is>
          <t>元</t>
        </is>
      </c>
      <c r="D26" s="132" t="n"/>
      <c r="E26" s="133" t="n"/>
      <c r="F26" s="133">
        <f>SUM(F27:F33)</f>
        <v/>
      </c>
      <c r="G26" s="28" t="n"/>
      <c r="H26" s="28" t="n"/>
      <c r="I26" s="28" t="n"/>
      <c r="J26" s="23" t="n"/>
    </row>
    <row r="27" ht="32.25" customFormat="1" customHeight="1" s="2">
      <c r="A27" s="29" t="n">
        <v>1</v>
      </c>
      <c r="B27" s="67" t="inlineStr">
        <is>
          <t>挖土方利用方</t>
        </is>
      </c>
      <c r="C27" s="31" t="inlineStr">
        <is>
          <t>m³</t>
        </is>
      </c>
      <c r="D27" s="134" t="n">
        <v>61733</v>
      </c>
      <c r="E27" s="135" t="n">
        <v>4.5</v>
      </c>
      <c r="F27" s="135">
        <f>ROUND(D27*E27,2)</f>
        <v/>
      </c>
      <c r="G27" s="136" t="inlineStr">
        <is>
          <t>按施工图断面尺寸计算</t>
        </is>
      </c>
      <c r="H27" s="137" t="inlineStr">
        <is>
          <t xml:space="preserve">包含全部费用 </t>
        </is>
      </c>
      <c r="I27" s="56" t="inlineStr">
        <is>
          <t>施工准备、就位、挖、装车，等待装车、安全防护、文明施工等全部工作内容。</t>
        </is>
      </c>
      <c r="J27" s="138" t="n"/>
    </row>
    <row r="28" ht="32.25" customFormat="1" customHeight="1" s="2">
      <c r="A28" s="29" t="n"/>
      <c r="B28" s="67" t="inlineStr">
        <is>
          <t>1km运输</t>
        </is>
      </c>
      <c r="C28" s="31" t="inlineStr">
        <is>
          <t>m³</t>
        </is>
      </c>
      <c r="D28" s="134" t="n">
        <v>61733</v>
      </c>
      <c r="E28" s="135" t="n">
        <v>7.8</v>
      </c>
      <c r="F28" s="135">
        <f>ROUND(D28*E28,2)</f>
        <v/>
      </c>
      <c r="G28" s="136" t="inlineStr">
        <is>
          <t>按施工图断面尺寸计算</t>
        </is>
      </c>
      <c r="H28" s="56" t="inlineStr">
        <is>
          <t xml:space="preserve">包含全部费用 </t>
        </is>
      </c>
      <c r="I28" s="38" t="inlineStr">
        <is>
          <t>1km运输、卸、空回等全部工作内容。</t>
        </is>
      </c>
      <c r="J28" s="138" t="n"/>
    </row>
    <row r="29" ht="32.25" customFormat="1" customHeight="1" s="2">
      <c r="A29" s="29" t="n">
        <v>2</v>
      </c>
      <c r="B29" s="67" t="inlineStr">
        <is>
          <t>利用土填方</t>
        </is>
      </c>
      <c r="C29" s="31" t="inlineStr">
        <is>
          <t>m³</t>
        </is>
      </c>
      <c r="D29" s="134" t="n">
        <v>61733</v>
      </c>
      <c r="E29" s="135" t="n">
        <v>6</v>
      </c>
      <c r="F29" s="135">
        <f>ROUND(D29*E29,2)</f>
        <v/>
      </c>
      <c r="G29" s="83" t="inlineStr">
        <is>
          <t>按施工图断面压实方计算</t>
        </is>
      </c>
      <c r="H29" s="83" t="inlineStr">
        <is>
          <t xml:space="preserve">包含全部费用 </t>
        </is>
      </c>
      <c r="I29" s="83" t="inlineStr">
        <is>
          <t>打碎土块、分层匀平、洒水、压实、修整路堤边坡及路面、安全防护、文明施工。</t>
        </is>
      </c>
      <c r="J29" s="138" t="n"/>
    </row>
    <row r="30" ht="32.25" customFormat="1" customHeight="1" s="2">
      <c r="A30" s="29" t="n">
        <v>3</v>
      </c>
      <c r="B30" s="67" t="inlineStr">
        <is>
          <t>借土填方挖装车（1km运输）</t>
        </is>
      </c>
      <c r="C30" s="31" t="inlineStr">
        <is>
          <t>m³</t>
        </is>
      </c>
      <c r="D30" s="134" t="n">
        <v>17092</v>
      </c>
      <c r="E30" s="135" t="n">
        <v>10.2</v>
      </c>
      <c r="F30" s="135">
        <f>ROUND(D30*E30,2)</f>
        <v/>
      </c>
      <c r="G30" s="136" t="inlineStr">
        <is>
          <t>按施工图断面尺寸计算</t>
        </is>
      </c>
      <c r="H30" s="137" t="inlineStr">
        <is>
          <t xml:space="preserve">包含全部费用 </t>
        </is>
      </c>
      <c r="I30" s="56" t="inlineStr">
        <is>
          <t>施工准备、就位、挖、装车，等待装车、1KM运输。</t>
        </is>
      </c>
      <c r="J30" s="138" t="n"/>
    </row>
    <row r="31" ht="32.25" customFormat="1" customHeight="1" s="2">
      <c r="A31" s="29" t="n">
        <v>4</v>
      </c>
      <c r="B31" s="67" t="inlineStr">
        <is>
          <t>增运2km</t>
        </is>
      </c>
      <c r="C31" s="31" t="inlineStr">
        <is>
          <t>m³</t>
        </is>
      </c>
      <c r="D31" s="134" t="n">
        <v>17092</v>
      </c>
      <c r="E31" s="135" t="n">
        <v>3.8</v>
      </c>
      <c r="F31" s="135">
        <f>ROUND(D31*E31,2)</f>
        <v/>
      </c>
      <c r="G31" s="56" t="inlineStr">
        <is>
          <t>按施工图断面尺寸和现场实际测量运距计算</t>
        </is>
      </c>
      <c r="H31" s="56" t="inlineStr">
        <is>
          <t xml:space="preserve">包含全部费用 </t>
        </is>
      </c>
      <c r="I31" s="38" t="inlineStr">
        <is>
          <t>运输、卸、空回等全部工作内容。</t>
        </is>
      </c>
      <c r="J31" s="138" t="n"/>
    </row>
    <row r="32" ht="32.25" customFormat="1" customHeight="1" s="2">
      <c r="A32" s="29" t="n">
        <v>5</v>
      </c>
      <c r="B32" s="67" t="inlineStr">
        <is>
          <t>借土填方压实土方</t>
        </is>
      </c>
      <c r="C32" s="31" t="inlineStr">
        <is>
          <t>m³</t>
        </is>
      </c>
      <c r="D32" s="134" t="n">
        <v>17092</v>
      </c>
      <c r="E32" s="135" t="n">
        <v>6</v>
      </c>
      <c r="F32" s="135">
        <f>ROUND(D32*E32,2)</f>
        <v/>
      </c>
      <c r="G32" s="83" t="inlineStr">
        <is>
          <t>按施工图断面压实方计算</t>
        </is>
      </c>
      <c r="H32" s="137" t="inlineStr">
        <is>
          <t xml:space="preserve">包含全部费用 </t>
        </is>
      </c>
      <c r="I32" s="56" t="inlineStr">
        <is>
          <t>打碎土块、分层匀平、洒水、压实、修整路堤边坡及路面、安全防护、文明施工等全部工作内容。</t>
        </is>
      </c>
      <c r="J32" s="138" t="n"/>
    </row>
    <row r="33" ht="32.25" customFormat="1" customHeight="1" s="2">
      <c r="A33" s="29" t="n">
        <v>6</v>
      </c>
      <c r="B33" s="67" t="inlineStr">
        <is>
          <t>施工用水</t>
        </is>
      </c>
      <c r="C33" s="31" t="inlineStr">
        <is>
          <t>t</t>
        </is>
      </c>
      <c r="D33" s="134" t="n">
        <v>3941.25</v>
      </c>
      <c r="E33" s="135" t="n">
        <v>18</v>
      </c>
      <c r="F33" s="135">
        <f>ROUND(D33*E33,2)</f>
        <v/>
      </c>
      <c r="G33" s="83" t="inlineStr">
        <is>
          <t>固定费用</t>
        </is>
      </c>
      <c r="H33" s="137" t="inlineStr">
        <is>
          <t xml:space="preserve">包含全部费用 </t>
        </is>
      </c>
      <c r="I33" s="83" t="inlineStr">
        <is>
          <t>水资源购置</t>
        </is>
      </c>
      <c r="J33" s="138" t="n"/>
    </row>
    <row r="34" ht="32.25" customFormat="1" customHeight="1" s="3">
      <c r="A34" s="40" t="inlineStr">
        <is>
          <t>（二）</t>
        </is>
      </c>
      <c r="B34" s="63" t="inlineStr">
        <is>
          <t>AB组填料</t>
        </is>
      </c>
      <c r="C34" s="20" t="inlineStr">
        <is>
          <t>元</t>
        </is>
      </c>
      <c r="D34" s="139" t="n"/>
      <c r="E34" s="139" t="n"/>
      <c r="F34" s="133">
        <f>SUM(F35:F38)</f>
        <v/>
      </c>
      <c r="G34" s="28" t="n"/>
      <c r="H34" s="28" t="n"/>
      <c r="I34" s="28" t="n"/>
      <c r="J34" s="140" t="n"/>
    </row>
    <row r="35" ht="32.25" customFormat="1" customHeight="1" s="2">
      <c r="A35" s="29" t="n">
        <v>1</v>
      </c>
      <c r="B35" s="67" t="inlineStr">
        <is>
          <t>AB组填料借方挖装车（1km运输）</t>
        </is>
      </c>
      <c r="C35" s="31" t="inlineStr">
        <is>
          <t>m³</t>
        </is>
      </c>
      <c r="D35" s="135" t="n">
        <v>90969</v>
      </c>
      <c r="E35" s="135" t="n">
        <v>11</v>
      </c>
      <c r="F35" s="135">
        <f>ROUND(D35*E35,2)</f>
        <v/>
      </c>
      <c r="G35" s="136" t="inlineStr">
        <is>
          <t>按施工图断面尺寸计算</t>
        </is>
      </c>
      <c r="H35" s="137" t="inlineStr">
        <is>
          <t xml:space="preserve">包含全部费用 </t>
        </is>
      </c>
      <c r="I35" s="56" t="inlineStr">
        <is>
          <t>施工准备、就位、挖、装车，等待装车、1KM运输。</t>
        </is>
      </c>
      <c r="J35" s="43" t="n"/>
    </row>
    <row r="36" ht="32.25" customFormat="1" customHeight="1" s="2">
      <c r="A36" s="29" t="n">
        <v>2</v>
      </c>
      <c r="B36" s="67" t="inlineStr">
        <is>
          <t>AB组填料借方增运2km</t>
        </is>
      </c>
      <c r="C36" s="31" t="inlineStr">
        <is>
          <t>m³</t>
        </is>
      </c>
      <c r="D36" s="135" t="n">
        <v>90969</v>
      </c>
      <c r="E36" s="135" t="n">
        <v>3.8</v>
      </c>
      <c r="F36" s="135">
        <f>ROUND(D36*E36,2)</f>
        <v/>
      </c>
      <c r="G36" s="56" t="inlineStr">
        <is>
          <t>按施工图断面尺寸和现场实际测量运距计算</t>
        </is>
      </c>
      <c r="H36" s="56" t="inlineStr">
        <is>
          <t xml:space="preserve">包含全部费用 </t>
        </is>
      </c>
      <c r="I36" s="38" t="inlineStr">
        <is>
          <t>运输、空回等全部工作内容。</t>
        </is>
      </c>
      <c r="J36" s="138" t="n"/>
    </row>
    <row r="37" ht="32.25" customFormat="1" customHeight="1" s="2">
      <c r="A37" s="29" t="n">
        <v>3</v>
      </c>
      <c r="B37" s="67" t="inlineStr">
        <is>
          <t>AB组填料压实方</t>
        </is>
      </c>
      <c r="C37" s="31" t="inlineStr">
        <is>
          <t>m³</t>
        </is>
      </c>
      <c r="D37" s="135" t="n">
        <v>90969</v>
      </c>
      <c r="E37" s="135" t="n">
        <v>6.8</v>
      </c>
      <c r="F37" s="135">
        <f>ROUND(D37*E37,2)</f>
        <v/>
      </c>
      <c r="G37" s="83" t="inlineStr">
        <is>
          <t>按施工图断面压实方计算</t>
        </is>
      </c>
      <c r="H37" s="83" t="inlineStr">
        <is>
          <t xml:space="preserve">包含全部费用 </t>
        </is>
      </c>
      <c r="I37" s="83" t="inlineStr">
        <is>
          <t>施工准备，分层摊铺、推平、洒水、碾压、整平，路面及边坡修整、安全防护、文明施工等全部工作内容。</t>
        </is>
      </c>
      <c r="J37" s="138" t="n"/>
    </row>
    <row r="38" ht="32.25" customFormat="1" customHeight="1" s="2">
      <c r="A38" s="29" t="n">
        <v>4</v>
      </c>
      <c r="B38" s="67" t="inlineStr">
        <is>
          <t>施工用水</t>
        </is>
      </c>
      <c r="C38" s="31" t="inlineStr">
        <is>
          <t>t</t>
        </is>
      </c>
      <c r="D38" s="134" t="n">
        <v>4548.45</v>
      </c>
      <c r="E38" s="135" t="n">
        <v>18</v>
      </c>
      <c r="F38" s="135">
        <f>ROUND(D38*E38,2)</f>
        <v/>
      </c>
      <c r="G38" s="83" t="inlineStr">
        <is>
          <t>固定费用</t>
        </is>
      </c>
      <c r="H38" s="137" t="inlineStr">
        <is>
          <t xml:space="preserve">包含全部费用 </t>
        </is>
      </c>
      <c r="I38" s="83" t="inlineStr">
        <is>
          <t>水资源购置</t>
        </is>
      </c>
      <c r="J38" s="138" t="n"/>
    </row>
    <row r="39" ht="32.25" customFormat="1" customHeight="1" s="3">
      <c r="A39" s="40" t="inlineStr">
        <is>
          <t>（三）</t>
        </is>
      </c>
      <c r="B39" s="58" t="inlineStr">
        <is>
          <t>石方</t>
        </is>
      </c>
      <c r="C39" s="20" t="inlineStr">
        <is>
          <t>元</t>
        </is>
      </c>
      <c r="D39" s="141" t="n"/>
      <c r="E39" s="142" t="n"/>
      <c r="F39" s="133">
        <f>SUM(F40:F43)</f>
        <v/>
      </c>
      <c r="G39" s="28" t="n"/>
      <c r="H39" s="28" t="n"/>
      <c r="I39" s="28" t="n"/>
      <c r="J39" s="140" t="n"/>
    </row>
    <row r="40" ht="32.25" customFormat="1" customHeight="1" s="2">
      <c r="A40" s="29" t="n">
        <v>1</v>
      </c>
      <c r="B40" s="47" t="inlineStr">
        <is>
          <t>挖石方利用方（机械破碎开挖）</t>
        </is>
      </c>
      <c r="C40" s="31" t="inlineStr">
        <is>
          <t>m³</t>
        </is>
      </c>
      <c r="D40" s="143" t="n">
        <v>35</v>
      </c>
      <c r="E40" s="144" t="n">
        <v>15.5</v>
      </c>
      <c r="F40" s="135">
        <f>ROUND(D40*E40,2)</f>
        <v/>
      </c>
      <c r="G40" s="136" t="inlineStr">
        <is>
          <t>按施工图断面尺寸计算</t>
        </is>
      </c>
      <c r="H40" s="56" t="inlineStr">
        <is>
          <t xml:space="preserve">包含全部费用 </t>
        </is>
      </c>
      <c r="I40" s="50" t="inlineStr">
        <is>
          <t>挖石，装石，清理，修整边坡，人工清槽、安全防护、文明施工等全部工作内容。</t>
        </is>
      </c>
      <c r="J40" s="138" t="n"/>
    </row>
    <row r="41" ht="32.25" customFormat="1" customHeight="1" s="2">
      <c r="A41" s="29" t="n">
        <v>2</v>
      </c>
      <c r="B41" s="67" t="inlineStr">
        <is>
          <t>1km运输</t>
        </is>
      </c>
      <c r="C41" s="31" t="inlineStr">
        <is>
          <t>m³</t>
        </is>
      </c>
      <c r="D41" s="143" t="n">
        <v>35</v>
      </c>
      <c r="E41" s="144" t="n">
        <v>7.8</v>
      </c>
      <c r="F41" s="135">
        <f>ROUND(D41*E41,2)</f>
        <v/>
      </c>
      <c r="G41" s="136" t="inlineStr">
        <is>
          <t>按施工图断面尺寸计算</t>
        </is>
      </c>
      <c r="H41" s="56" t="inlineStr">
        <is>
          <t xml:space="preserve">包含全部费用 </t>
        </is>
      </c>
      <c r="I41" s="38" t="inlineStr">
        <is>
          <t>1km运输、卸、空回等全部工作内容。</t>
        </is>
      </c>
      <c r="J41" s="56" t="n"/>
    </row>
    <row r="42" ht="32.25" customFormat="1" customHeight="1" s="2">
      <c r="A42" s="29" t="n">
        <v>3</v>
      </c>
      <c r="B42" s="47" t="inlineStr">
        <is>
          <t>利用石填方</t>
        </is>
      </c>
      <c r="C42" s="31" t="inlineStr">
        <is>
          <t>m³</t>
        </is>
      </c>
      <c r="D42" s="143" t="n">
        <v>35</v>
      </c>
      <c r="E42" s="144" t="n">
        <v>7.2</v>
      </c>
      <c r="F42" s="135">
        <f>ROUND(D42*E42,2)</f>
        <v/>
      </c>
      <c r="G42" s="83" t="inlineStr">
        <is>
          <t>按施工图断面压实方计算</t>
        </is>
      </c>
      <c r="H42" s="83" t="inlineStr">
        <is>
          <t xml:space="preserve">包含全部费用 </t>
        </is>
      </c>
      <c r="I42" s="83" t="inlineStr">
        <is>
          <t>施工准备，分层摊铺、推平、洒水、碾压、整平，路面及边坡修整等全部工作内容。</t>
        </is>
      </c>
      <c r="J42" s="145" t="n"/>
    </row>
    <row r="43" ht="32.25" customFormat="1" customHeight="1" s="2">
      <c r="A43" s="29" t="n">
        <v>4</v>
      </c>
      <c r="B43" s="67" t="inlineStr">
        <is>
          <t>施工用水</t>
        </is>
      </c>
      <c r="C43" s="31" t="inlineStr">
        <is>
          <t>t</t>
        </is>
      </c>
      <c r="D43" s="134" t="n">
        <v>1.75</v>
      </c>
      <c r="E43" s="135" t="n">
        <v>18</v>
      </c>
      <c r="F43" s="135">
        <f>ROUND(D43*E43,2)</f>
        <v/>
      </c>
      <c r="G43" s="83" t="inlineStr">
        <is>
          <t>固定费用</t>
        </is>
      </c>
      <c r="H43" s="137" t="inlineStr">
        <is>
          <t xml:space="preserve">包含全部费用 </t>
        </is>
      </c>
      <c r="I43" s="83" t="inlineStr">
        <is>
          <t>水资源购置</t>
        </is>
      </c>
      <c r="J43" s="145" t="n"/>
    </row>
    <row r="44" ht="32.25" customFormat="1" customHeight="1" s="3">
      <c r="A44" s="40" t="inlineStr">
        <is>
          <t>（四）</t>
        </is>
      </c>
      <c r="B44" s="58" t="inlineStr">
        <is>
          <t>挖台阶</t>
        </is>
      </c>
      <c r="C44" s="75" t="inlineStr">
        <is>
          <t>㎡</t>
        </is>
      </c>
      <c r="D44" s="141" t="n">
        <v>34045</v>
      </c>
      <c r="E44" s="142" t="n">
        <v>2.8</v>
      </c>
      <c r="F44" s="133">
        <f>ROUND(D44*E44,2)</f>
        <v/>
      </c>
      <c r="G44" s="146" t="inlineStr">
        <is>
          <t>按开挖平面尺寸水平投影面积计算</t>
        </is>
      </c>
      <c r="H44" s="148" t="inlineStr">
        <is>
          <t>单价包含全部费用</t>
        </is>
      </c>
      <c r="I44" s="54" t="inlineStr">
        <is>
          <t>挂线、开挖，散土，修整断面、安全防护、文明施工等全部工作内容。</t>
        </is>
      </c>
      <c r="J44" s="147" t="n"/>
    </row>
    <row r="45" ht="32.25" customFormat="1" customHeight="1" s="3">
      <c r="A45" s="24" t="inlineStr">
        <is>
          <t>三</t>
        </is>
      </c>
      <c r="B45" s="58" t="inlineStr">
        <is>
          <t>房屋土方</t>
        </is>
      </c>
      <c r="C45" s="149" t="inlineStr">
        <is>
          <t>元</t>
        </is>
      </c>
      <c r="D45" s="141" t="n"/>
      <c r="E45" s="142" t="n"/>
      <c r="F45" s="133">
        <f>SUM(F46:F49)</f>
        <v/>
      </c>
      <c r="G45" s="54" t="n"/>
      <c r="H45" s="54" t="n"/>
      <c r="I45" s="54" t="n"/>
      <c r="J45" s="147" t="n"/>
    </row>
    <row r="46" ht="32.25" customFormat="1" customHeight="1" s="2">
      <c r="A46" s="82" t="inlineStr">
        <is>
          <t>1</t>
        </is>
      </c>
      <c r="B46" s="67" t="inlineStr">
        <is>
          <t>借土填方挖装车（1km运输）</t>
        </is>
      </c>
      <c r="C46" s="31" t="inlineStr">
        <is>
          <t>m³</t>
        </is>
      </c>
      <c r="D46" s="143" t="n">
        <v>9350</v>
      </c>
      <c r="E46" s="135" t="n">
        <v>10.2</v>
      </c>
      <c r="F46" s="135">
        <f>ROUND(D46*E46,2)</f>
        <v/>
      </c>
      <c r="G46" s="136" t="inlineStr">
        <is>
          <t>按施工图断面尺寸计算</t>
        </is>
      </c>
      <c r="H46" s="137" t="inlineStr">
        <is>
          <t xml:space="preserve">包含全部费用 </t>
        </is>
      </c>
      <c r="I46" s="56" t="inlineStr">
        <is>
          <t>施工准备、就位、挖、装车，等待装车、1KM运输。</t>
        </is>
      </c>
      <c r="J46" s="145" t="n"/>
    </row>
    <row r="47" ht="32.25" customFormat="1" customHeight="1" s="2">
      <c r="A47" s="82" t="inlineStr">
        <is>
          <t>2</t>
        </is>
      </c>
      <c r="B47" s="47" t="inlineStr">
        <is>
          <t>增运3km</t>
        </is>
      </c>
      <c r="C47" s="31" t="inlineStr">
        <is>
          <t>m³</t>
        </is>
      </c>
      <c r="D47" s="143" t="n">
        <v>9350</v>
      </c>
      <c r="E47" s="135" t="n">
        <v>5.6</v>
      </c>
      <c r="F47" s="135">
        <f>ROUND(D47*E47,2)</f>
        <v/>
      </c>
      <c r="G47" s="56" t="inlineStr">
        <is>
          <t>按施工图断面尺寸和现场实际测量运距计算</t>
        </is>
      </c>
      <c r="H47" s="56" t="inlineStr">
        <is>
          <t xml:space="preserve">包含全部费用 </t>
        </is>
      </c>
      <c r="I47" s="38" t="inlineStr">
        <is>
          <t>运输、卸、空回等全部工作内容。</t>
        </is>
      </c>
      <c r="J47" s="145" t="n"/>
    </row>
    <row r="48" ht="32.25" customFormat="1" customHeight="1" s="2">
      <c r="A48" s="82" t="inlineStr">
        <is>
          <t>3</t>
        </is>
      </c>
      <c r="B48" s="67" t="inlineStr">
        <is>
          <t>借土填方压实土方</t>
        </is>
      </c>
      <c r="C48" s="31" t="inlineStr">
        <is>
          <t>m³</t>
        </is>
      </c>
      <c r="D48" s="134">
        <f>D47</f>
        <v/>
      </c>
      <c r="E48" s="135" t="n"/>
      <c r="F48" s="135">
        <f>ROUND(D48*E48,2)</f>
        <v/>
      </c>
      <c r="G48" s="83" t="inlineStr">
        <is>
          <t>按施工图断面压实方计算</t>
        </is>
      </c>
      <c r="H48" s="137" t="inlineStr">
        <is>
          <t xml:space="preserve">包含全部费用 </t>
        </is>
      </c>
      <c r="I48" s="56" t="inlineStr">
        <is>
          <t>打碎土块、分层匀平、洒水、压实、修整路堤边坡及路面、安全防护、文明施工等全部工作内容。</t>
        </is>
      </c>
      <c r="J48" s="145" t="n"/>
    </row>
    <row r="49" ht="32.25" customFormat="1" customHeight="1" s="2">
      <c r="A49" s="82" t="inlineStr">
        <is>
          <t>4</t>
        </is>
      </c>
      <c r="B49" s="67" t="inlineStr">
        <is>
          <t>施工用水</t>
        </is>
      </c>
      <c r="C49" s="31" t="inlineStr">
        <is>
          <t>t</t>
        </is>
      </c>
      <c r="D49" s="134" t="n">
        <v>467.5</v>
      </c>
      <c r="E49" s="135" t="n">
        <v>18</v>
      </c>
      <c r="F49" s="135">
        <f>ROUND(D49*E49,2)</f>
        <v/>
      </c>
      <c r="G49" s="83" t="inlineStr">
        <is>
          <t>固定费用</t>
        </is>
      </c>
      <c r="H49" s="137" t="inlineStr">
        <is>
          <t xml:space="preserve">包含全部费用 </t>
        </is>
      </c>
      <c r="I49" s="83" t="inlineStr">
        <is>
          <t>水资源购置</t>
        </is>
      </c>
      <c r="J49" s="145" t="n"/>
    </row>
    <row r="50" ht="32.25" customFormat="1" customHeight="1" s="3">
      <c r="A50" s="24" t="inlineStr">
        <is>
          <t>四</t>
        </is>
      </c>
      <c r="B50" s="58" t="inlineStr">
        <is>
          <t>附属工程</t>
        </is>
      </c>
      <c r="C50" s="149" t="inlineStr">
        <is>
          <t>元</t>
        </is>
      </c>
      <c r="D50" s="150" t="n"/>
      <c r="E50" s="132" t="n"/>
      <c r="F50" s="133">
        <f>F51+F63</f>
        <v/>
      </c>
      <c r="G50" s="54" t="n"/>
      <c r="H50" s="54" t="n"/>
      <c r="I50" s="54" t="n"/>
      <c r="J50" s="62" t="n"/>
    </row>
    <row r="51" ht="32.25" customFormat="1" customHeight="1" s="3">
      <c r="A51" s="40" t="inlineStr">
        <is>
          <t>（一）</t>
        </is>
      </c>
      <c r="B51" s="63" t="inlineStr">
        <is>
          <t>区间路基附属</t>
        </is>
      </c>
      <c r="C51" s="149" t="inlineStr">
        <is>
          <t>元</t>
        </is>
      </c>
      <c r="D51" s="151" t="n"/>
      <c r="E51" s="151" t="n"/>
      <c r="F51" s="133">
        <f>SUM(F52:F62)</f>
        <v/>
      </c>
      <c r="G51" s="28" t="n"/>
      <c r="H51" s="152" t="n"/>
      <c r="I51" s="28" t="n"/>
      <c r="J51" s="140" t="n"/>
    </row>
    <row r="52" ht="32.25" customFormat="1" customHeight="1" s="2">
      <c r="A52" s="90" t="n">
        <v>1</v>
      </c>
      <c r="B52" s="67" t="inlineStr">
        <is>
          <t>基底重型碾压</t>
        </is>
      </c>
      <c r="C52" s="153" t="inlineStr">
        <is>
          <t>㎡</t>
        </is>
      </c>
      <c r="D52" s="154" t="n">
        <v>40355</v>
      </c>
      <c r="E52" s="154" t="n">
        <v>4.8</v>
      </c>
      <c r="F52" s="135">
        <f>ROUND(D52*E52,2)</f>
        <v/>
      </c>
      <c r="G52" s="56" t="inlineStr">
        <is>
          <t>按实际施工有效碾压面积计算</t>
        </is>
      </c>
      <c r="H52" s="155" t="inlineStr">
        <is>
          <t xml:space="preserve">包含全部费用 </t>
        </is>
      </c>
      <c r="I52" s="56" t="inlineStr">
        <is>
          <t>冲击碾压20遍，压实度复合设计要求、安全防护、文明施工。</t>
        </is>
      </c>
      <c r="J52" s="138" t="n"/>
    </row>
    <row r="53" ht="32.25" customFormat="1" customHeight="1" s="2">
      <c r="A53" s="90" t="n">
        <v>2</v>
      </c>
      <c r="B53" s="67" t="inlineStr">
        <is>
          <t>中粗砂填筑</t>
        </is>
      </c>
      <c r="C53" s="153" t="inlineStr">
        <is>
          <t>m3</t>
        </is>
      </c>
      <c r="D53" s="154" t="n">
        <v>1562</v>
      </c>
      <c r="E53" s="154" t="n">
        <v>12.5</v>
      </c>
      <c r="F53" s="135">
        <f>ROUND(D53*E53,2)</f>
        <v/>
      </c>
      <c r="G53" s="136" t="inlineStr">
        <is>
          <t>按施工图断面尺寸计算</t>
        </is>
      </c>
      <c r="H53" s="155" t="inlineStr">
        <is>
          <t>包含除中粗砂外全部费用</t>
        </is>
      </c>
      <c r="I53" s="50" t="inlineStr">
        <is>
          <t>分层推平、铺筑、整平、洒水、碾压、安全防护、文明施工等全部工作内容。</t>
        </is>
      </c>
      <c r="J53" s="56" t="n"/>
    </row>
    <row r="54" ht="32.25" customFormat="1" customHeight="1" s="2">
      <c r="A54" s="90" t="n">
        <v>3</v>
      </c>
      <c r="B54" s="67" t="inlineStr">
        <is>
          <t>拆除护坡浆砌片石</t>
        </is>
      </c>
      <c r="C54" s="153" t="inlineStr">
        <is>
          <t>m3</t>
        </is>
      </c>
      <c r="D54" s="154" t="n">
        <v>46</v>
      </c>
      <c r="E54" s="154" t="n">
        <v>28</v>
      </c>
      <c r="F54" s="135">
        <f>ROUND(D54*E54,2)</f>
        <v/>
      </c>
      <c r="G54" s="38" t="inlineStr">
        <is>
          <t>按拆除构筑物实际尺寸计算</t>
        </is>
      </c>
      <c r="H54" s="38" t="inlineStr">
        <is>
          <t>包含除弃碴费外的全部费用</t>
        </is>
      </c>
      <c r="I54" s="56" t="inlineStr">
        <is>
          <t>机械凿除、清理、安全防护、文明施工。</t>
        </is>
      </c>
      <c r="J54" s="138" t="n"/>
    </row>
    <row r="55" ht="32.25" customFormat="1" customHeight="1" s="2">
      <c r="A55" s="90" t="n">
        <v>4</v>
      </c>
      <c r="B55" s="67" t="inlineStr">
        <is>
          <t>弃运10km</t>
        </is>
      </c>
      <c r="C55" s="153" t="inlineStr">
        <is>
          <t>m3</t>
        </is>
      </c>
      <c r="D55" s="154" t="n">
        <v>46</v>
      </c>
      <c r="E55" s="154" t="n">
        <v>24</v>
      </c>
      <c r="F55" s="135">
        <f>ROUND(D55*E55,2)</f>
        <v/>
      </c>
      <c r="G55" s="136" t="inlineStr">
        <is>
          <t>按施工图断面尺寸压实方和现场实际测量运距计算</t>
        </is>
      </c>
      <c r="H55" s="83" t="inlineStr">
        <is>
          <t>包含全部费用</t>
        </is>
      </c>
      <c r="I55" s="50" t="inlineStr">
        <is>
          <t>施工准备、就位；挖掘机装车，自卸汽车运10Km、卸、空回等全部工作内容。</t>
        </is>
      </c>
      <c r="J55" s="138" t="n"/>
    </row>
    <row r="56" ht="32.25" customFormat="1" customHeight="1" s="2">
      <c r="A56" s="90" t="n">
        <v>5</v>
      </c>
      <c r="B56" s="67" t="inlineStr">
        <is>
          <t>拆除既有排水沟</t>
        </is>
      </c>
      <c r="C56" s="153" t="inlineStr">
        <is>
          <t>m3</t>
        </is>
      </c>
      <c r="D56" s="156" t="n">
        <v>906</v>
      </c>
      <c r="E56" s="135" t="n">
        <v>24</v>
      </c>
      <c r="F56" s="135">
        <f>ROUND(D56*E56,2)</f>
        <v/>
      </c>
      <c r="G56" s="38" t="inlineStr">
        <is>
          <t>按拆除构筑物实际尺寸计算</t>
        </is>
      </c>
      <c r="H56" s="38" t="inlineStr">
        <is>
          <t>包含除弃碴费外的全部费用</t>
        </is>
      </c>
      <c r="I56" s="56" t="inlineStr">
        <is>
          <t>机械凿除、清理、安全防护、文明施工。</t>
        </is>
      </c>
      <c r="J56" s="138" t="n"/>
    </row>
    <row r="57" ht="32.25" customFormat="1" customHeight="1" s="2">
      <c r="A57" s="90" t="n">
        <v>6</v>
      </c>
      <c r="B57" s="67" t="inlineStr">
        <is>
          <t>弃运10km</t>
        </is>
      </c>
      <c r="C57" s="153" t="inlineStr">
        <is>
          <t>m3</t>
        </is>
      </c>
      <c r="D57" s="156" t="n">
        <v>906</v>
      </c>
      <c r="E57" s="154" t="n">
        <v>24</v>
      </c>
      <c r="F57" s="135">
        <f>ROUND(D57*E57,2)</f>
        <v/>
      </c>
      <c r="G57" s="136" t="inlineStr">
        <is>
          <t>按施工图断面尺寸压实方和现场实际测量运距计算</t>
        </is>
      </c>
      <c r="H57" s="83" t="inlineStr">
        <is>
          <t>包含全部费用</t>
        </is>
      </c>
      <c r="I57" s="50" t="inlineStr">
        <is>
          <t>施工准备、就位；挖掘机装车，自卸汽车运10Km、卸、空回等全部工作内容。</t>
        </is>
      </c>
      <c r="J57" s="138" t="n"/>
    </row>
    <row r="58" ht="32.25" customFormat="1" customHeight="1" s="2">
      <c r="A58" s="90" t="n">
        <v>7</v>
      </c>
      <c r="B58" s="67" t="inlineStr">
        <is>
          <t>铺设复合土工膜</t>
        </is>
      </c>
      <c r="C58" s="153" t="inlineStr">
        <is>
          <t>㎡</t>
        </is>
      </c>
      <c r="D58" s="156" t="n">
        <v>10934</v>
      </c>
      <c r="E58" s="157" t="n">
        <v>4.8</v>
      </c>
      <c r="F58" s="135">
        <f>ROUND(D58*E58,2)</f>
        <v/>
      </c>
      <c r="G58" s="83" t="inlineStr">
        <is>
          <t>按实际铺设面积计算</t>
        </is>
      </c>
      <c r="H58" s="83" t="inlineStr">
        <is>
          <t>单价包含除土工膜以外的全部费用</t>
        </is>
      </c>
      <c r="I58" s="83" t="inlineStr">
        <is>
          <t>材料拉运、场内倒运、基底清理整平，锚固沟挖填，土工膜铺设、缝合及锚固、安全防护、文明施工等全部工作内容。</t>
        </is>
      </c>
      <c r="J58" s="138" t="n"/>
    </row>
    <row r="59" ht="32.25" customFormat="1" customHeight="1" s="2">
      <c r="A59" s="90" t="n">
        <v>8</v>
      </c>
      <c r="B59" s="67" t="inlineStr">
        <is>
          <t>铺设土工格栅</t>
        </is>
      </c>
      <c r="C59" s="153" t="inlineStr">
        <is>
          <t>㎡</t>
        </is>
      </c>
      <c r="D59" s="156" t="n">
        <v>75710</v>
      </c>
      <c r="E59" s="157" t="n">
        <v>3.8</v>
      </c>
      <c r="F59" s="135">
        <f>ROUND(D59*E59,2)</f>
        <v/>
      </c>
      <c r="G59" s="83" t="inlineStr">
        <is>
          <t>按实际铺设面积计算</t>
        </is>
      </c>
      <c r="H59" s="83" t="inlineStr">
        <is>
          <t>单价包含除土工格栅以外的全部费用</t>
        </is>
      </c>
      <c r="I59" s="83" t="inlineStr">
        <is>
          <t>材料拉运、场内倒运、基底清理整平，锚固沟挖填，土工格栅铺设缝合及锚固、安全防护、文明施工等全部工作内容。</t>
        </is>
      </c>
      <c r="J59" s="138" t="n"/>
    </row>
    <row r="60" ht="32.25" customFormat="1" customHeight="1" s="2">
      <c r="A60" s="90" t="n">
        <v>9</v>
      </c>
      <c r="B60" s="67" t="inlineStr">
        <is>
          <t>铺设土工格室</t>
        </is>
      </c>
      <c r="C60" s="153" t="inlineStr">
        <is>
          <t>㎡</t>
        </is>
      </c>
      <c r="D60" s="156" t="n">
        <v>60849</v>
      </c>
      <c r="E60" s="154" t="n">
        <v>4.8</v>
      </c>
      <c r="F60" s="135">
        <f>ROUND(D60*E60,2)</f>
        <v/>
      </c>
      <c r="G60" s="83" t="inlineStr">
        <is>
          <t>按实际铺设面积计算</t>
        </is>
      </c>
      <c r="H60" s="83" t="inlineStr">
        <is>
          <t>单价包含除土工格室以外的全部费用</t>
        </is>
      </c>
      <c r="I60" s="50" t="inlineStr">
        <is>
          <t>材料拉运、场内倒运、基底清理整平，锚固沟挖填，土工格室铺设、缝合及锚固、安全防护、文明施工等全部工作内容。</t>
        </is>
      </c>
      <c r="J60" s="138" t="n"/>
    </row>
    <row r="61" ht="32.25" customFormat="1" customHeight="1" s="2">
      <c r="A61" s="90" t="n">
        <v>10</v>
      </c>
      <c r="B61" s="67" t="inlineStr">
        <is>
          <t>铺设高强土工布</t>
        </is>
      </c>
      <c r="C61" s="153" t="inlineStr">
        <is>
          <t>㎡</t>
        </is>
      </c>
      <c r="D61" s="156" t="n">
        <v>14122</v>
      </c>
      <c r="E61" s="157" t="n">
        <v>3.8</v>
      </c>
      <c r="F61" s="135">
        <f>ROUND(D61*E61,2)</f>
        <v/>
      </c>
      <c r="G61" s="83" t="inlineStr">
        <is>
          <t>按实际铺设面积计算</t>
        </is>
      </c>
      <c r="H61" s="83" t="inlineStr">
        <is>
          <t>单价包含除土工布栅以外的全部费用</t>
        </is>
      </c>
      <c r="I61" s="50" t="inlineStr">
        <is>
          <t>材料拉运、场内倒运、基底清理整平，锚固沟挖填，土工布铺设、缝合及锚固、安全防护、文明施工等全部工作内容。</t>
        </is>
      </c>
      <c r="J61" s="138" t="n"/>
    </row>
    <row r="62" ht="32.25" customFormat="1" customHeight="1" s="2">
      <c r="A62" s="90" t="n">
        <v>11</v>
      </c>
      <c r="B62" s="67" t="inlineStr">
        <is>
          <t>防护隔离网</t>
        </is>
      </c>
      <c r="C62" s="158" t="inlineStr">
        <is>
          <t>m</t>
        </is>
      </c>
      <c r="D62" s="135" t="n">
        <v>3906</v>
      </c>
      <c r="E62" s="135" t="n">
        <v>20</v>
      </c>
      <c r="F62" s="135">
        <f>ROUND(D62*E62,2)</f>
        <v/>
      </c>
      <c r="G62" s="56" t="inlineStr">
        <is>
          <t>按实际完成长度计算</t>
        </is>
      </c>
      <c r="H62" s="83" t="inlineStr">
        <is>
          <t>包含除隔离网主要材料费外全部费用</t>
        </is>
      </c>
      <c r="I62" s="56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62" s="56" t="n"/>
    </row>
    <row r="63" ht="32.25" customFormat="1" customHeight="1" s="3">
      <c r="A63" s="40" t="inlineStr">
        <is>
          <t>（二）</t>
        </is>
      </c>
      <c r="B63" s="63" t="inlineStr">
        <is>
          <t>站场路基附属</t>
        </is>
      </c>
      <c r="C63" s="24" t="inlineStr">
        <is>
          <t>元</t>
        </is>
      </c>
      <c r="D63" s="141" t="n"/>
      <c r="E63" s="142" t="n"/>
      <c r="F63" s="133">
        <f>SUM(F64:F72)</f>
        <v/>
      </c>
      <c r="G63" s="28" t="n"/>
      <c r="H63" s="28" t="n"/>
      <c r="I63" s="28" t="n"/>
      <c r="J63" s="140" t="n"/>
    </row>
    <row r="64" ht="32.25" customFormat="1" customHeight="1" s="2">
      <c r="A64" s="90" t="n">
        <v>1</v>
      </c>
      <c r="B64" s="67" t="inlineStr">
        <is>
          <t>基底重型碾压</t>
        </is>
      </c>
      <c r="C64" s="153" t="inlineStr">
        <is>
          <t>㎡</t>
        </is>
      </c>
      <c r="D64" s="154" t="n">
        <v>13300.63</v>
      </c>
      <c r="E64" s="154" t="n">
        <v>4.8</v>
      </c>
      <c r="F64" s="135">
        <f>ROUND(D64*E64,2)</f>
        <v/>
      </c>
      <c r="G64" s="56" t="inlineStr">
        <is>
          <t>按实际施工有效碾压面积计算</t>
        </is>
      </c>
      <c r="H64" s="155" t="inlineStr">
        <is>
          <t xml:space="preserve">包含全部费用 </t>
        </is>
      </c>
      <c r="I64" s="56" t="inlineStr">
        <is>
          <t>冲击碾压20遍，压实度复合设计要求、安全防护、文明施工。</t>
        </is>
      </c>
      <c r="J64" s="138" t="n"/>
    </row>
    <row r="65" ht="32.25" customFormat="1" customHeight="1" s="2">
      <c r="A65" s="90" t="n">
        <v>2</v>
      </c>
      <c r="B65" s="67" t="inlineStr">
        <is>
          <t>中粗砂填筑</t>
        </is>
      </c>
      <c r="C65" s="153" t="inlineStr">
        <is>
          <t>m3</t>
        </is>
      </c>
      <c r="D65" s="154" t="n">
        <v>2053</v>
      </c>
      <c r="E65" s="154" t="n">
        <v>12.5</v>
      </c>
      <c r="F65" s="135">
        <f>ROUND(D65*E65,2)</f>
        <v/>
      </c>
      <c r="G65" s="136" t="inlineStr">
        <is>
          <t>按施工图断面尺寸计算</t>
        </is>
      </c>
      <c r="H65" s="155" t="inlineStr">
        <is>
          <t>包含除中粗砂外全部费用</t>
        </is>
      </c>
      <c r="I65" s="50" t="inlineStr">
        <is>
          <t>分层推平、铺筑、整平、洒水、碾压、安全防护、文明施工等全部工作内容。</t>
        </is>
      </c>
      <c r="J65" s="138" t="n"/>
    </row>
    <row r="66" ht="32.25" customFormat="1" customHeight="1" s="2">
      <c r="A66" s="90" t="n">
        <v>3</v>
      </c>
      <c r="B66" s="67" t="inlineStr">
        <is>
          <t>铺设复合土工膜</t>
        </is>
      </c>
      <c r="C66" s="153" t="inlineStr">
        <is>
          <t>㎡</t>
        </is>
      </c>
      <c r="D66" s="156" t="n">
        <v>13345</v>
      </c>
      <c r="E66" s="157" t="n">
        <v>4.8</v>
      </c>
      <c r="F66" s="135">
        <f>ROUND(D66*E66,2)</f>
        <v/>
      </c>
      <c r="G66" s="83" t="inlineStr">
        <is>
          <t>按实际铺设面积计算</t>
        </is>
      </c>
      <c r="H66" s="83" t="inlineStr">
        <is>
          <t>单价包含除土工膜以外的全部费用</t>
        </is>
      </c>
      <c r="I66" s="83" t="inlineStr">
        <is>
          <t>材料拉运、场内倒运、基底清理整平，锚固沟挖填，土工膜铺设、缝合及锚固、安全防护、文明施工等全部工作内容。</t>
        </is>
      </c>
      <c r="J66" s="138" t="n"/>
    </row>
    <row r="67" ht="32.25" customFormat="1" customHeight="1" s="2">
      <c r="A67" s="90" t="n">
        <v>4</v>
      </c>
      <c r="B67" s="67" t="inlineStr">
        <is>
          <t>铺设土工格栅</t>
        </is>
      </c>
      <c r="C67" s="153" t="inlineStr">
        <is>
          <t>㎡</t>
        </is>
      </c>
      <c r="D67" s="156" t="n">
        <v>125453</v>
      </c>
      <c r="E67" s="157" t="n">
        <v>3.8</v>
      </c>
      <c r="F67" s="135">
        <f>ROUND(D67*E67,2)</f>
        <v/>
      </c>
      <c r="G67" s="83" t="inlineStr">
        <is>
          <t>按实际铺设面积计算</t>
        </is>
      </c>
      <c r="H67" s="83" t="inlineStr">
        <is>
          <t>单价包含除土工格栅以外的全部费用</t>
        </is>
      </c>
      <c r="I67" s="83" t="inlineStr">
        <is>
          <t>材料拉运、场内倒运、基底清理整平，锚固沟挖填，土工格栅铺设缝合及锚固、安全防护、文明施工等全部工作内容。</t>
        </is>
      </c>
      <c r="J67" s="145" t="n"/>
    </row>
    <row r="68" ht="32.25" customFormat="1" customHeight="1" s="2">
      <c r="A68" s="90" t="n">
        <v>5</v>
      </c>
      <c r="B68" s="67" t="inlineStr">
        <is>
          <t>铺设土工格室</t>
        </is>
      </c>
      <c r="C68" s="153" t="inlineStr">
        <is>
          <t>㎡</t>
        </is>
      </c>
      <c r="D68" s="156" t="n">
        <v>25504</v>
      </c>
      <c r="E68" s="154" t="n">
        <v>4.8</v>
      </c>
      <c r="F68" s="135">
        <f>ROUND(D68*E68,2)</f>
        <v/>
      </c>
      <c r="G68" s="83" t="inlineStr">
        <is>
          <t>按实际铺设面积计算</t>
        </is>
      </c>
      <c r="H68" s="83" t="inlineStr">
        <is>
          <t>单价包含除土工格室以外的全部费用</t>
        </is>
      </c>
      <c r="I68" s="50" t="inlineStr">
        <is>
          <t>材料拉运、场内倒运、基底清理整平，锚固沟挖填，土工格室铺设、缝合及锚固、安全防护、文明施工等全部工作内容。</t>
        </is>
      </c>
      <c r="J68" s="145" t="n"/>
    </row>
    <row r="69" ht="32.25" customFormat="1" customHeight="1" s="2">
      <c r="A69" s="90" t="n">
        <v>6</v>
      </c>
      <c r="B69" s="67" t="inlineStr">
        <is>
          <t>铺设高强土工布</t>
        </is>
      </c>
      <c r="C69" s="153" t="inlineStr">
        <is>
          <t>㎡</t>
        </is>
      </c>
      <c r="D69" s="156" t="n">
        <v>1242</v>
      </c>
      <c r="E69" s="157" t="n">
        <v>3.8</v>
      </c>
      <c r="F69" s="135">
        <f>ROUND(D69*E69,2)</f>
        <v/>
      </c>
      <c r="G69" s="83" t="inlineStr">
        <is>
          <t>按实际铺设面积计算</t>
        </is>
      </c>
      <c r="H69" s="83" t="inlineStr">
        <is>
          <t>单价包含除土工布栅以外的全部费用</t>
        </is>
      </c>
      <c r="I69" s="50" t="inlineStr">
        <is>
          <t>材料拉运、场内倒运、基底清理整平，锚固沟挖填，土工布铺设、缝合及锚固、安全防护、文明施工等全部工作内容。</t>
        </is>
      </c>
      <c r="J69" s="145" t="n"/>
    </row>
    <row r="70" ht="32.25" customFormat="1" customHeight="1" s="2">
      <c r="A70" s="90" t="n">
        <v>7</v>
      </c>
      <c r="B70" s="67" t="inlineStr">
        <is>
          <t>拆除圬工</t>
        </is>
      </c>
      <c r="C70" s="153" t="inlineStr">
        <is>
          <t>m3</t>
        </is>
      </c>
      <c r="D70" s="156" t="n">
        <v>2236</v>
      </c>
      <c r="E70" s="135" t="n">
        <v>28</v>
      </c>
      <c r="F70" s="135">
        <f>ROUND(D70*E70,2)</f>
        <v/>
      </c>
      <c r="G70" s="38" t="inlineStr">
        <is>
          <t>按拆除构筑物实际尺寸计算</t>
        </is>
      </c>
      <c r="H70" s="38" t="inlineStr">
        <is>
          <t>包含除弃碴费外的全部费用</t>
        </is>
      </c>
      <c r="I70" s="56" t="inlineStr">
        <is>
          <t>机械凿除、清理、安全防护、文明施工。</t>
        </is>
      </c>
      <c r="J70" s="145" t="n"/>
    </row>
    <row r="71" ht="32.25" customFormat="1" customHeight="1" s="2">
      <c r="A71" s="90" t="n">
        <v>8</v>
      </c>
      <c r="B71" s="67" t="inlineStr">
        <is>
          <t>弃运10km</t>
        </is>
      </c>
      <c r="C71" s="153" t="inlineStr">
        <is>
          <t>m3</t>
        </is>
      </c>
      <c r="D71" s="156" t="n">
        <v>2236</v>
      </c>
      <c r="E71" s="154" t="n">
        <v>24</v>
      </c>
      <c r="F71" s="135">
        <f>ROUND(D71*E71,2)</f>
        <v/>
      </c>
      <c r="G71" s="136" t="inlineStr">
        <is>
          <t>按施工图断面尺寸压实方和现场实际测量运距计算</t>
        </is>
      </c>
      <c r="H71" s="83" t="inlineStr">
        <is>
          <t>包含全部费用</t>
        </is>
      </c>
      <c r="I71" s="50" t="inlineStr">
        <is>
          <t>施工准备、就位；挖掘机装车，自卸汽车运10Km、卸、空回等全部工作内容。</t>
        </is>
      </c>
      <c r="J71" s="145" t="n"/>
    </row>
    <row r="72" ht="32.25" customFormat="1" customHeight="1" s="2">
      <c r="A72" s="90" t="n">
        <v>9</v>
      </c>
      <c r="B72" s="67" t="inlineStr">
        <is>
          <t>防护隔离网安拆</t>
        </is>
      </c>
      <c r="C72" s="158" t="inlineStr">
        <is>
          <t>m</t>
        </is>
      </c>
      <c r="D72" s="135" t="n">
        <v>2899</v>
      </c>
      <c r="E72" s="135" t="n">
        <v>20</v>
      </c>
      <c r="F72" s="135">
        <f>ROUND(D72*E72,2)</f>
        <v/>
      </c>
      <c r="G72" s="56" t="inlineStr">
        <is>
          <t>按实际完成长度计算</t>
        </is>
      </c>
      <c r="H72" s="83" t="inlineStr">
        <is>
          <t>包含除隔离网主要材料费外全部费用</t>
        </is>
      </c>
      <c r="I72" s="56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72" s="145" t="n"/>
    </row>
    <row r="73" ht="32.25" customFormat="1" customHeight="1" s="2">
      <c r="A73" s="104" t="inlineStr">
        <is>
          <t>路基附属工程DYK358+700.00-DYK359+647、DYK363+100.00-DYK364+950</t>
        </is>
      </c>
      <c r="B73" s="129" t="n"/>
      <c r="C73" s="12" t="n"/>
      <c r="D73" s="130" t="n"/>
      <c r="E73" s="130" t="n"/>
      <c r="F73" s="130">
        <f>F74+F124</f>
        <v/>
      </c>
      <c r="G73" s="12" t="n"/>
      <c r="H73" s="12" t="n"/>
      <c r="I73" s="12" t="n"/>
      <c r="J73" s="24" t="n"/>
    </row>
    <row r="74" ht="32.25" customFormat="1" customHeight="1" s="3">
      <c r="A74" s="75" t="inlineStr">
        <is>
          <t>一</t>
        </is>
      </c>
      <c r="B74" s="76" t="inlineStr">
        <is>
          <t>区间新线路基附属</t>
        </is>
      </c>
      <c r="C74" s="77" t="n"/>
      <c r="D74" s="159" t="n"/>
      <c r="E74" s="130" t="n"/>
      <c r="F74" s="130">
        <f>F75+F90+F102+F109</f>
        <v/>
      </c>
      <c r="G74" s="54" t="n"/>
      <c r="H74" s="54" t="n"/>
      <c r="I74" s="54" t="n"/>
      <c r="J74" s="19" t="n"/>
    </row>
    <row r="75" ht="32.25" customFormat="1" customHeight="1" s="3">
      <c r="A75" s="12" t="inlineStr">
        <is>
          <t>（一）</t>
        </is>
      </c>
      <c r="B75" s="79" t="inlineStr">
        <is>
          <t>边坡防护与加固</t>
        </is>
      </c>
      <c r="C75" s="80" t="n"/>
      <c r="D75" s="130" t="n"/>
      <c r="E75" s="130" t="n"/>
      <c r="F75" s="130">
        <f>F76+F79+F84+F89</f>
        <v/>
      </c>
      <c r="G75" s="81" t="n"/>
      <c r="H75" s="81" t="n"/>
      <c r="I75" s="81" t="n"/>
      <c r="J75" s="19" t="n"/>
    </row>
    <row r="76" ht="32.25" customFormat="1" customHeight="1" s="3">
      <c r="A76" s="12" t="n">
        <v>1</v>
      </c>
      <c r="B76" s="54" t="inlineStr">
        <is>
          <t>护肩</t>
        </is>
      </c>
      <c r="C76" s="80" t="n"/>
      <c r="D76" s="130" t="n"/>
      <c r="E76" s="130" t="n"/>
      <c r="F76" s="130">
        <f>SUM(F77:F78)</f>
        <v/>
      </c>
      <c r="G76" s="81" t="n"/>
      <c r="H76" s="81" t="n"/>
      <c r="I76" s="81" t="n"/>
      <c r="J76" s="19" t="n"/>
    </row>
    <row r="77" ht="32.25" customFormat="1" customHeight="1" s="2">
      <c r="A77" s="82" t="inlineStr">
        <is>
          <t>（1）</t>
        </is>
      </c>
      <c r="B77" s="83" t="inlineStr">
        <is>
          <t>现浇护肩C25混凝土</t>
        </is>
      </c>
      <c r="C77" s="84" t="inlineStr">
        <is>
          <t>m³</t>
        </is>
      </c>
      <c r="D77" s="157" t="n">
        <v>595</v>
      </c>
      <c r="E77" s="157" t="n">
        <v>125</v>
      </c>
      <c r="F77" s="157">
        <f>ROUND(D77*E77,2)</f>
        <v/>
      </c>
      <c r="G77" s="85" t="inlineStr">
        <is>
          <t>按施工图尺寸计算实际圬工体积</t>
        </is>
      </c>
      <c r="H77" s="85" t="inlineStr">
        <is>
          <t>单价包含除混凝土、排水管、土工布外全部费用</t>
        </is>
      </c>
      <c r="I77" s="85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77" s="86" t="inlineStr">
        <is>
          <t>排水管、土工布甲供</t>
        </is>
      </c>
    </row>
    <row r="78" ht="32.25" customFormat="1" customHeight="1" s="2">
      <c r="A78" s="82" t="inlineStr">
        <is>
          <t>（2）</t>
        </is>
      </c>
      <c r="B78" s="83" t="inlineStr">
        <is>
          <t>养护用水</t>
        </is>
      </c>
      <c r="C78" s="84" t="inlineStr">
        <is>
          <t>t</t>
        </is>
      </c>
      <c r="D78" s="157" t="n">
        <v>119</v>
      </c>
      <c r="E78" s="157" t="n">
        <v>18</v>
      </c>
      <c r="F78" s="157">
        <f>ROUND(D78*E78,2)</f>
        <v/>
      </c>
      <c r="G78" s="83" t="inlineStr">
        <is>
          <t>固定费用</t>
        </is>
      </c>
      <c r="H78" s="137" t="inlineStr">
        <is>
          <t xml:space="preserve">包含全部费用 </t>
        </is>
      </c>
      <c r="I78" s="83" t="inlineStr">
        <is>
          <t>水资源购置</t>
        </is>
      </c>
      <c r="J78" s="86" t="n"/>
    </row>
    <row r="79" ht="32.25" customFormat="1" customHeight="1" s="3">
      <c r="A79" s="12" t="n">
        <v>2</v>
      </c>
      <c r="B79" s="54" t="inlineStr">
        <is>
          <t>坡面排水槽（路堤、路堑）</t>
        </is>
      </c>
      <c r="C79" s="80" t="n"/>
      <c r="D79" s="130" t="n"/>
      <c r="E79" s="130" t="n"/>
      <c r="F79" s="130">
        <f>SUM(F80:F83)</f>
        <v/>
      </c>
      <c r="G79" s="81" t="n"/>
      <c r="H79" s="81" t="n"/>
      <c r="I79" s="81" t="n"/>
      <c r="J79" s="19" t="n"/>
    </row>
    <row r="80" ht="32.25" customFormat="1" customHeight="1" s="2">
      <c r="A80" s="82" t="inlineStr">
        <is>
          <t>（1）</t>
        </is>
      </c>
      <c r="B80" s="83" t="inlineStr">
        <is>
          <t>排水槽预制块装卸运输（运距290km）</t>
        </is>
      </c>
      <c r="C80" s="84" t="inlineStr">
        <is>
          <t>m³</t>
        </is>
      </c>
      <c r="D80" s="157" t="n">
        <v>21</v>
      </c>
      <c r="E80" s="157" t="n">
        <v>185</v>
      </c>
      <c r="F80" s="157">
        <f>ROUND(D80*E80,2)</f>
        <v/>
      </c>
      <c r="G80" s="85" t="inlineStr">
        <is>
          <t>按施工图尺寸计算实际圬工体积</t>
        </is>
      </c>
      <c r="H80" s="85" t="inlineStr">
        <is>
          <t>单价包含全部费用</t>
        </is>
      </c>
      <c r="I80" s="85" t="inlineStr">
        <is>
          <t>装卸车、运输至施工地点散落卸车、堆码、安全防护及文明施工等全部工作内容。</t>
        </is>
      </c>
      <c r="J80" s="86" t="n"/>
    </row>
    <row r="81" ht="32.25" customFormat="1" customHeight="1" s="2">
      <c r="A81" s="82" t="inlineStr">
        <is>
          <t>（2）</t>
        </is>
      </c>
      <c r="B81" s="83" t="inlineStr">
        <is>
          <t>铺砌排水槽C25混凝土预制块</t>
        </is>
      </c>
      <c r="C81" s="84" t="inlineStr">
        <is>
          <t>m³</t>
        </is>
      </c>
      <c r="D81" s="157" t="n">
        <v>21</v>
      </c>
      <c r="E81" s="157" t="n">
        <v>88</v>
      </c>
      <c r="F81" s="157">
        <f>ROUND(D81*E81,2)</f>
        <v/>
      </c>
      <c r="G81" s="85" t="inlineStr">
        <is>
          <t>按施工图尺寸计算实际圬工体积</t>
        </is>
      </c>
      <c r="H81" s="85" t="inlineStr">
        <is>
          <t>单价包含除预制块外全部费用</t>
        </is>
      </c>
      <c r="I81" s="85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81" s="86" t="inlineStr">
        <is>
          <t>砂浆自供</t>
        </is>
      </c>
    </row>
    <row r="82" ht="32.25" customFormat="1" customHeight="1" s="2">
      <c r="A82" s="82" t="inlineStr">
        <is>
          <t>（3）</t>
        </is>
      </c>
      <c r="B82" s="83" t="inlineStr">
        <is>
          <t>现浇上镶边、下镶边、基础、踏步C25混凝土</t>
        </is>
      </c>
      <c r="C82" s="84" t="inlineStr">
        <is>
          <t>m³</t>
        </is>
      </c>
      <c r="D82" s="157" t="n">
        <v>319</v>
      </c>
      <c r="E82" s="157" t="n">
        <v>118</v>
      </c>
      <c r="F82" s="157">
        <f>ROUND(D82*E82,2)</f>
        <v/>
      </c>
      <c r="G82" s="85" t="inlineStr">
        <is>
          <t>按施工图尺寸计算实际圬工体积</t>
        </is>
      </c>
      <c r="H82" s="85" t="inlineStr">
        <is>
          <t>单价包含除混凝土外的全部费用</t>
        </is>
      </c>
      <c r="I82" s="85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82" s="86" t="inlineStr">
        <is>
          <t>伸缩缝材料自供</t>
        </is>
      </c>
    </row>
    <row r="83" ht="32.25" customFormat="1" customHeight="1" s="2">
      <c r="A83" s="82" t="inlineStr">
        <is>
          <t>（4）</t>
        </is>
      </c>
      <c r="B83" s="83" t="inlineStr">
        <is>
          <t>养护用水</t>
        </is>
      </c>
      <c r="C83" s="84" t="inlineStr">
        <is>
          <t>t</t>
        </is>
      </c>
      <c r="D83" s="157" t="n">
        <v>31.9</v>
      </c>
      <c r="E83" s="157" t="n">
        <v>18</v>
      </c>
      <c r="F83" s="157">
        <f>ROUND(D83*E83,2)</f>
        <v/>
      </c>
      <c r="G83" s="83" t="inlineStr">
        <is>
          <t>固定费用</t>
        </is>
      </c>
      <c r="H83" s="137" t="inlineStr">
        <is>
          <t xml:space="preserve">包含全部费用 </t>
        </is>
      </c>
      <c r="I83" s="83" t="inlineStr">
        <is>
          <t>水资源购置</t>
        </is>
      </c>
      <c r="J83" s="86" t="n"/>
    </row>
    <row r="84" ht="32.25" customFormat="1" customHeight="1" s="3">
      <c r="A84" s="12" t="n">
        <v>3</v>
      </c>
      <c r="B84" s="54" t="inlineStr">
        <is>
          <t>骨架拱型护坡</t>
        </is>
      </c>
      <c r="C84" s="80" t="n"/>
      <c r="D84" s="130" t="n"/>
      <c r="E84" s="130" t="n"/>
      <c r="F84" s="130">
        <f>SUM(F85:F88)</f>
        <v/>
      </c>
      <c r="G84" s="81" t="n"/>
      <c r="H84" s="81" t="n"/>
      <c r="I84" s="81" t="n"/>
      <c r="J84" s="19" t="n"/>
    </row>
    <row r="85" ht="32.25" customFormat="1" customHeight="1" s="2">
      <c r="A85" s="82" t="inlineStr">
        <is>
          <t>（1）</t>
        </is>
      </c>
      <c r="B85" s="83" t="inlineStr">
        <is>
          <t>现浇骨架护坡混凝土（镶边、骨架、踏步、基础）</t>
        </is>
      </c>
      <c r="C85" s="84" t="inlineStr">
        <is>
          <t>m³</t>
        </is>
      </c>
      <c r="D85" s="157" t="n">
        <v>4588</v>
      </c>
      <c r="E85" s="157" t="n">
        <v>128</v>
      </c>
      <c r="F85" s="157">
        <f>ROUND(D85*E85,2)</f>
        <v/>
      </c>
      <c r="G85" s="85" t="inlineStr">
        <is>
          <t>按施工图尺寸计算实际圬工体积</t>
        </is>
      </c>
      <c r="H85" s="85" t="inlineStr">
        <is>
          <t xml:space="preserve">单价包含除混凝土外全部费用 </t>
        </is>
      </c>
      <c r="I85" s="85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85" s="86" t="inlineStr">
        <is>
          <t>伸缩缝材料自供</t>
        </is>
      </c>
    </row>
    <row r="86" ht="32.25" customFormat="1" customHeight="1" s="2">
      <c r="A86" s="82" t="inlineStr">
        <is>
          <t>（2）</t>
        </is>
      </c>
      <c r="B86" s="83" t="inlineStr">
        <is>
          <t>边坡平台预制块装卸运输（运距290km）</t>
        </is>
      </c>
      <c r="C86" s="84" t="inlineStr">
        <is>
          <t>m³</t>
        </is>
      </c>
      <c r="D86" s="157" t="n">
        <v>248</v>
      </c>
      <c r="E86" s="157" t="n">
        <v>185</v>
      </c>
      <c r="F86" s="157">
        <f>ROUND(D86*E86,2)</f>
        <v/>
      </c>
      <c r="G86" s="85" t="inlineStr">
        <is>
          <t>按施工图尺寸计算实际圬工体积</t>
        </is>
      </c>
      <c r="H86" s="85" t="inlineStr">
        <is>
          <t>单价包含全部费用</t>
        </is>
      </c>
      <c r="I86" s="85" t="inlineStr">
        <is>
          <t>装卸车、运输至施工地点散落卸车、堆码、安全防护及文明施工等全部工作内容。</t>
        </is>
      </c>
      <c r="J86" s="86" t="n"/>
    </row>
    <row r="87" ht="32.25" customFormat="1" customHeight="1" s="2">
      <c r="A87" s="82" t="inlineStr">
        <is>
          <t>（3）</t>
        </is>
      </c>
      <c r="B87" s="83" t="inlineStr">
        <is>
          <t>铺砌边坡平台预制混凝土块</t>
        </is>
      </c>
      <c r="C87" s="84" t="inlineStr">
        <is>
          <t>m³</t>
        </is>
      </c>
      <c r="D87" s="157" t="n">
        <v>248</v>
      </c>
      <c r="E87" s="157" t="n">
        <v>78</v>
      </c>
      <c r="F87" s="157">
        <f>ROUND(D87*E87,2)</f>
        <v/>
      </c>
      <c r="G87" s="85" t="inlineStr">
        <is>
          <t>按施工图尺寸计算实际圬工体积</t>
        </is>
      </c>
      <c r="H87" s="85" t="inlineStr">
        <is>
          <t>单价包含除预制块外全部费用</t>
        </is>
      </c>
      <c r="I87" s="85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87" s="86" t="inlineStr">
        <is>
          <t>砂浆自供</t>
        </is>
      </c>
    </row>
    <row r="88" ht="32.25" customFormat="1" customHeight="1" s="2">
      <c r="A88" s="82" t="inlineStr">
        <is>
          <t>（4）</t>
        </is>
      </c>
      <c r="B88" s="83" t="inlineStr">
        <is>
          <t>养护用水</t>
        </is>
      </c>
      <c r="C88" s="84" t="inlineStr">
        <is>
          <t>t</t>
        </is>
      </c>
      <c r="D88" s="157" t="n">
        <v>458.8</v>
      </c>
      <c r="E88" s="157" t="n">
        <v>18</v>
      </c>
      <c r="F88" s="157">
        <f>ROUND(D88*E88,2)</f>
        <v/>
      </c>
      <c r="G88" s="83" t="inlineStr">
        <is>
          <t>固定费用</t>
        </is>
      </c>
      <c r="H88" s="137" t="inlineStr">
        <is>
          <t xml:space="preserve">包含全部费用 </t>
        </is>
      </c>
      <c r="I88" s="83" t="inlineStr">
        <is>
          <t>水资源购置</t>
        </is>
      </c>
      <c r="J88" s="86" t="n"/>
    </row>
    <row r="89" ht="32.25" customFormat="1" customHeight="1" s="3">
      <c r="A89" s="12" t="n">
        <v>4</v>
      </c>
      <c r="B89" s="54" t="inlineStr">
        <is>
          <t>踏步热浸锌工艺扶手栏杆</t>
        </is>
      </c>
      <c r="C89" s="80" t="inlineStr">
        <is>
          <t>m</t>
        </is>
      </c>
      <c r="D89" s="130" t="n">
        <v>314</v>
      </c>
      <c r="E89" s="130" t="n">
        <v>28</v>
      </c>
      <c r="F89" s="130">
        <f>ROUND(D89*E89,2)</f>
        <v/>
      </c>
      <c r="G89" s="81" t="inlineStr">
        <is>
          <t>按实际完成的施工图内数量计算</t>
        </is>
      </c>
      <c r="H89" s="81" t="inlineStr">
        <is>
          <t>单价包含除栏杆外全部费用</t>
        </is>
      </c>
      <c r="I89" s="81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89" s="19" t="inlineStr">
        <is>
          <t>砂浆自供</t>
        </is>
      </c>
    </row>
    <row r="90" ht="32.25" customFormat="1" customHeight="1" s="3">
      <c r="A90" s="12" t="inlineStr">
        <is>
          <t>（二）</t>
        </is>
      </c>
      <c r="B90" s="54" t="inlineStr">
        <is>
          <t>排水工程</t>
        </is>
      </c>
      <c r="C90" s="80" t="n"/>
      <c r="D90" s="130" t="n"/>
      <c r="E90" s="130" t="n"/>
      <c r="F90" s="130">
        <f>F91+F94+F97+F100</f>
        <v/>
      </c>
      <c r="G90" s="81" t="n"/>
      <c r="H90" s="81" t="n"/>
      <c r="I90" s="81" t="n"/>
      <c r="J90" s="19" t="n"/>
    </row>
    <row r="91" ht="32.25" customFormat="1" customHeight="1" s="3">
      <c r="A91" s="12" t="n">
        <v>1</v>
      </c>
      <c r="B91" s="54" t="inlineStr">
        <is>
          <t>侧沟沟身</t>
        </is>
      </c>
      <c r="C91" s="80" t="n"/>
      <c r="D91" s="130" t="n"/>
      <c r="E91" s="130" t="n"/>
      <c r="F91" s="130">
        <f>F92+F93</f>
        <v/>
      </c>
      <c r="G91" s="81" t="n"/>
      <c r="H91" s="81" t="n"/>
      <c r="I91" s="81" t="n"/>
      <c r="J91" s="19" t="n"/>
    </row>
    <row r="92" ht="32.25" customFormat="1" customHeight="1" s="2">
      <c r="A92" s="82" t="inlineStr">
        <is>
          <t>（1）</t>
        </is>
      </c>
      <c r="B92" s="83" t="inlineStr">
        <is>
          <t>沟身预制混凝土块装卸运输(运距290km）</t>
        </is>
      </c>
      <c r="C92" s="84" t="inlineStr">
        <is>
          <t>m³</t>
        </is>
      </c>
      <c r="D92" s="157" t="n">
        <v>653</v>
      </c>
      <c r="E92" s="157" t="n">
        <v>185</v>
      </c>
      <c r="F92" s="157">
        <f>ROUND(D92*E92,2)</f>
        <v/>
      </c>
      <c r="G92" s="85" t="inlineStr">
        <is>
          <t>按施工图尺寸计算实际圬工体积</t>
        </is>
      </c>
      <c r="H92" s="85" t="inlineStr">
        <is>
          <t>单价包含全部费用</t>
        </is>
      </c>
      <c r="I92" s="85" t="inlineStr">
        <is>
          <t>装卸车、运输至施工地点散落卸车、堆码、安全防护及文明施工等全部工作内容。</t>
        </is>
      </c>
      <c r="J92" s="86" t="n"/>
    </row>
    <row r="93" ht="32.25" customFormat="1" customHeight="1" s="2">
      <c r="A93" s="82" t="inlineStr">
        <is>
          <t>（2）</t>
        </is>
      </c>
      <c r="B93" s="83" t="inlineStr">
        <is>
          <t>安装沟身预制混凝土块</t>
        </is>
      </c>
      <c r="C93" s="84" t="inlineStr">
        <is>
          <t>m³</t>
        </is>
      </c>
      <c r="D93" s="157" t="n">
        <v>653</v>
      </c>
      <c r="E93" s="157" t="n">
        <v>92</v>
      </c>
      <c r="F93" s="157">
        <f>ROUND(D93*E93,2)</f>
        <v/>
      </c>
      <c r="G93" s="85" t="inlineStr">
        <is>
          <t>按施工图尺寸计算实际圬工体积</t>
        </is>
      </c>
      <c r="H93" s="85" t="inlineStr">
        <is>
          <t>单价包含除预制块、泄水管、土工布外全部费用</t>
        </is>
      </c>
      <c r="I93" s="85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93" s="86" t="inlineStr">
        <is>
          <t>泄水管、土工布甲供，砂浆、伸缩缝材料自供</t>
        </is>
      </c>
    </row>
    <row r="94" ht="32.25" customFormat="1" customHeight="1" s="3">
      <c r="A94" s="12" t="n">
        <v>2</v>
      </c>
      <c r="B94" s="54" t="inlineStr">
        <is>
          <t>侧沟平台</t>
        </is>
      </c>
      <c r="C94" s="80" t="n"/>
      <c r="D94" s="130" t="n"/>
      <c r="E94" s="130" t="n"/>
      <c r="F94" s="130">
        <f>SUM(F95:F96)</f>
        <v/>
      </c>
      <c r="G94" s="81" t="n"/>
      <c r="H94" s="81" t="n"/>
      <c r="I94" s="81" t="n"/>
      <c r="J94" s="19" t="n"/>
    </row>
    <row r="95" ht="32.25" customFormat="1" customHeight="1" s="2">
      <c r="A95" s="82" t="inlineStr">
        <is>
          <t>（1）</t>
        </is>
      </c>
      <c r="B95" s="83" t="inlineStr">
        <is>
          <t>侧沟平台预制混凝土块装卸运输(运距290km）</t>
        </is>
      </c>
      <c r="C95" s="84" t="inlineStr">
        <is>
          <t>m³</t>
        </is>
      </c>
      <c r="D95" s="157" t="n">
        <v>615</v>
      </c>
      <c r="E95" s="157" t="n">
        <v>185</v>
      </c>
      <c r="F95" s="157">
        <f>ROUND(D95*E95,2)</f>
        <v/>
      </c>
      <c r="G95" s="85" t="inlineStr">
        <is>
          <t>按施工图尺寸计算实际圬工体积</t>
        </is>
      </c>
      <c r="H95" s="85" t="inlineStr">
        <is>
          <t>单价包含全部费用</t>
        </is>
      </c>
      <c r="I95" s="85" t="inlineStr">
        <is>
          <t>装卸车、运输至施工地点散落卸车、堆码、安全防护及文明施工等全部工作内容。</t>
        </is>
      </c>
      <c r="J95" s="86" t="n"/>
    </row>
    <row r="96" ht="32.25" customFormat="1" customHeight="1" s="2">
      <c r="A96" s="82" t="inlineStr">
        <is>
          <t>（2）</t>
        </is>
      </c>
      <c r="B96" s="83" t="inlineStr">
        <is>
          <t>安装侧沟平台预制块</t>
        </is>
      </c>
      <c r="C96" s="84" t="inlineStr">
        <is>
          <t>m³</t>
        </is>
      </c>
      <c r="D96" s="157" t="n">
        <v>615</v>
      </c>
      <c r="E96" s="157" t="n">
        <v>72</v>
      </c>
      <c r="F96" s="157">
        <f>ROUND(D96*E96,2)</f>
        <v/>
      </c>
      <c r="G96" s="85" t="inlineStr">
        <is>
          <t>按施工图尺寸计算实际圬工体积</t>
        </is>
      </c>
      <c r="H96" s="85" t="inlineStr">
        <is>
          <t>单价包含除预制块外全部费用</t>
        </is>
      </c>
      <c r="I96" s="85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96" s="56" t="inlineStr">
        <is>
          <t>砂浆自供</t>
        </is>
      </c>
    </row>
    <row r="97" ht="32.25" customFormat="1" customHeight="1" s="3">
      <c r="A97" s="12" t="n">
        <v>3</v>
      </c>
      <c r="B97" s="54" t="inlineStr">
        <is>
          <t>侧沟搭板</t>
        </is>
      </c>
      <c r="C97" s="80" t="n"/>
      <c r="D97" s="130" t="n"/>
      <c r="E97" s="130" t="n"/>
      <c r="F97" s="130">
        <f>SUM(F98:F99)</f>
        <v/>
      </c>
      <c r="G97" s="81" t="n"/>
      <c r="H97" s="81" t="n"/>
      <c r="I97" s="81" t="n"/>
      <c r="J97" s="19" t="n"/>
    </row>
    <row r="98" ht="32.25" customFormat="1" customHeight="1" s="2">
      <c r="A98" s="82" t="inlineStr">
        <is>
          <t>（1）</t>
        </is>
      </c>
      <c r="B98" s="83" t="inlineStr">
        <is>
          <t>预制C35混凝土搭板装卸运输(运距290km）</t>
        </is>
      </c>
      <c r="C98" s="84" t="inlineStr">
        <is>
          <t>m³</t>
        </is>
      </c>
      <c r="D98" s="157" t="n">
        <v>8</v>
      </c>
      <c r="E98" s="157" t="n">
        <v>185</v>
      </c>
      <c r="F98" s="157">
        <f>ROUND(D98*E98,2)</f>
        <v/>
      </c>
      <c r="G98" s="85" t="inlineStr">
        <is>
          <t>按施工图尺寸计算实际圬工体积</t>
        </is>
      </c>
      <c r="H98" s="85" t="inlineStr">
        <is>
          <t>单价包含全部费用</t>
        </is>
      </c>
      <c r="I98" s="85" t="inlineStr">
        <is>
          <t>装卸车、运输至施工地点散落卸车、堆码、安全防护及文明施工等全部工作内容。</t>
        </is>
      </c>
      <c r="J98" s="86" t="n"/>
    </row>
    <row r="99" ht="32.25" customFormat="1" customHeight="1" s="2">
      <c r="A99" s="82" t="inlineStr">
        <is>
          <t>（2）</t>
        </is>
      </c>
      <c r="B99" s="83" t="inlineStr">
        <is>
          <t>安装搭板预制混凝土块0.5*2.6*0.15</t>
        </is>
      </c>
      <c r="C99" s="84" t="inlineStr">
        <is>
          <t>m³</t>
        </is>
      </c>
      <c r="D99" s="157" t="n">
        <v>8</v>
      </c>
      <c r="E99" s="157" t="n">
        <v>82</v>
      </c>
      <c r="F99" s="157">
        <f>ROUND(D99*E99,2)</f>
        <v/>
      </c>
      <c r="G99" s="85" t="inlineStr">
        <is>
          <t>按施工图尺寸计算实际圬工体积</t>
        </is>
      </c>
      <c r="H99" s="85" t="inlineStr">
        <is>
          <t>单价包含除预制块外全部费用</t>
        </is>
      </c>
      <c r="I99" s="56" t="inlineStr">
        <is>
          <t>场内倒运、构件就位、砂浆拌制、安砌，清理工作场地、安全防护、文明施工</t>
        </is>
      </c>
      <c r="J99" s="86" t="inlineStr">
        <is>
          <t>砂浆自供</t>
        </is>
      </c>
    </row>
    <row r="100" ht="32.25" customFormat="1" customHeight="1" s="3">
      <c r="A100" s="12" t="n">
        <v>4</v>
      </c>
      <c r="B100" s="54" t="inlineStr">
        <is>
          <t>散水平台</t>
        </is>
      </c>
      <c r="C100" s="80" t="n"/>
      <c r="D100" s="130" t="n"/>
      <c r="E100" s="130" t="n"/>
      <c r="F100" s="130">
        <f>SUM(F101:F101)</f>
        <v/>
      </c>
      <c r="G100" s="81" t="n"/>
      <c r="H100" s="81" t="n"/>
      <c r="I100" s="81" t="n"/>
      <c r="J100" s="19" t="n"/>
    </row>
    <row r="101" ht="32.25" customFormat="1" customHeight="1" s="2">
      <c r="A101" s="82" t="inlineStr">
        <is>
          <t>（1）</t>
        </is>
      </c>
      <c r="B101" s="83" t="inlineStr">
        <is>
          <t>现浇散水平台混凝土（直径为3m半圆形）</t>
        </is>
      </c>
      <c r="C101" s="84" t="inlineStr">
        <is>
          <t>m³</t>
        </is>
      </c>
      <c r="D101" s="157" t="n">
        <v>4</v>
      </c>
      <c r="E101" s="157" t="n">
        <v>132</v>
      </c>
      <c r="F101" s="157">
        <f>ROUND(D101*E101,2)</f>
        <v/>
      </c>
      <c r="G101" s="56" t="inlineStr">
        <is>
          <t>按施工图尺寸计算实际圬工体积</t>
        </is>
      </c>
      <c r="H101" s="85" t="inlineStr">
        <is>
          <t>单价包含除混凝土外全部费用</t>
        </is>
      </c>
      <c r="I101" s="85" t="inlineStr">
        <is>
          <t>挖基土、弃土、模板安拆、加固、混凝土浇筑、振捣及养护，材料及机具场内倒运、清理工作场地、安全防护及文明施工等全部工作内容。</t>
        </is>
      </c>
      <c r="J101" s="86" t="n"/>
    </row>
    <row r="102" ht="32.25" customFormat="1" customHeight="1" s="3">
      <c r="A102" s="12" t="inlineStr">
        <is>
          <t>（三）</t>
        </is>
      </c>
      <c r="B102" s="54" t="inlineStr">
        <is>
          <t>防护栅栏安装</t>
        </is>
      </c>
      <c r="C102" s="80" t="inlineStr">
        <is>
          <t>m</t>
        </is>
      </c>
      <c r="D102" s="130" t="n">
        <v>3336</v>
      </c>
      <c r="E102" s="130" t="n"/>
      <c r="F102" s="130">
        <f>SUM(F103:F108)</f>
        <v/>
      </c>
      <c r="G102" s="81" t="n"/>
      <c r="H102" s="81" t="n"/>
      <c r="I102" s="81" t="n"/>
      <c r="J102" s="19" t="n"/>
    </row>
    <row r="103" ht="32.25" customFormat="1" customHeight="1" s="2">
      <c r="A103" s="12" t="n">
        <v>1</v>
      </c>
      <c r="B103" s="87" t="inlineStr">
        <is>
          <t>基础挖土方</t>
        </is>
      </c>
      <c r="C103" s="84" t="inlineStr">
        <is>
          <t>m³</t>
        </is>
      </c>
      <c r="D103" s="157" t="n">
        <v>363</v>
      </c>
      <c r="E103" s="157" t="n">
        <v>12.5</v>
      </c>
      <c r="F103" s="157">
        <f>ROUND(D103*E103,2)</f>
        <v/>
      </c>
      <c r="G103" s="83" t="inlineStr">
        <is>
          <t>按施工图尺寸体积计算</t>
        </is>
      </c>
      <c r="H103" s="137" t="inlineStr">
        <is>
          <t>全部费用</t>
        </is>
      </c>
      <c r="I103" s="83" t="inlineStr">
        <is>
          <t>按照设计尺寸挖基坑，坑底清理、安全防护、文明施工。</t>
        </is>
      </c>
      <c r="J103" s="86" t="n"/>
    </row>
    <row r="104" ht="32.25" customFormat="1" customHeight="1" s="2">
      <c r="A104" s="12" t="n">
        <v>2</v>
      </c>
      <c r="B104" s="87" t="inlineStr">
        <is>
          <t>现浇混凝土基础</t>
        </is>
      </c>
      <c r="C104" s="84" t="inlineStr">
        <is>
          <t>m³</t>
        </is>
      </c>
      <c r="D104" s="157" t="n">
        <v>139.01</v>
      </c>
      <c r="E104" s="157" t="n">
        <v>125</v>
      </c>
      <c r="F104" s="157">
        <f>ROUND(D104*E104,2)</f>
        <v/>
      </c>
      <c r="G104" s="85" t="inlineStr">
        <is>
          <t>按施工图所示，以体积计算</t>
        </is>
      </c>
      <c r="H104" s="85" t="inlineStr">
        <is>
          <t>包含除混凝土外全部费用</t>
        </is>
      </c>
      <c r="I104" s="85" t="inlineStr">
        <is>
          <t>模版安拆、混凝土浇筑、振捣、抹平、养护、混凝土倒运、安全防护、文明施工。</t>
        </is>
      </c>
      <c r="J104" s="86" t="n"/>
    </row>
    <row r="105" ht="32.25" customFormat="1" customHeight="1" s="2">
      <c r="A105" s="12" t="n">
        <v>3</v>
      </c>
      <c r="B105" s="87" t="inlineStr">
        <is>
          <t>回填土方</t>
        </is>
      </c>
      <c r="C105" s="84" t="inlineStr">
        <is>
          <t>m³</t>
        </is>
      </c>
      <c r="D105" s="157" t="n">
        <v>224</v>
      </c>
      <c r="E105" s="157" t="n">
        <v>8.5</v>
      </c>
      <c r="F105" s="157">
        <f>ROUND(D105*E105,2)</f>
        <v/>
      </c>
      <c r="G105" s="85" t="inlineStr">
        <is>
          <t>以基坑开挖数量减去基础圬工数量计算</t>
        </is>
      </c>
      <c r="H105" s="85" t="inlineStr">
        <is>
          <t>全部费用</t>
        </is>
      </c>
      <c r="I105" s="85" t="inlineStr">
        <is>
          <t>平土、夯实、安全防护、文明施工。</t>
        </is>
      </c>
      <c r="J105" s="86" t="n"/>
    </row>
    <row r="106" ht="32.25" customFormat="1" customHeight="1" s="2">
      <c r="A106" s="12" t="n">
        <v>4</v>
      </c>
      <c r="B106" s="87" t="inlineStr">
        <is>
          <t>混凝土立柱装卸运输（运距290km）</t>
        </is>
      </c>
      <c r="C106" s="84" t="inlineStr">
        <is>
          <t>m³</t>
        </is>
      </c>
      <c r="D106" s="157" t="n">
        <v>32.03</v>
      </c>
      <c r="E106" s="157" t="n">
        <v>185</v>
      </c>
      <c r="F106" s="157">
        <f>ROUND(D106*E106,2)</f>
        <v/>
      </c>
      <c r="G106" s="85" t="inlineStr">
        <is>
          <t>按施工图所示，以体积计算</t>
        </is>
      </c>
      <c r="H106" s="85" t="inlineStr">
        <is>
          <t>单价包含全部费用</t>
        </is>
      </c>
      <c r="I106" s="85" t="inlineStr">
        <is>
          <t>装卸车、运输至施工地点散落卸车、堆码、安全防护及文明施工等全部工作内容。</t>
        </is>
      </c>
      <c r="J106" s="86" t="n"/>
    </row>
    <row r="107" ht="32.25" customFormat="1" customHeight="1" s="2">
      <c r="A107" s="12" t="n">
        <v>5</v>
      </c>
      <c r="B107" s="87" t="inlineStr">
        <is>
          <t>混凝土立柱安装</t>
        </is>
      </c>
      <c r="C107" s="84" t="inlineStr">
        <is>
          <t>m³</t>
        </is>
      </c>
      <c r="D107" s="157" t="n">
        <v>32.03</v>
      </c>
      <c r="E107" s="157" t="n">
        <v>185</v>
      </c>
      <c r="F107" s="157">
        <f>ROUND(D107*E107,2)</f>
        <v/>
      </c>
      <c r="G107" s="85" t="inlineStr">
        <is>
          <t>按施工图所示，以体积计算</t>
        </is>
      </c>
      <c r="H107" s="85" t="inlineStr">
        <is>
          <t>包含除立柱、角钢外全部费用</t>
        </is>
      </c>
      <c r="I107" s="8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材料拉运、装卸车、立柱放入基坑内、定位、设置支撑、保证立柱纵横向不移位、竖向垂直、待基础混凝土强度达到要求后撤去支撑、立柱顶部插入角钢、封水材料填充缝隙、焊接连接板、安全防护、文明施工。</t>
        </is>
      </c>
      <c r="J107" s="86" t="n"/>
    </row>
    <row r="108" ht="32.25" customFormat="1" customHeight="1" s="2">
      <c r="A108" s="12" t="n">
        <v>6</v>
      </c>
      <c r="B108" s="87" t="inlineStr">
        <is>
          <t>金属网片安装</t>
        </is>
      </c>
      <c r="C108" s="84" t="inlineStr">
        <is>
          <t>㎡</t>
        </is>
      </c>
      <c r="D108" s="157" t="n">
        <v>6005</v>
      </c>
      <c r="E108" s="157" t="n">
        <v>12.5</v>
      </c>
      <c r="F108" s="157">
        <f>ROUND(D108*E108,2)</f>
        <v/>
      </c>
      <c r="G108" s="85" t="inlineStr">
        <is>
          <t>按实际施工的有效防护栅栏面积计算</t>
        </is>
      </c>
      <c r="H108" s="85" t="inlineStr">
        <is>
          <t>包含除金属网片、螺栓、连接板、警示标志、门锁外全部费用</t>
        </is>
      </c>
      <c r="I108" s="85" t="inlineStr">
        <is>
          <t>金属网片拉运、现场途卸、场内倒运、与立柱螺栓连接、安装固定、安装栅栏门、警示标志及门锁、安全防护、文明施工。</t>
        </is>
      </c>
      <c r="J108" s="86" t="n"/>
    </row>
    <row r="109" ht="32.25" customFormat="1" customHeight="1" s="3">
      <c r="A109" s="12" t="inlineStr">
        <is>
          <t>（四）</t>
        </is>
      </c>
      <c r="B109" s="54" t="inlineStr">
        <is>
          <t>电缆槽及电缆井</t>
        </is>
      </c>
      <c r="C109" s="80" t="n"/>
      <c r="D109" s="130" t="n"/>
      <c r="E109" s="130" t="n"/>
      <c r="F109" s="130">
        <f>F110+F117</f>
        <v/>
      </c>
      <c r="G109" s="28" t="n"/>
      <c r="H109" s="81" t="n"/>
      <c r="I109" s="81" t="n"/>
      <c r="J109" s="88" t="n"/>
    </row>
    <row r="110" ht="32.25" customFormat="1" customHeight="1" s="3">
      <c r="A110" s="12" t="n">
        <v>1</v>
      </c>
      <c r="B110" s="89" t="inlineStr">
        <is>
          <t>电缆槽</t>
        </is>
      </c>
      <c r="C110" s="80" t="inlineStr">
        <is>
          <t>m</t>
        </is>
      </c>
      <c r="D110" s="130" t="n">
        <v>2735</v>
      </c>
      <c r="E110" s="130" t="n"/>
      <c r="F110" s="130">
        <f>SUM(F111:F116)</f>
        <v/>
      </c>
      <c r="G110" s="28" t="n"/>
      <c r="H110" s="81" t="n"/>
      <c r="I110" s="81" t="n"/>
      <c r="J110" s="88" t="n"/>
    </row>
    <row r="111" ht="32.25" customFormat="1" customHeight="1" s="2">
      <c r="A111" s="90" t="inlineStr">
        <is>
          <t>（1）</t>
        </is>
      </c>
      <c r="B111" s="91" t="inlineStr">
        <is>
          <t>预制C30混凝土电缆槽装卸运输(运距290km）</t>
        </is>
      </c>
      <c r="C111" s="84" t="inlineStr">
        <is>
          <t>m³</t>
        </is>
      </c>
      <c r="D111" s="157" t="n">
        <v>187.07</v>
      </c>
      <c r="E111" s="157" t="n">
        <v>185</v>
      </c>
      <c r="F111" s="157">
        <f>ROUND(D111*E111,2)</f>
        <v/>
      </c>
      <c r="G111" s="85" t="inlineStr">
        <is>
          <t>按施工图尺寸计算实际圬工体积</t>
        </is>
      </c>
      <c r="H111" s="85" t="inlineStr">
        <is>
          <t>单价包含全部费用</t>
        </is>
      </c>
      <c r="I111" s="85" t="inlineStr">
        <is>
          <t>装卸车、运输至施工地点散落卸车、堆码、安全防护及文明施工等全部工作内容。</t>
        </is>
      </c>
      <c r="J111" s="86" t="n"/>
    </row>
    <row r="112" ht="32.25" customFormat="1" customHeight="1" s="2">
      <c r="A112" s="90" t="inlineStr">
        <is>
          <t>（2）</t>
        </is>
      </c>
      <c r="B112" s="83" t="inlineStr">
        <is>
          <t>电缆槽安装</t>
        </is>
      </c>
      <c r="C112" s="84" t="inlineStr">
        <is>
          <t>m³</t>
        </is>
      </c>
      <c r="D112" s="157" t="n">
        <v>187.07</v>
      </c>
      <c r="E112" s="157" t="n">
        <v>88</v>
      </c>
      <c r="F112" s="157">
        <f>ROUND(D112*E112,2)</f>
        <v/>
      </c>
      <c r="G112" s="56" t="inlineStr">
        <is>
          <t>按施工图尺寸计算实际圬工体积</t>
        </is>
      </c>
      <c r="H112" s="85" t="inlineStr">
        <is>
          <t>除电缆槽、泄水管、铁丝网外全部费用</t>
        </is>
      </c>
      <c r="I112" s="56" t="inlineStr">
        <is>
          <t>材料拉运、装卸车、挖基、弃土、选修预制块及洗刷、拌制砂浆、铺浆找平、安砌、勾缝、安泄水管及铁丝网，清理工作场地，含现场倒运、安全防护、文明施工等全部工作内容。</t>
        </is>
      </c>
      <c r="J112" s="92" t="inlineStr">
        <is>
          <t>泄水管、铁丝网甲供，砂浆自供</t>
        </is>
      </c>
    </row>
    <row r="113" ht="32.25" customFormat="1" customHeight="1" s="2">
      <c r="A113" s="90" t="inlineStr">
        <is>
          <t>（3）</t>
        </is>
      </c>
      <c r="B113" s="91" t="inlineStr">
        <is>
          <t>预制C30混凝土电缆槽盖板装卸运输(运距290km）</t>
        </is>
      </c>
      <c r="C113" s="93" t="inlineStr">
        <is>
          <t>m³</t>
        </is>
      </c>
      <c r="D113" s="154" t="n">
        <v>82.09999999999999</v>
      </c>
      <c r="E113" s="157" t="n">
        <v>185</v>
      </c>
      <c r="F113" s="157">
        <f>ROUND(D113*E113,2)</f>
        <v/>
      </c>
      <c r="G113" s="85" t="inlineStr">
        <is>
          <t>按施工图尺寸计算实际圬工体积</t>
        </is>
      </c>
      <c r="H113" s="85" t="inlineStr">
        <is>
          <t>单价包含全部费用</t>
        </is>
      </c>
      <c r="I113" s="85" t="inlineStr">
        <is>
          <t>装卸车、运输至施工地点散落卸车、堆码、安全防护及文明施工等全部工作内容。</t>
        </is>
      </c>
      <c r="J113" s="86" t="n"/>
    </row>
    <row r="114" ht="32.25" customFormat="1" customHeight="1" s="2">
      <c r="A114" s="90" t="inlineStr">
        <is>
          <t>（4）</t>
        </is>
      </c>
      <c r="B114" s="91" t="inlineStr">
        <is>
          <t>电缆槽盖板安装</t>
        </is>
      </c>
      <c r="C114" s="93" t="inlineStr">
        <is>
          <t>m³</t>
        </is>
      </c>
      <c r="D114" s="154" t="n">
        <v>82.09999999999999</v>
      </c>
      <c r="E114" s="157" t="n">
        <v>68</v>
      </c>
      <c r="F114" s="157">
        <f>ROUND(D114*E114,2)</f>
        <v/>
      </c>
      <c r="G114" s="85" t="inlineStr">
        <is>
          <t>按施工图尺寸计算实际圬工体积</t>
        </is>
      </c>
      <c r="H114" s="94" t="inlineStr">
        <is>
          <t>除电缆槽盖板外全部费用</t>
        </is>
      </c>
      <c r="I114" s="94" t="inlineStr">
        <is>
          <t>构件就位、砂浆拌制、安砌，清理工作场地，含现场倒运、安全防护、文明施工等全部工作内容。</t>
        </is>
      </c>
      <c r="J114" s="95" t="inlineStr">
        <is>
          <t>砂浆自供</t>
        </is>
      </c>
    </row>
    <row r="115" ht="32.25" customFormat="1" customHeight="1" s="2">
      <c r="A115" s="90" t="inlineStr">
        <is>
          <t>（5）</t>
        </is>
      </c>
      <c r="B115" s="96" t="inlineStr">
        <is>
          <t>填筑碎石</t>
        </is>
      </c>
      <c r="C115" s="31" t="inlineStr">
        <is>
          <t>m³</t>
        </is>
      </c>
      <c r="D115" s="160" t="n">
        <v>305.8</v>
      </c>
      <c r="E115" s="161" t="n">
        <v>18.5</v>
      </c>
      <c r="F115" s="157">
        <f>ROUND(D115*E115,2)</f>
        <v/>
      </c>
      <c r="G115" s="56" t="inlineStr">
        <is>
          <t>按实际完成的施工图数量计算</t>
        </is>
      </c>
      <c r="H115" s="56" t="inlineStr">
        <is>
          <t>除碎石外全部费用</t>
        </is>
      </c>
      <c r="I115" s="56" t="inlineStr">
        <is>
          <t>材料拉运、装卸车、挖、装、运、卸，填筑、整平、夯实、安全防护、文明施工</t>
        </is>
      </c>
      <c r="J115" s="95" t="n"/>
    </row>
    <row r="116" ht="32.25" customFormat="1" customHeight="1" s="2">
      <c r="A116" s="90" t="inlineStr">
        <is>
          <t>（6）</t>
        </is>
      </c>
      <c r="B116" s="96" t="inlineStr">
        <is>
          <t>回填C25混凝土</t>
        </is>
      </c>
      <c r="C116" s="31" t="inlineStr">
        <is>
          <t>m³</t>
        </is>
      </c>
      <c r="D116" s="160" t="n">
        <v>73.2</v>
      </c>
      <c r="E116" s="161" t="n">
        <v>98</v>
      </c>
      <c r="F116" s="157">
        <f>ROUND(D116*E116,2)</f>
        <v/>
      </c>
      <c r="G116" s="56" t="inlineStr">
        <is>
          <t>按施工图尺寸计算实际圬工体积</t>
        </is>
      </c>
      <c r="H116" s="99" t="inlineStr">
        <is>
          <t>单价包含除混凝土外的全部费用</t>
        </is>
      </c>
      <c r="I116" s="99" t="inlineStr">
        <is>
          <t>混凝土倒运、混凝土浇筑、振捣、养护、安全防护、文明施工等全部工作内容。</t>
        </is>
      </c>
      <c r="J116" s="95" t="n"/>
    </row>
    <row r="117" ht="32.25" customFormat="1" customHeight="1" s="3">
      <c r="A117" s="10" t="n">
        <v>2</v>
      </c>
      <c r="B117" s="100" t="inlineStr">
        <is>
          <t>电缆井</t>
        </is>
      </c>
      <c r="C117" s="80" t="n"/>
      <c r="D117" s="130" t="n"/>
      <c r="E117" s="130" t="n"/>
      <c r="F117" s="130">
        <f>SUM(F118:F123)</f>
        <v/>
      </c>
      <c r="G117" s="81" t="n"/>
      <c r="H117" s="81" t="n"/>
      <c r="I117" s="81" t="n"/>
      <c r="J117" s="19" t="n"/>
    </row>
    <row r="118" ht="32.25" customFormat="1" customHeight="1" s="2">
      <c r="A118" s="90" t="inlineStr">
        <is>
          <t>（1）</t>
        </is>
      </c>
      <c r="B118" s="87" t="inlineStr">
        <is>
          <t>挖土方弃土</t>
        </is>
      </c>
      <c r="C118" s="31" t="inlineStr">
        <is>
          <t>m³</t>
        </is>
      </c>
      <c r="D118" s="157" t="n">
        <v>33</v>
      </c>
      <c r="E118" s="157" t="n">
        <v>15.5</v>
      </c>
      <c r="F118" s="157">
        <f>ROUND(D118*E118,2)</f>
        <v/>
      </c>
      <c r="G118" s="56" t="inlineStr">
        <is>
          <t>按施工图尺寸体积计算</t>
        </is>
      </c>
      <c r="H118" s="56" t="inlineStr">
        <is>
          <t>全部费用</t>
        </is>
      </c>
      <c r="I118" s="56" t="inlineStr">
        <is>
          <t>挖、运至基坑外弃运，包括近坑底标高0.3m以内的土方人工挖运，坑壁及坑底修整，清理工作场地、安全防护、文明施工。</t>
        </is>
      </c>
      <c r="J118" s="86" t="n"/>
    </row>
    <row r="119" ht="32.25" customFormat="1" customHeight="1" s="2">
      <c r="A119" s="90" t="inlineStr">
        <is>
          <t>（2）</t>
        </is>
      </c>
      <c r="B119" s="87" t="inlineStr">
        <is>
          <t>现浇C35混凝土垫层</t>
        </is>
      </c>
      <c r="C119" s="31" t="inlineStr">
        <is>
          <t>m³</t>
        </is>
      </c>
      <c r="D119" s="157" t="n">
        <v>8</v>
      </c>
      <c r="E119" s="157" t="n">
        <v>112</v>
      </c>
      <c r="F119" s="157">
        <f>ROUND(D119*E119,2)</f>
        <v/>
      </c>
      <c r="G119" s="56" t="inlineStr">
        <is>
          <t>按施工图尺寸计算实际圬工体积</t>
        </is>
      </c>
      <c r="H119" s="99" t="inlineStr">
        <is>
          <t>单价包含除混凝土外的全部费用</t>
        </is>
      </c>
      <c r="I119" s="99" t="inlineStr">
        <is>
          <t>混凝土倒运、模版安拆、混凝土浇筑、振捣、养护、安全防护、文明施工等全部工作内容。</t>
        </is>
      </c>
      <c r="J119" s="86" t="n"/>
    </row>
    <row r="120" ht="32.25" customFormat="1" customHeight="1" s="2">
      <c r="A120" s="90" t="inlineStr">
        <is>
          <t>（3）</t>
        </is>
      </c>
      <c r="B120" s="87" t="inlineStr">
        <is>
          <t>现浇C35电缆井</t>
        </is>
      </c>
      <c r="C120" s="84" t="inlineStr">
        <is>
          <t>m³</t>
        </is>
      </c>
      <c r="D120" s="157" t="n">
        <v>18</v>
      </c>
      <c r="E120" s="157" t="n">
        <v>155</v>
      </c>
      <c r="F120" s="157">
        <f>ROUND(D120*E120,2)</f>
        <v/>
      </c>
      <c r="G120" s="56" t="inlineStr">
        <is>
          <t>按施工图尺寸计算实际圬工体积</t>
        </is>
      </c>
      <c r="H120" s="99" t="inlineStr">
        <is>
          <t>单价包含除混凝土、排水管外的全部费用</t>
        </is>
      </c>
      <c r="I120" s="99" t="inlineStr">
        <is>
          <t>材料拉运、装卸车、混凝土倒运、模版安拆、混凝土浇筑、振捣、养护、排水管安装、安全防护、文明施工等全部工作内容。</t>
        </is>
      </c>
      <c r="J120" s="86" t="inlineStr">
        <is>
          <t>排水管甲供</t>
        </is>
      </c>
    </row>
    <row r="121" ht="32.25" customFormat="1" customHeight="1" s="2">
      <c r="A121" s="90" t="inlineStr">
        <is>
          <t>（4）</t>
        </is>
      </c>
      <c r="B121" s="87" t="inlineStr">
        <is>
          <t>电缆井钢筋制安</t>
        </is>
      </c>
      <c r="C121" s="84" t="inlineStr">
        <is>
          <t>t</t>
        </is>
      </c>
      <c r="D121" s="157" t="n">
        <v>3.263</v>
      </c>
      <c r="E121" s="157" t="n">
        <v>780</v>
      </c>
      <c r="F121" s="157">
        <f>ROUND(D121*E121,2)</f>
        <v/>
      </c>
      <c r="G121" s="85" t="inlineStr">
        <is>
          <t>按设计图示尺寸计数重量，不计搭接、损耗</t>
        </is>
      </c>
      <c r="H121" s="85" t="inlineStr">
        <is>
          <t>单价包含除钢筋以外的全部费用</t>
        </is>
      </c>
      <c r="I121" s="85" t="inlineStr">
        <is>
          <t>材料拉运、装卸车、堆放、调直、除锈、切断、弯制，钢筋半成品装运卸，现场焊接及绑扎、安放、定位、校正安装、安全防护、文明施工等全部工作内容</t>
        </is>
      </c>
      <c r="J121" s="86" t="n"/>
    </row>
    <row r="122" ht="32.25" customFormat="1" customHeight="1" s="2">
      <c r="A122" s="90" t="inlineStr">
        <is>
          <t>（5）</t>
        </is>
      </c>
      <c r="B122" s="87" t="inlineStr">
        <is>
          <t>预制C30混凝土电缆井盖板装卸运输(运距290km）</t>
        </is>
      </c>
      <c r="C122" s="84" t="inlineStr">
        <is>
          <t>m³</t>
        </is>
      </c>
      <c r="D122" s="157" t="n">
        <v>3</v>
      </c>
      <c r="E122" s="157" t="n">
        <v>185</v>
      </c>
      <c r="F122" s="157">
        <f>ROUND(D122*E122,2)</f>
        <v/>
      </c>
      <c r="G122" s="85" t="inlineStr">
        <is>
          <t>按施工图尺寸计算实际圬工体积</t>
        </is>
      </c>
      <c r="H122" s="85" t="inlineStr">
        <is>
          <t>单价包含全部费用</t>
        </is>
      </c>
      <c r="I122" s="85" t="inlineStr">
        <is>
          <t>装卸车、运输至施工地点散落卸车、堆码、安全防护及文明施工等全部工作内容。</t>
        </is>
      </c>
      <c r="J122" s="86" t="n"/>
    </row>
    <row r="123" ht="32.25" customFormat="1" customHeight="1" s="2">
      <c r="A123" s="90" t="inlineStr">
        <is>
          <t>（6）</t>
        </is>
      </c>
      <c r="B123" s="87" t="inlineStr">
        <is>
          <t>电缆井盖板安装</t>
        </is>
      </c>
      <c r="C123" s="84" t="inlineStr">
        <is>
          <t>m³</t>
        </is>
      </c>
      <c r="D123" s="157" t="n">
        <v>3</v>
      </c>
      <c r="E123" s="157" t="n">
        <v>72</v>
      </c>
      <c r="F123" s="157">
        <f>ROUND(D123*E123,2)</f>
        <v/>
      </c>
      <c r="G123" s="85" t="inlineStr">
        <is>
          <t>按施工图尺寸计算实际圬工体积</t>
        </is>
      </c>
      <c r="H123" s="85" t="inlineStr">
        <is>
          <t>除电缆井盖板外全部费用</t>
        </is>
      </c>
      <c r="I123" s="85" t="inlineStr">
        <is>
          <t>构件就位、砂浆拌制、安砌，清理工作场地，含现场倒运、安全防护、文明施工等全部工作内容。</t>
        </is>
      </c>
      <c r="J123" s="86" t="inlineStr">
        <is>
          <t>砂浆自供</t>
        </is>
      </c>
    </row>
    <row r="124" ht="32.25" customFormat="1" customHeight="1" s="3">
      <c r="A124" s="101" t="inlineStr">
        <is>
          <t>二</t>
        </is>
      </c>
      <c r="B124" s="102" t="inlineStr">
        <is>
          <t>既有线提质改造</t>
        </is>
      </c>
      <c r="C124" s="80" t="n"/>
      <c r="D124" s="130" t="n"/>
      <c r="E124" s="130" t="n"/>
      <c r="F124" s="130">
        <f>F125+F135</f>
        <v/>
      </c>
      <c r="G124" s="81" t="n"/>
      <c r="H124" s="81" t="n"/>
      <c r="I124" s="81" t="n"/>
      <c r="J124" s="19" t="n"/>
    </row>
    <row r="125" ht="32.25" customFormat="1" customHeight="1" s="3">
      <c r="A125" s="12" t="inlineStr">
        <is>
          <t>（一）</t>
        </is>
      </c>
      <c r="B125" s="54" t="inlineStr">
        <is>
          <t>边坡防护与加固</t>
        </is>
      </c>
      <c r="C125" s="80" t="n"/>
      <c r="D125" s="130" t="n"/>
      <c r="E125" s="130" t="n"/>
      <c r="F125" s="130">
        <f>F126+F132</f>
        <v/>
      </c>
      <c r="G125" s="81" t="n"/>
      <c r="H125" s="81" t="n"/>
      <c r="I125" s="81" t="n"/>
      <c r="J125" s="19" t="n"/>
    </row>
    <row r="126" ht="32.25" customFormat="1" customHeight="1" s="3">
      <c r="A126" s="12" t="n">
        <v>1</v>
      </c>
      <c r="B126" s="54" t="inlineStr">
        <is>
          <t>防冲刷脚墙</t>
        </is>
      </c>
      <c r="C126" s="80" t="n"/>
      <c r="D126" s="130" t="n"/>
      <c r="E126" s="130" t="n"/>
      <c r="F126" s="130">
        <f>SUM(F127:F131)</f>
        <v/>
      </c>
      <c r="G126" s="81" t="n"/>
      <c r="H126" s="81" t="n"/>
      <c r="I126" s="81" t="n"/>
      <c r="J126" s="19" t="n"/>
    </row>
    <row r="127" ht="32.25" customFormat="1" customHeight="1" s="2">
      <c r="A127" s="82" t="inlineStr">
        <is>
          <t>（1）</t>
        </is>
      </c>
      <c r="B127" s="83" t="inlineStr">
        <is>
          <t>现浇C35混凝土全埋式脚墙</t>
        </is>
      </c>
      <c r="C127" s="84" t="inlineStr">
        <is>
          <t>m³</t>
        </is>
      </c>
      <c r="D127" s="157" t="n">
        <v>368</v>
      </c>
      <c r="E127" s="157" t="n">
        <v>138</v>
      </c>
      <c r="F127" s="157">
        <f>ROUND(D127*E127,2)</f>
        <v/>
      </c>
      <c r="G127" s="85" t="inlineStr">
        <is>
          <t>按施工图尺寸计算实际圬工体积</t>
        </is>
      </c>
      <c r="H127" s="85" t="inlineStr">
        <is>
          <t>单价包含除混凝土材料外全部费用</t>
        </is>
      </c>
      <c r="I127" s="85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27" s="86" t="inlineStr">
        <is>
          <t>伸缩缝材料自供</t>
        </is>
      </c>
    </row>
    <row r="128" ht="32.25" customFormat="1" customHeight="1" s="2">
      <c r="A128" s="82" t="inlineStr">
        <is>
          <t>（2）</t>
        </is>
      </c>
      <c r="B128" s="83" t="inlineStr">
        <is>
          <t>边坡预制块装卸运输(运距290km）</t>
        </is>
      </c>
      <c r="C128" s="84" t="inlineStr">
        <is>
          <t>m³</t>
        </is>
      </c>
      <c r="D128" s="157" t="n">
        <v>316</v>
      </c>
      <c r="E128" s="157" t="n">
        <v>185</v>
      </c>
      <c r="F128" s="157">
        <f>ROUND(D128*E128,2)</f>
        <v/>
      </c>
      <c r="G128" s="85" t="inlineStr">
        <is>
          <t>按施工图尺寸计算实际圬工体积</t>
        </is>
      </c>
      <c r="H128" s="85" t="inlineStr">
        <is>
          <t>单价包含全部费用</t>
        </is>
      </c>
      <c r="I128" s="85" t="inlineStr">
        <is>
          <t>装卸车、运输至施工地点散落卸车、堆码、安全防护及文明施工等全部工作内容。</t>
        </is>
      </c>
      <c r="J128" s="86" t="n"/>
    </row>
    <row r="129" ht="32.25" customFormat="1" customHeight="1" s="2">
      <c r="A129" s="82" t="inlineStr">
        <is>
          <t>（3）</t>
        </is>
      </c>
      <c r="B129" s="83" t="inlineStr">
        <is>
          <t>边坡铺砌钢筋混凝土预制板0.5*0.5*0.1</t>
        </is>
      </c>
      <c r="C129" s="84" t="inlineStr">
        <is>
          <t>m³</t>
        </is>
      </c>
      <c r="D129" s="157" t="n">
        <v>316</v>
      </c>
      <c r="E129" s="157" t="n">
        <v>98</v>
      </c>
      <c r="F129" s="157">
        <f>ROUND(D129*E129,2)</f>
        <v/>
      </c>
      <c r="G129" s="85" t="inlineStr">
        <is>
          <t>按施工图尺寸计算实际圬工体积</t>
        </is>
      </c>
      <c r="H129" s="85" t="inlineStr">
        <is>
          <t>单价包含除预制块、泄水管、土工布外全部费用</t>
        </is>
      </c>
      <c r="I129" s="85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29" s="86" t="inlineStr">
        <is>
          <t>泄水管、土工布甲供，砂浆、伸缩缝材料自供</t>
        </is>
      </c>
    </row>
    <row r="130" ht="32.25" customFormat="1" customHeight="1" s="2">
      <c r="A130" s="82" t="inlineStr">
        <is>
          <t>（4）</t>
        </is>
      </c>
      <c r="B130" s="83" t="inlineStr">
        <is>
          <t>边坡袋装砂砾石反滤层</t>
        </is>
      </c>
      <c r="C130" s="84" t="inlineStr">
        <is>
          <t>m³</t>
        </is>
      </c>
      <c r="D130" s="157" t="n">
        <v>473</v>
      </c>
      <c r="E130" s="157" t="n">
        <v>58</v>
      </c>
      <c r="F130" s="157">
        <f>ROUND(D130*E130,2)</f>
        <v/>
      </c>
      <c r="G130" s="85" t="inlineStr">
        <is>
          <t>按施工图尺寸计算体积</t>
        </is>
      </c>
      <c r="H130" s="85" t="inlineStr">
        <is>
          <t>单价包含全部费用</t>
        </is>
      </c>
      <c r="I130" s="85" t="inlineStr">
        <is>
          <t>砂砾石装袋、倒运、边坡堆码、平顺、边坡土方修整、安全防护、文明施工等全部工作内容。</t>
        </is>
      </c>
      <c r="J130" s="92" t="inlineStr">
        <is>
          <t>编织袋自供</t>
        </is>
      </c>
    </row>
    <row r="131" ht="32.25" customFormat="1" customHeight="1" s="2">
      <c r="A131" s="82" t="inlineStr">
        <is>
          <t>（5）</t>
        </is>
      </c>
      <c r="B131" s="83" t="inlineStr">
        <is>
          <t>养护用水</t>
        </is>
      </c>
      <c r="C131" s="84" t="inlineStr">
        <is>
          <t>t</t>
        </is>
      </c>
      <c r="D131" s="157" t="n">
        <v>36.8</v>
      </c>
      <c r="E131" s="157" t="n">
        <v>18</v>
      </c>
      <c r="F131" s="157">
        <f>ROUND(D131*E131,2)</f>
        <v/>
      </c>
      <c r="G131" s="83" t="inlineStr">
        <is>
          <t>固定费用</t>
        </is>
      </c>
      <c r="H131" s="137" t="inlineStr">
        <is>
          <t xml:space="preserve">包含全部费用 </t>
        </is>
      </c>
      <c r="I131" s="83" t="inlineStr">
        <is>
          <t>水资源购置</t>
        </is>
      </c>
      <c r="J131" s="92" t="n"/>
    </row>
    <row r="132" ht="32.25" customFormat="1" customHeight="1" s="3">
      <c r="A132" s="12" t="n">
        <v>2</v>
      </c>
      <c r="B132" s="54" t="inlineStr">
        <is>
          <t>挡水墙</t>
        </is>
      </c>
      <c r="C132" s="80" t="n"/>
      <c r="D132" s="130" t="n"/>
      <c r="E132" s="130" t="n"/>
      <c r="F132" s="130">
        <f>F133+F134</f>
        <v/>
      </c>
      <c r="G132" s="81" t="n"/>
      <c r="H132" s="81" t="n"/>
      <c r="I132" s="81" t="n"/>
      <c r="J132" s="88" t="n"/>
    </row>
    <row r="133" ht="32.25" customFormat="1" customHeight="1" s="2">
      <c r="A133" s="82" t="inlineStr">
        <is>
          <t>（1）</t>
        </is>
      </c>
      <c r="B133" s="83" t="inlineStr">
        <is>
          <t>现浇C35混凝土挡水墙</t>
        </is>
      </c>
      <c r="C133" s="84" t="inlineStr">
        <is>
          <t>m³</t>
        </is>
      </c>
      <c r="D133" s="157" t="n">
        <v>1380</v>
      </c>
      <c r="E133" s="157" t="n">
        <v>142</v>
      </c>
      <c r="F133" s="157">
        <f>ROUND(D133*E133,2)</f>
        <v/>
      </c>
      <c r="G133" s="85" t="inlineStr">
        <is>
          <t>按施工图尺寸计算实际圬工体积</t>
        </is>
      </c>
      <c r="H133" s="85" t="inlineStr">
        <is>
          <t>单价包含除混凝土、泄水管、土工布材料外全部费用</t>
        </is>
      </c>
      <c r="I133" s="85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33" s="86" t="inlineStr">
        <is>
          <t>泄水管、土工布甲供，伸缩缝材料自供</t>
        </is>
      </c>
    </row>
    <row r="134" ht="32.25" customFormat="1" customHeight="1" s="2">
      <c r="A134" s="82" t="inlineStr">
        <is>
          <t>（2）</t>
        </is>
      </c>
      <c r="B134" s="83" t="inlineStr">
        <is>
          <t>养护用水</t>
        </is>
      </c>
      <c r="C134" s="84" t="inlineStr">
        <is>
          <t>t</t>
        </is>
      </c>
      <c r="D134" s="157" t="n">
        <v>138</v>
      </c>
      <c r="E134" s="157" t="n">
        <v>18</v>
      </c>
      <c r="F134" s="157">
        <f>ROUND(D134*E134,2)</f>
        <v/>
      </c>
      <c r="G134" s="83" t="inlineStr">
        <is>
          <t>固定费用</t>
        </is>
      </c>
      <c r="H134" s="137" t="inlineStr">
        <is>
          <t xml:space="preserve">包含全部费用 </t>
        </is>
      </c>
      <c r="I134" s="83" t="inlineStr">
        <is>
          <t>水资源购置</t>
        </is>
      </c>
      <c r="J134" s="86" t="n"/>
    </row>
    <row r="135" ht="32.25" customFormat="1" customHeight="1" s="3">
      <c r="A135" s="12" t="inlineStr">
        <is>
          <t>（二）</t>
        </is>
      </c>
      <c r="B135" s="54" t="inlineStr">
        <is>
          <t>防护栅栏安装</t>
        </is>
      </c>
      <c r="C135" s="80" t="inlineStr">
        <is>
          <t>m</t>
        </is>
      </c>
      <c r="D135" s="130" t="n">
        <v>2123</v>
      </c>
      <c r="E135" s="130" t="n"/>
      <c r="F135" s="130">
        <f>SUM(F136:F141)</f>
        <v/>
      </c>
      <c r="G135" s="81" t="n"/>
      <c r="H135" s="81" t="n"/>
      <c r="I135" s="81" t="n"/>
      <c r="J135" s="19" t="n"/>
    </row>
    <row r="136" ht="32.25" customFormat="1" customHeight="1" s="2">
      <c r="A136" s="12" t="n">
        <v>1</v>
      </c>
      <c r="B136" s="87" t="inlineStr">
        <is>
          <t>基础挖土方</t>
        </is>
      </c>
      <c r="C136" s="84" t="inlineStr">
        <is>
          <t>m³</t>
        </is>
      </c>
      <c r="D136" s="157" t="n">
        <v>231</v>
      </c>
      <c r="E136" s="157" t="n">
        <v>12.5</v>
      </c>
      <c r="F136" s="157">
        <f>ROUND(D136*E136,2)</f>
        <v/>
      </c>
      <c r="G136" s="83" t="inlineStr">
        <is>
          <t>按施工图尺寸体积计算</t>
        </is>
      </c>
      <c r="H136" s="137" t="inlineStr">
        <is>
          <t>全部费用</t>
        </is>
      </c>
      <c r="I136" s="83" t="inlineStr">
        <is>
          <t>按照设计尺寸挖基坑，坑底清理、安全防护、文明施工。</t>
        </is>
      </c>
      <c r="J136" s="86" t="n"/>
    </row>
    <row r="137" ht="32.25" customFormat="1" customHeight="1" s="2">
      <c r="A137" s="12" t="n">
        <v>2</v>
      </c>
      <c r="B137" s="87" t="inlineStr">
        <is>
          <t>现浇混凝土基础</t>
        </is>
      </c>
      <c r="C137" s="84" t="inlineStr">
        <is>
          <t>m³</t>
        </is>
      </c>
      <c r="D137" s="157" t="n">
        <v>88.45999999999999</v>
      </c>
      <c r="E137" s="157" t="n">
        <v>125</v>
      </c>
      <c r="F137" s="157">
        <f>ROUND(D137*E137,2)</f>
        <v/>
      </c>
      <c r="G137" s="85" t="inlineStr">
        <is>
          <t>按施工图所示，以体积计算</t>
        </is>
      </c>
      <c r="H137" s="85" t="inlineStr">
        <is>
          <t>包含除混凝土外全部费用</t>
        </is>
      </c>
      <c r="I137" s="85" t="inlineStr">
        <is>
          <t>挖基坑、回填、弃土、模版安拆、混凝土浇筑、振捣、抹平、养护、混凝土倒运、安全防护、文明施工。</t>
        </is>
      </c>
      <c r="J137" s="86" t="n"/>
    </row>
    <row r="138" ht="32.25" customFormat="1" customHeight="1" s="2">
      <c r="A138" s="12" t="n">
        <v>3</v>
      </c>
      <c r="B138" s="87" t="inlineStr">
        <is>
          <t>回填土方</t>
        </is>
      </c>
      <c r="C138" s="84" t="inlineStr">
        <is>
          <t>m³</t>
        </is>
      </c>
      <c r="D138" s="157" t="n">
        <v>143</v>
      </c>
      <c r="E138" s="157" t="n">
        <v>8.5</v>
      </c>
      <c r="F138" s="157">
        <f>ROUND(D138*E138,2)</f>
        <v/>
      </c>
      <c r="G138" s="85" t="inlineStr">
        <is>
          <t>以基坑开挖数量减去基础圬工数量计算</t>
        </is>
      </c>
      <c r="H138" s="85" t="inlineStr">
        <is>
          <t>全部费用</t>
        </is>
      </c>
      <c r="I138" s="85" t="inlineStr">
        <is>
          <t>平土、夯实、安全防护、文明施工。</t>
        </is>
      </c>
      <c r="J138" s="86" t="n"/>
    </row>
    <row r="139" ht="32.25" customFormat="1" customHeight="1" s="2">
      <c r="A139" s="12" t="n">
        <v>4</v>
      </c>
      <c r="B139" s="87" t="inlineStr">
        <is>
          <t>混凝土立柱装卸运输（运距290km）</t>
        </is>
      </c>
      <c r="C139" s="84" t="inlineStr">
        <is>
          <t>m³</t>
        </is>
      </c>
      <c r="D139" s="157" t="n">
        <v>20.38</v>
      </c>
      <c r="E139" s="157" t="n">
        <v>185</v>
      </c>
      <c r="F139" s="157">
        <f>ROUND(D139*E139,2)</f>
        <v/>
      </c>
      <c r="G139" s="85" t="inlineStr">
        <is>
          <t>按施工图所示，以体积计算</t>
        </is>
      </c>
      <c r="H139" s="85" t="inlineStr">
        <is>
          <t>单价包含全部费用</t>
        </is>
      </c>
      <c r="I139" s="85" t="inlineStr">
        <is>
          <t>装卸车、运输至施工地点散落卸车、堆码、安全防护及文明施工等全部工作内容。</t>
        </is>
      </c>
      <c r="J139" s="86" t="n"/>
    </row>
    <row r="140" ht="32.25" customFormat="1" customHeight="1" s="2">
      <c r="A140" s="12" t="n">
        <v>5</v>
      </c>
      <c r="B140" s="87" t="inlineStr">
        <is>
          <t>混凝土立柱安装</t>
        </is>
      </c>
      <c r="C140" s="84" t="inlineStr">
        <is>
          <t>m³</t>
        </is>
      </c>
      <c r="D140" s="157" t="n">
        <v>20.38</v>
      </c>
      <c r="E140" s="157" t="n">
        <v>185</v>
      </c>
      <c r="F140" s="157">
        <f>ROUND(D140*E140,2)</f>
        <v/>
      </c>
      <c r="G140" s="85" t="inlineStr">
        <is>
          <t>按施工图所示，以体积计算</t>
        </is>
      </c>
      <c r="H140" s="85" t="inlineStr">
        <is>
          <t>包含除立柱、角钢外全部费用</t>
        </is>
      </c>
      <c r="I140" s="8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材料拉运、装卸车、立柱放入基坑内、定位、设置支撑、保证立柱纵横向不移位、竖向垂直、待基础混凝土强度达到要求后撤去支撑、立柱顶部插入角钢、封水材料填充缝隙、焊接连接板、安全防护、文明施工。</t>
        </is>
      </c>
      <c r="J140" s="86" t="n"/>
    </row>
    <row r="141" ht="32.25" customFormat="1" customHeight="1" s="2">
      <c r="A141" s="12" t="n">
        <v>6</v>
      </c>
      <c r="B141" s="87" t="inlineStr">
        <is>
          <t>金属网片安装</t>
        </is>
      </c>
      <c r="C141" s="84" t="inlineStr">
        <is>
          <t>㎡</t>
        </is>
      </c>
      <c r="D141" s="157" t="n">
        <v>3821</v>
      </c>
      <c r="E141" s="157" t="n">
        <v>12.5</v>
      </c>
      <c r="F141" s="157">
        <f>ROUND(D141*E141,2)</f>
        <v/>
      </c>
      <c r="G141" s="85" t="inlineStr">
        <is>
          <t>按实际施工的有效防护栅栏面积计算</t>
        </is>
      </c>
      <c r="H141" s="85" t="inlineStr">
        <is>
          <t>包含除金属网片、螺栓、连接板、警示标志、门锁外全部费用</t>
        </is>
      </c>
      <c r="I141" s="85" t="inlineStr">
        <is>
          <t>金属网片拉运、现场途卸、场内倒运、与立柱螺栓连接、安装固定、安装栅栏门、警示标志、门锁、安全防护、文明施工。</t>
        </is>
      </c>
      <c r="J141" s="86" t="n"/>
    </row>
    <row r="142" ht="32.25" customFormat="1" customHeight="1" s="2">
      <c r="A142" s="104" t="inlineStr">
        <is>
          <t>路基附属工程DYK360+050.6-DYK362+949.38</t>
        </is>
      </c>
      <c r="B142" s="129" t="n"/>
      <c r="C142" s="12" t="n"/>
      <c r="D142" s="130" t="n"/>
      <c r="E142" s="130" t="n"/>
      <c r="F142" s="130">
        <f>F143+F194</f>
        <v/>
      </c>
      <c r="G142" s="54" t="n"/>
      <c r="H142" s="54" t="n"/>
      <c r="I142" s="54" t="n"/>
      <c r="J142" s="19" t="n"/>
    </row>
    <row r="143" ht="32.25" customFormat="1" customHeight="1" s="3">
      <c r="A143" s="101" t="inlineStr">
        <is>
          <t>一</t>
        </is>
      </c>
      <c r="B143" s="100" t="inlineStr">
        <is>
          <t>站场路基附属（海日罕站）</t>
        </is>
      </c>
      <c r="C143" s="80" t="n"/>
      <c r="D143" s="130" t="n"/>
      <c r="E143" s="130" t="n"/>
      <c r="F143" s="130">
        <f>F144+F156+F168+F175</f>
        <v/>
      </c>
      <c r="G143" s="81" t="n"/>
      <c r="H143" s="81" t="n"/>
      <c r="I143" s="81" t="n"/>
      <c r="J143" s="19" t="n"/>
    </row>
    <row r="144" ht="32.25" customFormat="1" customHeight="1" s="3">
      <c r="A144" s="12" t="inlineStr">
        <is>
          <t>（一）</t>
        </is>
      </c>
      <c r="B144" s="54" t="inlineStr">
        <is>
          <t>边坡防护与加固</t>
        </is>
      </c>
      <c r="C144" s="80" t="n"/>
      <c r="D144" s="130" t="n"/>
      <c r="E144" s="130" t="n"/>
      <c r="F144" s="130">
        <f>F145+F148+F153</f>
        <v/>
      </c>
      <c r="G144" s="81" t="n"/>
      <c r="H144" s="81" t="n"/>
      <c r="I144" s="81" t="n"/>
      <c r="J144" s="19" t="n"/>
    </row>
    <row r="145" ht="32.25" customFormat="1" customHeight="1" s="3">
      <c r="A145" s="12" t="n">
        <v>1</v>
      </c>
      <c r="B145" s="54" t="inlineStr">
        <is>
          <t>护肩</t>
        </is>
      </c>
      <c r="C145" s="80" t="n"/>
      <c r="D145" s="130" t="n"/>
      <c r="E145" s="130" t="n"/>
      <c r="F145" s="130">
        <f>SUM(F146:F147)</f>
        <v/>
      </c>
      <c r="G145" s="81" t="n"/>
      <c r="H145" s="81" t="n"/>
      <c r="I145" s="81" t="n"/>
      <c r="J145" s="19" t="n"/>
    </row>
    <row r="146" ht="32.25" customFormat="1" customHeight="1" s="2">
      <c r="A146" s="82" t="inlineStr">
        <is>
          <t>（1）</t>
        </is>
      </c>
      <c r="B146" s="83" t="inlineStr">
        <is>
          <t>现浇护肩C25混凝土</t>
        </is>
      </c>
      <c r="C146" s="84" t="inlineStr">
        <is>
          <t>m³</t>
        </is>
      </c>
      <c r="D146" s="157" t="n">
        <v>1069</v>
      </c>
      <c r="E146" s="157" t="n">
        <v>125</v>
      </c>
      <c r="F146" s="157">
        <f>ROUND(D146*E146,2)</f>
        <v/>
      </c>
      <c r="G146" s="85" t="inlineStr">
        <is>
          <t>按施工图尺寸计算实际圬工体积</t>
        </is>
      </c>
      <c r="H146" s="85" t="inlineStr">
        <is>
          <t>单价包含除混凝土、排水管、土工布外全部费用</t>
        </is>
      </c>
      <c r="I146" s="85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46" s="86" t="inlineStr">
        <is>
          <t>排水管、土工布甲供</t>
        </is>
      </c>
    </row>
    <row r="147" ht="32.25" customFormat="1" customHeight="1" s="2">
      <c r="A147" s="82" t="inlineStr">
        <is>
          <t>（2）</t>
        </is>
      </c>
      <c r="B147" s="83" t="inlineStr">
        <is>
          <t>养护用水</t>
        </is>
      </c>
      <c r="C147" s="84" t="inlineStr">
        <is>
          <t>t</t>
        </is>
      </c>
      <c r="D147" s="157">
        <f>D146*0.2</f>
        <v/>
      </c>
      <c r="E147" s="157" t="n">
        <v>18</v>
      </c>
      <c r="F147" s="157">
        <f>ROUND(D147*E147,2)</f>
        <v/>
      </c>
      <c r="G147" s="83" t="inlineStr">
        <is>
          <t>固定费用</t>
        </is>
      </c>
      <c r="H147" s="137" t="inlineStr">
        <is>
          <t xml:space="preserve">包含全部费用 </t>
        </is>
      </c>
      <c r="I147" s="83" t="inlineStr">
        <is>
          <t>水资源购置</t>
        </is>
      </c>
      <c r="J147" s="86" t="n"/>
    </row>
    <row r="148" ht="32.25" customFormat="1" customHeight="1" s="3">
      <c r="A148" s="12" t="n">
        <v>2</v>
      </c>
      <c r="B148" s="54" t="inlineStr">
        <is>
          <t>坡面排水槽（路堤、路堑）</t>
        </is>
      </c>
      <c r="C148" s="80" t="n"/>
      <c r="D148" s="130" t="n"/>
      <c r="E148" s="130" t="n"/>
      <c r="F148" s="130">
        <f>SUM(F149:F152)</f>
        <v/>
      </c>
      <c r="G148" s="81" t="n"/>
      <c r="H148" s="81" t="n"/>
      <c r="I148" s="81" t="n"/>
      <c r="J148" s="19" t="n"/>
    </row>
    <row r="149" ht="32.25" customFormat="1" customHeight="1" s="2">
      <c r="A149" s="82" t="inlineStr">
        <is>
          <t>（1）</t>
        </is>
      </c>
      <c r="B149" s="83" t="inlineStr">
        <is>
          <t>排水槽预制块装卸运输（运距290km）</t>
        </is>
      </c>
      <c r="C149" s="84" t="inlineStr">
        <is>
          <t>m³</t>
        </is>
      </c>
      <c r="D149" s="157" t="n">
        <v>132.4</v>
      </c>
      <c r="E149" s="157" t="n">
        <v>185</v>
      </c>
      <c r="F149" s="157">
        <f>ROUND(D149*E149,2)</f>
        <v/>
      </c>
      <c r="G149" s="85" t="inlineStr">
        <is>
          <t>按施工图尺寸计算实际圬工体积</t>
        </is>
      </c>
      <c r="H149" s="85" t="inlineStr">
        <is>
          <t>单价包含全部费用</t>
        </is>
      </c>
      <c r="I149" s="85" t="inlineStr">
        <is>
          <t>装卸车、运输至施工地点散落卸车、堆码、安全防护及文明施工等全部工作内容。</t>
        </is>
      </c>
      <c r="J149" s="86" t="n"/>
    </row>
    <row r="150" ht="32.25" customFormat="1" customHeight="1" s="2">
      <c r="A150" s="82" t="inlineStr">
        <is>
          <t>（2）</t>
        </is>
      </c>
      <c r="B150" s="83" t="inlineStr">
        <is>
          <t>铺砌排水槽C25混凝土预制块</t>
        </is>
      </c>
      <c r="C150" s="84" t="inlineStr">
        <is>
          <t>m³</t>
        </is>
      </c>
      <c r="D150" s="157" t="n">
        <v>132.4</v>
      </c>
      <c r="E150" s="157" t="n">
        <v>88</v>
      </c>
      <c r="F150" s="157">
        <f>ROUND(D150*E150,2)</f>
        <v/>
      </c>
      <c r="G150" s="85" t="inlineStr">
        <is>
          <t>按施工图尺寸计算实际圬工体积</t>
        </is>
      </c>
      <c r="H150" s="85" t="inlineStr">
        <is>
          <t>单价包含除预制块外全部费用</t>
        </is>
      </c>
      <c r="I150" s="85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50" s="86" t="inlineStr">
        <is>
          <t>砂浆自供</t>
        </is>
      </c>
    </row>
    <row r="151" ht="32.25" customFormat="1" customHeight="1" s="2">
      <c r="A151" s="82" t="inlineStr">
        <is>
          <t>（3）</t>
        </is>
      </c>
      <c r="B151" s="83" t="inlineStr">
        <is>
          <t>现浇上镶边、下镶边、基础、踏步C25混凝土</t>
        </is>
      </c>
      <c r="C151" s="84" t="inlineStr">
        <is>
          <t>m³</t>
        </is>
      </c>
      <c r="D151" s="157" t="n">
        <v>1931.2</v>
      </c>
      <c r="E151" s="157" t="n">
        <v>118</v>
      </c>
      <c r="F151" s="157">
        <f>ROUND(D151*E151,2)</f>
        <v/>
      </c>
      <c r="G151" s="85" t="inlineStr">
        <is>
          <t>按施工图尺寸计算实际圬工体积</t>
        </is>
      </c>
      <c r="H151" s="85" t="inlineStr">
        <is>
          <t>单价包含除混凝土外的全部费用</t>
        </is>
      </c>
      <c r="I151" s="85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51" s="86" t="inlineStr">
        <is>
          <t>伸缩缝材料自供</t>
        </is>
      </c>
    </row>
    <row r="152" ht="32.25" customFormat="1" customHeight="1" s="2">
      <c r="A152" s="82" t="inlineStr">
        <is>
          <t>（4）</t>
        </is>
      </c>
      <c r="B152" s="83" t="inlineStr">
        <is>
          <t>养护用水</t>
        </is>
      </c>
      <c r="C152" s="84" t="inlineStr">
        <is>
          <t>t</t>
        </is>
      </c>
      <c r="D152" s="157">
        <f>D151*0.1</f>
        <v/>
      </c>
      <c r="E152" s="157" t="n">
        <v>18</v>
      </c>
      <c r="F152" s="157">
        <f>ROUND(D152*E152,2)</f>
        <v/>
      </c>
      <c r="G152" s="83" t="inlineStr">
        <is>
          <t>固定费用</t>
        </is>
      </c>
      <c r="H152" s="137" t="inlineStr">
        <is>
          <t xml:space="preserve">包含全部费用 </t>
        </is>
      </c>
      <c r="I152" s="83" t="inlineStr">
        <is>
          <t>水资源购置</t>
        </is>
      </c>
      <c r="J152" s="86" t="n"/>
    </row>
    <row r="153" ht="32.25" customFormat="1" customHeight="1" s="3">
      <c r="A153" s="12" t="n">
        <v>3</v>
      </c>
      <c r="B153" s="54" t="inlineStr">
        <is>
          <t>骨架拱型护坡</t>
        </is>
      </c>
      <c r="C153" s="80" t="n"/>
      <c r="D153" s="130" t="n"/>
      <c r="E153" s="130" t="n"/>
      <c r="F153" s="130">
        <f>SUM(F154:F155)</f>
        <v/>
      </c>
      <c r="G153" s="81" t="n"/>
      <c r="H153" s="81" t="n"/>
      <c r="I153" s="81" t="n"/>
      <c r="J153" s="19" t="n"/>
    </row>
    <row r="154" ht="32.25" customFormat="1" customHeight="1" s="2">
      <c r="A154" s="82" t="inlineStr">
        <is>
          <t>（1）</t>
        </is>
      </c>
      <c r="B154" s="83" t="inlineStr">
        <is>
          <t>现浇骨架护坡混凝土（镶边、骨架、踏步、基础）</t>
        </is>
      </c>
      <c r="C154" s="84" t="inlineStr">
        <is>
          <t>m³</t>
        </is>
      </c>
      <c r="D154" s="157" t="n">
        <v>2110.4</v>
      </c>
      <c r="E154" s="157" t="n">
        <v>128</v>
      </c>
      <c r="F154" s="157">
        <f>ROUND(D154*E154,2)</f>
        <v/>
      </c>
      <c r="G154" s="85" t="inlineStr">
        <is>
          <t>按施工图尺寸计算实际圬工体积</t>
        </is>
      </c>
      <c r="H154" s="85" t="inlineStr">
        <is>
          <t xml:space="preserve">单价包含除混凝土外全部费用 </t>
        </is>
      </c>
      <c r="I154" s="85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54" s="86" t="inlineStr">
        <is>
          <t>伸缩缝材料自供</t>
        </is>
      </c>
    </row>
    <row r="155" ht="32.25" customFormat="1" customHeight="1" s="2">
      <c r="A155" s="82" t="inlineStr">
        <is>
          <t>（2）</t>
        </is>
      </c>
      <c r="B155" s="83" t="inlineStr">
        <is>
          <t>养护用水</t>
        </is>
      </c>
      <c r="C155" s="84" t="inlineStr">
        <is>
          <t>t</t>
        </is>
      </c>
      <c r="D155" s="157">
        <f>D154*0.1</f>
        <v/>
      </c>
      <c r="E155" s="157" t="n">
        <v>18</v>
      </c>
      <c r="F155" s="157">
        <f>ROUND(D155*E155,2)</f>
        <v/>
      </c>
      <c r="G155" s="83" t="inlineStr">
        <is>
          <t>固定费用</t>
        </is>
      </c>
      <c r="H155" s="137" t="inlineStr">
        <is>
          <t xml:space="preserve">包含全部费用 </t>
        </is>
      </c>
      <c r="I155" s="83" t="inlineStr">
        <is>
          <t>水资源购置</t>
        </is>
      </c>
      <c r="J155" s="86" t="n"/>
    </row>
    <row r="156" ht="32.25" customFormat="1" customHeight="1" s="3">
      <c r="A156" s="12" t="inlineStr">
        <is>
          <t>（二）</t>
        </is>
      </c>
      <c r="B156" s="54" t="inlineStr">
        <is>
          <t>排水工程</t>
        </is>
      </c>
      <c r="C156" s="80" t="n"/>
      <c r="D156" s="130" t="n"/>
      <c r="E156" s="130" t="n"/>
      <c r="F156" s="130">
        <f>F157+F160+F164</f>
        <v/>
      </c>
      <c r="G156" s="81" t="n"/>
      <c r="H156" s="81" t="n"/>
      <c r="I156" s="81" t="n"/>
      <c r="J156" s="19" t="n"/>
    </row>
    <row r="157" ht="32.25" customFormat="1" customHeight="1" s="3">
      <c r="A157" s="12" t="n">
        <v>1</v>
      </c>
      <c r="B157" s="54" t="inlineStr">
        <is>
          <t>侧沟沟身</t>
        </is>
      </c>
      <c r="C157" s="80" t="n"/>
      <c r="D157" s="130" t="n"/>
      <c r="E157" s="130" t="n"/>
      <c r="F157" s="130">
        <f>F158+F159</f>
        <v/>
      </c>
      <c r="G157" s="81" t="n"/>
      <c r="H157" s="81" t="n"/>
      <c r="I157" s="81" t="n"/>
      <c r="J157" s="19" t="n"/>
    </row>
    <row r="158" ht="32.25" customFormat="1" customHeight="1" s="2">
      <c r="A158" s="82" t="inlineStr">
        <is>
          <t>（1）</t>
        </is>
      </c>
      <c r="B158" s="83" t="inlineStr">
        <is>
          <t>沟身预制混凝土块装卸运输(运距290km）</t>
        </is>
      </c>
      <c r="C158" s="84" t="inlineStr">
        <is>
          <t>m³</t>
        </is>
      </c>
      <c r="D158" s="157" t="n">
        <v>1031</v>
      </c>
      <c r="E158" s="157" t="n">
        <v>185</v>
      </c>
      <c r="F158" s="157">
        <f>ROUND(D158*E158,2)</f>
        <v/>
      </c>
      <c r="G158" s="85" t="inlineStr">
        <is>
          <t>按施工图尺寸计算实际圬工体积</t>
        </is>
      </c>
      <c r="H158" s="85" t="inlineStr">
        <is>
          <t>单价包含全部费用</t>
        </is>
      </c>
      <c r="I158" s="85" t="inlineStr">
        <is>
          <t>装卸车、运输至施工地点散落卸车、堆码、安全防护及文明施工等全部工作内容。</t>
        </is>
      </c>
      <c r="J158" s="86" t="n"/>
    </row>
    <row r="159" ht="32.25" customFormat="1" customHeight="1" s="2">
      <c r="A159" s="82" t="inlineStr">
        <is>
          <t>（2）</t>
        </is>
      </c>
      <c r="B159" s="83" t="inlineStr">
        <is>
          <t>安装沟身预制混凝土块</t>
        </is>
      </c>
      <c r="C159" s="84" t="inlineStr">
        <is>
          <t>m³</t>
        </is>
      </c>
      <c r="D159" s="157" t="n">
        <v>1031</v>
      </c>
      <c r="E159" s="157" t="n">
        <v>92</v>
      </c>
      <c r="F159" s="157">
        <f>ROUND(D159*E159,2)</f>
        <v/>
      </c>
      <c r="G159" s="85" t="inlineStr">
        <is>
          <t>按施工图尺寸计算实际圬工体积</t>
        </is>
      </c>
      <c r="H159" s="85" t="inlineStr">
        <is>
          <t>单价包含除预制块、泄水管、土工布外全部费用</t>
        </is>
      </c>
      <c r="I159" s="85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159" s="86" t="inlineStr">
        <is>
          <t>泄水管、土工布甲供，砂浆、伸缩缝材料自供</t>
        </is>
      </c>
    </row>
    <row r="160" ht="32.25" customFormat="1" customHeight="1" s="3">
      <c r="A160" s="12" t="n">
        <v>2</v>
      </c>
      <c r="B160" s="54" t="inlineStr">
        <is>
          <t>侧沟平台</t>
        </is>
      </c>
      <c r="C160" s="80" t="n"/>
      <c r="D160" s="130" t="n"/>
      <c r="E160" s="130" t="n"/>
      <c r="F160" s="130">
        <f>SUM(F161:F163)</f>
        <v/>
      </c>
      <c r="G160" s="81" t="n"/>
      <c r="H160" s="81" t="n"/>
      <c r="I160" s="81" t="n"/>
      <c r="J160" s="19" t="n"/>
    </row>
    <row r="161" ht="32.25" customFormat="1" customHeight="1" s="2">
      <c r="A161" s="82" t="inlineStr">
        <is>
          <t>（1）</t>
        </is>
      </c>
      <c r="B161" s="83" t="inlineStr">
        <is>
          <t>侧沟平台预制混凝土块装卸运输(运距290km）</t>
        </is>
      </c>
      <c r="C161" s="84" t="inlineStr">
        <is>
          <t>m³</t>
        </is>
      </c>
      <c r="D161" s="157" t="n">
        <v>610</v>
      </c>
      <c r="E161" s="157" t="n">
        <v>185</v>
      </c>
      <c r="F161" s="157">
        <f>ROUND(D161*E161,2)</f>
        <v/>
      </c>
      <c r="G161" s="85" t="inlineStr">
        <is>
          <t>按施工图尺寸计算实际圬工体积</t>
        </is>
      </c>
      <c r="H161" s="85" t="inlineStr">
        <is>
          <t>单价包含全部费用</t>
        </is>
      </c>
      <c r="I161" s="85" t="inlineStr">
        <is>
          <t>装卸车、运输至施工地点散落卸车、堆码、安全防护及文明施工等全部工作内容。</t>
        </is>
      </c>
      <c r="J161" s="86" t="n"/>
    </row>
    <row r="162" ht="32.25" customFormat="1" customHeight="1" s="2">
      <c r="A162" s="82" t="inlineStr">
        <is>
          <t>（2）</t>
        </is>
      </c>
      <c r="B162" s="83" t="inlineStr">
        <is>
          <t>安装侧沟平台预制块</t>
        </is>
      </c>
      <c r="C162" s="84" t="inlineStr">
        <is>
          <t>m³</t>
        </is>
      </c>
      <c r="D162" s="157" t="n">
        <v>610</v>
      </c>
      <c r="E162" s="157" t="n">
        <v>72</v>
      </c>
      <c r="F162" s="157">
        <f>ROUND(D162*E162,2)</f>
        <v/>
      </c>
      <c r="G162" s="85" t="inlineStr">
        <is>
          <t>按施工图尺寸计算实际圬工体积</t>
        </is>
      </c>
      <c r="H162" s="85" t="inlineStr">
        <is>
          <t>单价包含除预制块外全部费用</t>
        </is>
      </c>
      <c r="I162" s="85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162" s="56" t="inlineStr">
        <is>
          <t>砂浆自供</t>
        </is>
      </c>
    </row>
    <row r="163" ht="32.25" customFormat="1" customHeight="1" s="2">
      <c r="A163" s="82" t="inlineStr">
        <is>
          <t>（3）</t>
        </is>
      </c>
      <c r="B163" s="87" t="inlineStr">
        <is>
          <t>清理既有平台上积沙</t>
        </is>
      </c>
      <c r="C163" s="84" t="inlineStr">
        <is>
          <t>m³</t>
        </is>
      </c>
      <c r="D163" s="157" t="n">
        <v>915</v>
      </c>
      <c r="E163" s="157" t="n">
        <v>8.5</v>
      </c>
      <c r="F163" s="157">
        <f>ROUND(D163*E163,2)</f>
        <v/>
      </c>
      <c r="G163" s="85" t="inlineStr">
        <is>
          <t>按实际清理数量计算</t>
        </is>
      </c>
      <c r="H163" s="85" t="inlineStr">
        <is>
          <t>单价包含全部费用</t>
        </is>
      </c>
      <c r="I163" s="85" t="inlineStr">
        <is>
          <t>人工清理，运出路基外、安全防护及文明施工。</t>
        </is>
      </c>
      <c r="J163" s="56" t="n"/>
    </row>
    <row r="164" ht="32.25" customFormat="1" customHeight="1" s="3">
      <c r="A164" s="103" t="inlineStr">
        <is>
          <t>3</t>
        </is>
      </c>
      <c r="B164" s="100" t="inlineStr">
        <is>
          <t>吊钩（急流槽）</t>
        </is>
      </c>
      <c r="C164" s="80" t="n"/>
      <c r="D164" s="130" t="n"/>
      <c r="E164" s="130" t="n"/>
      <c r="F164" s="130">
        <f>F165+F166+F167</f>
        <v/>
      </c>
      <c r="G164" s="81" t="n"/>
      <c r="H164" s="81" t="n"/>
      <c r="I164" s="81" t="n"/>
      <c r="J164" s="28" t="n"/>
    </row>
    <row r="165" ht="32.25" customFormat="1" customHeight="1" s="2">
      <c r="A165" s="82" t="inlineStr">
        <is>
          <t>（1）</t>
        </is>
      </c>
      <c r="B165" s="87" t="inlineStr">
        <is>
          <t>现浇混凝土</t>
        </is>
      </c>
      <c r="C165" s="84" t="inlineStr">
        <is>
          <t>m³</t>
        </is>
      </c>
      <c r="D165" s="157" t="n">
        <v>462</v>
      </c>
      <c r="E165" s="157" t="n">
        <v>128</v>
      </c>
      <c r="F165" s="157">
        <f>ROUND(D165*E165,2)</f>
        <v/>
      </c>
      <c r="G165" s="85" t="inlineStr">
        <is>
          <t>按施工图尺寸计算实际圬工体积</t>
        </is>
      </c>
      <c r="H165" s="85" t="inlineStr">
        <is>
          <t>单价包含除混凝土外全部费用</t>
        </is>
      </c>
      <c r="I165" s="85" t="inlineStr">
        <is>
          <t>挖基、弃土、模板制安拆，混凝土倒运、浇筑、振捣及养护、回填、清理工作场地、安全防护及文明施工等全部工作内容。</t>
        </is>
      </c>
      <c r="J165" s="56" t="n"/>
    </row>
    <row r="166" ht="32.25" customFormat="1" customHeight="1" s="2">
      <c r="A166" s="82" t="inlineStr">
        <is>
          <t>（2）</t>
        </is>
      </c>
      <c r="B166" s="87" t="inlineStr">
        <is>
          <t>钢筋制作安装</t>
        </is>
      </c>
      <c r="C166" s="84" t="inlineStr">
        <is>
          <t>kg</t>
        </is>
      </c>
      <c r="D166" s="157" t="n">
        <v>72.45</v>
      </c>
      <c r="E166" s="157" t="n">
        <v>780</v>
      </c>
      <c r="F166" s="157">
        <f>ROUND(D166*E166,2)</f>
        <v/>
      </c>
      <c r="G166" s="85" t="inlineStr">
        <is>
          <t>按施工图计算重量，不计搭接及损耗</t>
        </is>
      </c>
      <c r="H166" s="85" t="inlineStr">
        <is>
          <t>除钢筋材料外全部费用</t>
        </is>
      </c>
      <c r="I166" s="85" t="inlineStr">
        <is>
          <t>材料拉运、装卸车、钢筋除锈、制作、绑扎、安装、安全防护及文明施工</t>
        </is>
      </c>
      <c r="J166" s="56" t="n"/>
    </row>
    <row r="167" ht="32.25" customFormat="1" customHeight="1" s="2">
      <c r="A167" s="82" t="inlineStr">
        <is>
          <t>（3）</t>
        </is>
      </c>
      <c r="B167" s="83" t="inlineStr">
        <is>
          <t>养护用水</t>
        </is>
      </c>
      <c r="C167" s="84" t="inlineStr">
        <is>
          <t>t</t>
        </is>
      </c>
      <c r="D167" s="157">
        <f>D165*0.2</f>
        <v/>
      </c>
      <c r="E167" s="157" t="n">
        <v>18</v>
      </c>
      <c r="F167" s="157">
        <f>ROUND(D167*E167,2)</f>
        <v/>
      </c>
      <c r="G167" s="83" t="inlineStr">
        <is>
          <t>固定费用</t>
        </is>
      </c>
      <c r="H167" s="137" t="inlineStr">
        <is>
          <t xml:space="preserve">包含全部费用 </t>
        </is>
      </c>
      <c r="I167" s="83" t="inlineStr">
        <is>
          <t>水资源购置</t>
        </is>
      </c>
      <c r="J167" s="56" t="n"/>
    </row>
    <row r="168" ht="32.25" customFormat="1" customHeight="1" s="3">
      <c r="A168" s="12" t="inlineStr">
        <is>
          <t>（三）</t>
        </is>
      </c>
      <c r="B168" s="54" t="inlineStr">
        <is>
          <t>防护栅栏安装</t>
        </is>
      </c>
      <c r="C168" s="80" t="inlineStr">
        <is>
          <t>m</t>
        </is>
      </c>
      <c r="D168" s="130" t="n"/>
      <c r="E168" s="130" t="n"/>
      <c r="F168" s="130">
        <f>SUM(F169:F174)</f>
        <v/>
      </c>
      <c r="G168" s="81" t="n"/>
      <c r="H168" s="81" t="n"/>
      <c r="I168" s="81" t="n"/>
      <c r="J168" s="19" t="n"/>
    </row>
    <row r="169" ht="32.25" customFormat="1" customHeight="1" s="2">
      <c r="A169" s="12" t="n">
        <v>1</v>
      </c>
      <c r="B169" s="87" t="inlineStr">
        <is>
          <t>基础挖土方</t>
        </is>
      </c>
      <c r="C169" s="84" t="inlineStr">
        <is>
          <t>m³</t>
        </is>
      </c>
      <c r="D169" s="157" t="n">
        <v>642</v>
      </c>
      <c r="E169" s="157" t="n">
        <v>12.5</v>
      </c>
      <c r="F169" s="157">
        <f>ROUND(D169*E169,2)</f>
        <v/>
      </c>
      <c r="G169" s="83" t="inlineStr">
        <is>
          <t>按施工图尺寸体积计算</t>
        </is>
      </c>
      <c r="H169" s="137" t="inlineStr">
        <is>
          <t>全部费用</t>
        </is>
      </c>
      <c r="I169" s="83" t="inlineStr">
        <is>
          <t>按照设计尺寸挖基坑，坑底清理、安全防护及文明施工。</t>
        </is>
      </c>
      <c r="J169" s="86" t="n"/>
    </row>
    <row r="170" ht="32.25" customFormat="1" customHeight="1" s="2">
      <c r="A170" s="12" t="n">
        <v>2</v>
      </c>
      <c r="B170" s="87" t="inlineStr">
        <is>
          <t>现浇混凝土基础</t>
        </is>
      </c>
      <c r="C170" s="84" t="inlineStr">
        <is>
          <t>m³</t>
        </is>
      </c>
      <c r="D170" s="157" t="n">
        <v>245.82</v>
      </c>
      <c r="E170" s="157" t="n">
        <v>125</v>
      </c>
      <c r="F170" s="157">
        <f>ROUND(D170*E170,2)</f>
        <v/>
      </c>
      <c r="G170" s="85" t="inlineStr">
        <is>
          <t>按施工图所示，以体积计算</t>
        </is>
      </c>
      <c r="H170" s="85" t="inlineStr">
        <is>
          <t>包含除混凝土外全部费用</t>
        </is>
      </c>
      <c r="I170" s="85" t="inlineStr">
        <is>
          <t>挖基坑、回填、弃土、模版安拆、混凝土浇筑、振捣、抹平、养护、混凝土倒运、安全防护及文明施工。</t>
        </is>
      </c>
      <c r="J170" s="86" t="n"/>
    </row>
    <row r="171" ht="32.25" customFormat="1" customHeight="1" s="2">
      <c r="A171" s="12" t="n">
        <v>3</v>
      </c>
      <c r="B171" s="87" t="inlineStr">
        <is>
          <t>回填土方</t>
        </is>
      </c>
      <c r="C171" s="84" t="inlineStr">
        <is>
          <t>m³</t>
        </is>
      </c>
      <c r="D171" s="157" t="n">
        <v>397</v>
      </c>
      <c r="E171" s="157" t="n">
        <v>8.5</v>
      </c>
      <c r="F171" s="157">
        <f>ROUND(D171*E171,2)</f>
        <v/>
      </c>
      <c r="G171" s="85" t="inlineStr">
        <is>
          <t>以基坑开挖数量减去基础圬工数量计算</t>
        </is>
      </c>
      <c r="H171" s="85" t="inlineStr">
        <is>
          <t>全部费用</t>
        </is>
      </c>
      <c r="I171" s="85" t="inlineStr">
        <is>
          <t>平土、夯实、安全防护及文明施工。</t>
        </is>
      </c>
      <c r="J171" s="86" t="n"/>
    </row>
    <row r="172" ht="32.25" customFormat="1" customHeight="1" s="2">
      <c r="A172" s="12" t="n">
        <v>4</v>
      </c>
      <c r="B172" s="87" t="inlineStr">
        <is>
          <t>混凝土立柱装卸运输（运距290km）</t>
        </is>
      </c>
      <c r="C172" s="84" t="inlineStr">
        <is>
          <t>m³</t>
        </is>
      </c>
      <c r="D172" s="157" t="n">
        <v>56.64</v>
      </c>
      <c r="E172" s="157" t="n">
        <v>185</v>
      </c>
      <c r="F172" s="157">
        <f>ROUND(D172*E172,2)</f>
        <v/>
      </c>
      <c r="G172" s="85" t="inlineStr">
        <is>
          <t>按施工图所示，以体积计算</t>
        </is>
      </c>
      <c r="H172" s="85" t="inlineStr">
        <is>
          <t>单价包含全部费用</t>
        </is>
      </c>
      <c r="I172" s="85" t="inlineStr">
        <is>
          <t>装卸车、运输至施工地点散落卸车、堆码、安全防护及文明施工等全部工作内容。</t>
        </is>
      </c>
      <c r="J172" s="86" t="n"/>
    </row>
    <row r="173" ht="32.25" customFormat="1" customHeight="1" s="2">
      <c r="A173" s="12" t="n">
        <v>5</v>
      </c>
      <c r="B173" s="87" t="inlineStr">
        <is>
          <t>混凝土立柱安装</t>
        </is>
      </c>
      <c r="C173" s="84" t="inlineStr">
        <is>
          <t>m³</t>
        </is>
      </c>
      <c r="D173" s="157" t="n">
        <v>56.64</v>
      </c>
      <c r="E173" s="157" t="n">
        <v>185</v>
      </c>
      <c r="F173" s="157">
        <f>ROUND(D173*E173,2)</f>
        <v/>
      </c>
      <c r="G173" s="85" t="inlineStr">
        <is>
          <t>按施工图所示，以根数计算</t>
        </is>
      </c>
      <c r="H173" s="85" t="inlineStr">
        <is>
          <t>包含除立柱、角钢外全部费用</t>
        </is>
      </c>
      <c r="I173" s="8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73" s="86" t="n"/>
    </row>
    <row r="174" ht="32.25" customFormat="1" customHeight="1" s="2">
      <c r="A174" s="12" t="n">
        <v>6</v>
      </c>
      <c r="B174" s="87" t="inlineStr">
        <is>
          <t>金属网片安装</t>
        </is>
      </c>
      <c r="C174" s="84" t="inlineStr">
        <is>
          <t>㎡</t>
        </is>
      </c>
      <c r="D174" s="157" t="n">
        <v>10619</v>
      </c>
      <c r="E174" s="157" t="n">
        <v>12.5</v>
      </c>
      <c r="F174" s="157">
        <f>ROUND(D174*E174,2)</f>
        <v/>
      </c>
      <c r="G174" s="85" t="inlineStr">
        <is>
          <t>按实际施工的有效防护栅栏面积计算</t>
        </is>
      </c>
      <c r="H174" s="85" t="inlineStr">
        <is>
          <t>包含除金属网片、螺栓、连接板、警示标志、门锁外全部费用</t>
        </is>
      </c>
      <c r="I174" s="85" t="inlineStr">
        <is>
          <t>金属网片拉运、现场途卸、场内倒运、与立柱螺栓连接、安装固定、安装栅栏门、警示标志、门锁、安全防护及文明施工。</t>
        </is>
      </c>
      <c r="J174" s="86" t="n"/>
    </row>
    <row r="175" ht="32.25" customFormat="1" customHeight="1" s="3">
      <c r="A175" s="12" t="inlineStr">
        <is>
          <t>（四）</t>
        </is>
      </c>
      <c r="B175" s="54" t="inlineStr">
        <is>
          <t>电缆槽及电缆井</t>
        </is>
      </c>
      <c r="C175" s="80" t="n"/>
      <c r="D175" s="130" t="n"/>
      <c r="E175" s="130" t="n"/>
      <c r="F175" s="130">
        <f>F176+F183+F190</f>
        <v/>
      </c>
      <c r="G175" s="28" t="n"/>
      <c r="H175" s="81" t="n"/>
      <c r="I175" s="81" t="n"/>
      <c r="J175" s="88" t="n"/>
    </row>
    <row r="176" ht="32.25" customFormat="1" customHeight="1" s="3">
      <c r="A176" s="12" t="n">
        <v>1</v>
      </c>
      <c r="B176" s="89" t="inlineStr">
        <is>
          <t>电缆槽</t>
        </is>
      </c>
      <c r="C176" s="80" t="n"/>
      <c r="D176" s="130" t="n"/>
      <c r="E176" s="130" t="n"/>
      <c r="F176" s="130">
        <f>SUM(F177:F182)</f>
        <v/>
      </c>
      <c r="G176" s="28" t="n"/>
      <c r="H176" s="81" t="n"/>
      <c r="I176" s="81" t="n"/>
      <c r="J176" s="88" t="n"/>
    </row>
    <row r="177" ht="32.25" customFormat="1" customHeight="1" s="2">
      <c r="A177" s="90" t="inlineStr">
        <is>
          <t>（1）</t>
        </is>
      </c>
      <c r="B177" s="91" t="inlineStr">
        <is>
          <t>预制C30混凝土电缆槽装卸运输(运距290km）</t>
        </is>
      </c>
      <c r="C177" s="84" t="inlineStr">
        <is>
          <t>m³</t>
        </is>
      </c>
      <c r="D177" s="157" t="n">
        <v>483.56</v>
      </c>
      <c r="E177" s="157" t="n">
        <v>185</v>
      </c>
      <c r="F177" s="157">
        <f>ROUND(D177*E177,2)</f>
        <v/>
      </c>
      <c r="G177" s="85" t="inlineStr">
        <is>
          <t>按施工图尺寸计算实际圬工体积</t>
        </is>
      </c>
      <c r="H177" s="85" t="inlineStr">
        <is>
          <t>单价包含全部费用</t>
        </is>
      </c>
      <c r="I177" s="85" t="inlineStr">
        <is>
          <t>装卸车、运输至施工地点散落卸车、堆码、安全防护及文明施工等全部工作内容。</t>
        </is>
      </c>
      <c r="J177" s="86" t="n"/>
    </row>
    <row r="178" ht="32.25" customFormat="1" customHeight="1" s="2">
      <c r="A178" s="90" t="inlineStr">
        <is>
          <t>（2）</t>
        </is>
      </c>
      <c r="B178" s="83" t="inlineStr">
        <is>
          <t>电缆槽安装</t>
        </is>
      </c>
      <c r="C178" s="84" t="inlineStr">
        <is>
          <t>m³</t>
        </is>
      </c>
      <c r="D178" s="157" t="n">
        <v>483.56</v>
      </c>
      <c r="E178" s="157" t="n">
        <v>88</v>
      </c>
      <c r="F178" s="157">
        <f>ROUND(D178*E178,2)</f>
        <v/>
      </c>
      <c r="G178" s="56" t="inlineStr">
        <is>
          <t>按施工图尺寸计算实际圬工体积</t>
        </is>
      </c>
      <c r="H178" s="85" t="inlineStr">
        <is>
          <t>除电缆槽、泄水管、铁丝网外全部费用</t>
        </is>
      </c>
      <c r="I178" s="56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78" s="92" t="inlineStr">
        <is>
          <t>泄水管、铁丝网甲供，砂浆自供</t>
        </is>
      </c>
    </row>
    <row r="179" ht="32.25" customFormat="1" customHeight="1" s="2">
      <c r="A179" s="90" t="inlineStr">
        <is>
          <t>（3）</t>
        </is>
      </c>
      <c r="B179" s="91" t="inlineStr">
        <is>
          <t>预制C30混凝土电缆槽盖板装卸运输(运距290km）</t>
        </is>
      </c>
      <c r="C179" s="93" t="inlineStr">
        <is>
          <t>m³</t>
        </is>
      </c>
      <c r="D179" s="154" t="n">
        <v>245.8</v>
      </c>
      <c r="E179" s="157" t="n">
        <v>185</v>
      </c>
      <c r="F179" s="157">
        <f>ROUND(D179*E179,2)</f>
        <v/>
      </c>
      <c r="G179" s="85" t="inlineStr">
        <is>
          <t>按施工图尺寸计算实际圬工体积</t>
        </is>
      </c>
      <c r="H179" s="85" t="inlineStr">
        <is>
          <t>单价包含全部费用</t>
        </is>
      </c>
      <c r="I179" s="85" t="inlineStr">
        <is>
          <t>装卸车、运输至施工地点散落卸车、堆码、安全防护及文明施工等全部工作内容。</t>
        </is>
      </c>
      <c r="J179" s="86" t="n"/>
    </row>
    <row r="180" ht="32.25" customFormat="1" customHeight="1" s="2">
      <c r="A180" s="90" t="inlineStr">
        <is>
          <t>（4）</t>
        </is>
      </c>
      <c r="B180" s="91" t="inlineStr">
        <is>
          <t>电缆槽盖板安装</t>
        </is>
      </c>
      <c r="C180" s="93" t="inlineStr">
        <is>
          <t>m³</t>
        </is>
      </c>
      <c r="D180" s="154" t="n">
        <v>245.8</v>
      </c>
      <c r="E180" s="157" t="n">
        <v>68</v>
      </c>
      <c r="F180" s="157">
        <f>ROUND(D180*E180,2)</f>
        <v/>
      </c>
      <c r="G180" s="85" t="inlineStr">
        <is>
          <t>按施工图尺寸计算实际圬工体积</t>
        </is>
      </c>
      <c r="H180" s="94" t="inlineStr">
        <is>
          <t>除电缆槽盖板外全部费用</t>
        </is>
      </c>
      <c r="I180" s="94" t="inlineStr">
        <is>
          <t>构件就位、砂浆拌制、安砌，清理工作场地，含现场倒运、安全防护及文明施工等全部工作内容。</t>
        </is>
      </c>
      <c r="J180" s="95" t="inlineStr">
        <is>
          <t>砂浆自供</t>
        </is>
      </c>
    </row>
    <row r="181" ht="32.25" customFormat="1" customHeight="1" s="2">
      <c r="A181" s="90" t="inlineStr">
        <is>
          <t>（5）</t>
        </is>
      </c>
      <c r="B181" s="96" t="inlineStr">
        <is>
          <t>填筑碎石</t>
        </is>
      </c>
      <c r="C181" s="31" t="inlineStr">
        <is>
          <t>m³</t>
        </is>
      </c>
      <c r="D181" s="160" t="n">
        <v>520.67</v>
      </c>
      <c r="E181" s="161" t="n">
        <v>18.5</v>
      </c>
      <c r="F181" s="157">
        <f>ROUND(D181*E181,2)</f>
        <v/>
      </c>
      <c r="G181" s="56" t="inlineStr">
        <is>
          <t>按实际完成的施工图数量计算</t>
        </is>
      </c>
      <c r="H181" s="56" t="inlineStr">
        <is>
          <t>除碎石外全部费用</t>
        </is>
      </c>
      <c r="I181" s="56" t="inlineStr">
        <is>
          <t>材料拉运、装卸车、挖、装、运、卸，填筑、整平、夯实、安全防护及文明施工</t>
        </is>
      </c>
      <c r="J181" s="95" t="n"/>
    </row>
    <row r="182" ht="32.25" customFormat="1" customHeight="1" s="2">
      <c r="A182" s="90" t="inlineStr">
        <is>
          <t>（6）</t>
        </is>
      </c>
      <c r="B182" s="96" t="inlineStr">
        <is>
          <t>回填C25混凝土</t>
        </is>
      </c>
      <c r="C182" s="31" t="inlineStr">
        <is>
          <t>m³</t>
        </is>
      </c>
      <c r="D182" s="160" t="n">
        <v>85.87</v>
      </c>
      <c r="E182" s="161" t="n">
        <v>98</v>
      </c>
      <c r="F182" s="157">
        <f>ROUND(D182*E182,2)</f>
        <v/>
      </c>
      <c r="G182" s="56" t="inlineStr">
        <is>
          <t>按施工图尺寸计算实际圬工体积</t>
        </is>
      </c>
      <c r="H182" s="99" t="inlineStr">
        <is>
          <t>单价包含除混凝土外的全部费用</t>
        </is>
      </c>
      <c r="I182" s="99" t="inlineStr">
        <is>
          <t>混凝土倒运、混凝土浇筑、振捣、养护、安全防护及文明施工等全部工作内容。</t>
        </is>
      </c>
      <c r="J182" s="95" t="n"/>
    </row>
    <row r="183" ht="32.25" customFormat="1" customHeight="1" s="3">
      <c r="A183" s="10" t="n">
        <v>2</v>
      </c>
      <c r="B183" s="100" t="inlineStr">
        <is>
          <t>电缆井</t>
        </is>
      </c>
      <c r="C183" s="80" t="n"/>
      <c r="D183" s="130" t="n"/>
      <c r="E183" s="130" t="n"/>
      <c r="F183" s="130">
        <f>SUM(F184:F189)</f>
        <v/>
      </c>
      <c r="G183" s="81" t="n"/>
      <c r="H183" s="81" t="n"/>
      <c r="I183" s="81" t="n"/>
      <c r="J183" s="19" t="n"/>
    </row>
    <row r="184" ht="32.25" customFormat="1" customHeight="1" s="2">
      <c r="A184" s="90" t="inlineStr">
        <is>
          <t>（1）</t>
        </is>
      </c>
      <c r="B184" s="87" t="inlineStr">
        <is>
          <t>挖土方弃土</t>
        </is>
      </c>
      <c r="C184" s="31" t="inlineStr">
        <is>
          <t>m³</t>
        </is>
      </c>
      <c r="D184" s="157" t="n">
        <v>239.74</v>
      </c>
      <c r="E184" s="157" t="n">
        <v>15.5</v>
      </c>
      <c r="F184" s="157">
        <f>ROUND(D184*E184,2)</f>
        <v/>
      </c>
      <c r="G184" s="56" t="inlineStr">
        <is>
          <t>按施工图尺寸体积计算</t>
        </is>
      </c>
      <c r="H184" s="56" t="inlineStr">
        <is>
          <t>全部费用</t>
        </is>
      </c>
      <c r="I184" s="56" t="inlineStr">
        <is>
          <t>挖、运至基坑外弃运，包括近坑底标高0.3m以内的土方人工挖运，坑壁及坑底修整，清理工作场地、安全防护及文明施工。</t>
        </is>
      </c>
      <c r="J184" s="86" t="n"/>
    </row>
    <row r="185" ht="32.25" customFormat="1" customHeight="1" s="2">
      <c r="A185" s="90" t="inlineStr">
        <is>
          <t>（2）</t>
        </is>
      </c>
      <c r="B185" s="87" t="inlineStr">
        <is>
          <t>现浇C35混凝土垫层</t>
        </is>
      </c>
      <c r="C185" s="31" t="inlineStr">
        <is>
          <t>m³</t>
        </is>
      </c>
      <c r="D185" s="157" t="n">
        <v>16.42</v>
      </c>
      <c r="E185" s="157" t="n">
        <v>112</v>
      </c>
      <c r="F185" s="157">
        <f>ROUND(D185*E185,2)</f>
        <v/>
      </c>
      <c r="G185" s="56" t="inlineStr">
        <is>
          <t>按施工图尺寸计算实际圬工体积</t>
        </is>
      </c>
      <c r="H185" s="99" t="inlineStr">
        <is>
          <t>单价包含除混凝土外的全部费用</t>
        </is>
      </c>
      <c r="I185" s="99" t="inlineStr">
        <is>
          <t>混凝土倒运、模版安拆、混凝土浇筑、振捣、养护、安全防护及文明施工等全部工作内容。</t>
        </is>
      </c>
      <c r="J185" s="86" t="n"/>
    </row>
    <row r="186" ht="32.25" customFormat="1" customHeight="1" s="2">
      <c r="A186" s="90" t="inlineStr">
        <is>
          <t>（3）</t>
        </is>
      </c>
      <c r="B186" s="87" t="inlineStr">
        <is>
          <t>现浇C35电缆井</t>
        </is>
      </c>
      <c r="C186" s="84" t="inlineStr">
        <is>
          <t>m³</t>
        </is>
      </c>
      <c r="D186" s="157" t="n">
        <v>96</v>
      </c>
      <c r="E186" s="157" t="n">
        <v>155</v>
      </c>
      <c r="F186" s="157">
        <f>ROUND(D186*E186,2)</f>
        <v/>
      </c>
      <c r="G186" s="56" t="inlineStr">
        <is>
          <t>按施工图尺寸计算实际圬工体积</t>
        </is>
      </c>
      <c r="H186" s="99" t="inlineStr">
        <is>
          <t>单价包含除混凝土、排水管外的全部费用</t>
        </is>
      </c>
      <c r="I186" s="99" t="inlineStr">
        <is>
          <t>混凝土倒运、模版安拆、混凝土浇筑、振捣、养护、排水管安装、安全防护及文明施工等全部工作内容。</t>
        </is>
      </c>
      <c r="J186" s="86" t="inlineStr">
        <is>
          <t>排水管甲供</t>
        </is>
      </c>
    </row>
    <row r="187" ht="32.25" customFormat="1" customHeight="1" s="2">
      <c r="A187" s="90" t="inlineStr">
        <is>
          <t>（4）</t>
        </is>
      </c>
      <c r="B187" s="87" t="inlineStr">
        <is>
          <t>电缆井钢筋制安</t>
        </is>
      </c>
      <c r="C187" s="84" t="inlineStr">
        <is>
          <t>t</t>
        </is>
      </c>
      <c r="D187" s="157" t="n">
        <v>15.71</v>
      </c>
      <c r="E187" s="157" t="n">
        <v>780</v>
      </c>
      <c r="F187" s="157">
        <f>ROUND(D187*E187,2)</f>
        <v/>
      </c>
      <c r="G187" s="85" t="inlineStr">
        <is>
          <t>按设计图示尺寸计数重量，不计搭接、损耗</t>
        </is>
      </c>
      <c r="H187" s="85" t="inlineStr">
        <is>
          <t>单价包含除钢筋以外的全部费用</t>
        </is>
      </c>
      <c r="I187" s="85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87" s="86" t="n"/>
    </row>
    <row r="188" ht="32.25" customFormat="1" customHeight="1" s="2">
      <c r="A188" s="90" t="inlineStr">
        <is>
          <t>（5）</t>
        </is>
      </c>
      <c r="B188" s="87" t="inlineStr">
        <is>
          <t>预制C30混凝土电缆井盖板装卸运输(运距290km）</t>
        </is>
      </c>
      <c r="C188" s="84" t="inlineStr">
        <is>
          <t>m³</t>
        </is>
      </c>
      <c r="D188" s="157" t="n">
        <v>7.1</v>
      </c>
      <c r="E188" s="157" t="n">
        <v>185</v>
      </c>
      <c r="F188" s="157">
        <f>ROUND(D188*E188,2)</f>
        <v/>
      </c>
      <c r="G188" s="85" t="inlineStr">
        <is>
          <t>按施工图尺寸计算实际圬工体积</t>
        </is>
      </c>
      <c r="H188" s="85" t="inlineStr">
        <is>
          <t>单价包含全部费用</t>
        </is>
      </c>
      <c r="I188" s="85" t="inlineStr">
        <is>
          <t>装卸车、运输至施工地点散落卸车、堆码、安全防护及文明施工等全部工作内容。</t>
        </is>
      </c>
      <c r="J188" s="86" t="n"/>
    </row>
    <row r="189" ht="32.25" customFormat="1" customHeight="1" s="2">
      <c r="A189" s="90" t="inlineStr">
        <is>
          <t>（6）</t>
        </is>
      </c>
      <c r="B189" s="87" t="inlineStr">
        <is>
          <t>电缆井盖板安装</t>
        </is>
      </c>
      <c r="C189" s="84" t="inlineStr">
        <is>
          <t>m³</t>
        </is>
      </c>
      <c r="D189" s="157" t="n">
        <v>7.1</v>
      </c>
      <c r="E189" s="157" t="n">
        <v>72</v>
      </c>
      <c r="F189" s="157">
        <f>ROUND(D189*E189,2)</f>
        <v/>
      </c>
      <c r="G189" s="85" t="inlineStr">
        <is>
          <t>按施工图尺寸计算实际圬工体积</t>
        </is>
      </c>
      <c r="H189" s="85" t="inlineStr">
        <is>
          <t>除电缆井盖板外全部费用</t>
        </is>
      </c>
      <c r="I189" s="85" t="inlineStr">
        <is>
          <t>构件就位、砂浆拌制、安砌，清理工作场地，含现场倒运、安全防护及文明施工等全部工作内容。</t>
        </is>
      </c>
      <c r="J189" s="86" t="inlineStr">
        <is>
          <t>砂浆自供</t>
        </is>
      </c>
    </row>
    <row r="190" ht="32.25" customFormat="1" customHeight="1" s="3">
      <c r="A190" s="12" t="n">
        <v>3</v>
      </c>
      <c r="B190" s="100" t="inlineStr">
        <is>
          <t>过轨管</t>
        </is>
      </c>
      <c r="C190" s="80" t="n"/>
      <c r="D190" s="130" t="n"/>
      <c r="E190" s="130" t="n"/>
      <c r="F190" s="130">
        <f>SUM(F191:F193)</f>
        <v/>
      </c>
      <c r="G190" s="81" t="n"/>
      <c r="H190" s="81" t="n"/>
      <c r="I190" s="81" t="n"/>
      <c r="J190" s="19" t="n"/>
    </row>
    <row r="191" ht="32.25" customFormat="1" customHeight="1" s="2">
      <c r="A191" s="90" t="inlineStr">
        <is>
          <t>（1）</t>
        </is>
      </c>
      <c r="B191" s="87" t="inlineStr">
        <is>
          <t>顶过轨管</t>
        </is>
      </c>
      <c r="C191" s="84" t="inlineStr">
        <is>
          <t>处</t>
        </is>
      </c>
      <c r="D191" s="157" t="n">
        <v>148</v>
      </c>
      <c r="E191" s="157" t="n">
        <v>125</v>
      </c>
      <c r="F191" s="157">
        <f>ROUND(D191*E191,2)</f>
        <v/>
      </c>
      <c r="G191" s="85" t="inlineStr">
        <is>
          <t>按实际过轨量计算</t>
        </is>
      </c>
      <c r="H191" s="85" t="inlineStr">
        <is>
          <t>单价包含除管材、混凝土外全部费用</t>
        </is>
      </c>
      <c r="I191" s="85" t="inlineStr">
        <is>
          <t>材料拉运、装卸车、管加工、搬运、堵塞两端管孔、顶管坑开挖、混凝土回填、养护、安全防护及文明施工等全部工作内容。</t>
        </is>
      </c>
      <c r="J191" s="86" t="n"/>
    </row>
    <row r="192" ht="32.25" customFormat="1" customHeight="1" s="2">
      <c r="A192" s="90" t="inlineStr">
        <is>
          <t>（2）</t>
        </is>
      </c>
      <c r="B192" s="87" t="inlineStr">
        <is>
          <t>普通过轨钢管敷设</t>
        </is>
      </c>
      <c r="C192" s="84" t="inlineStr">
        <is>
          <t>m</t>
        </is>
      </c>
      <c r="D192" s="157" t="n">
        <v>2060</v>
      </c>
      <c r="E192" s="157" t="n">
        <v>12.5</v>
      </c>
      <c r="F192" s="157">
        <f>ROUND(D192*E192,2)</f>
        <v/>
      </c>
      <c r="G192" s="85" t="inlineStr">
        <is>
          <t>按钢管的长度计算</t>
        </is>
      </c>
      <c r="H192" s="85" t="inlineStr">
        <is>
          <t>单价包含除钢管、混凝土外外的全部费用</t>
        </is>
      </c>
      <c r="I192" s="85" t="inlineStr">
        <is>
          <t>材料拉运、装卸车、加工、搬运、堵塞两端管孔、土方开挖、铺设及沟坑混凝土恢复、安全防护及文明施工等工作内容。</t>
        </is>
      </c>
      <c r="J192" s="86" t="n"/>
    </row>
    <row r="193" ht="32.25" customFormat="1" customHeight="1" s="2">
      <c r="A193" s="90" t="inlineStr">
        <is>
          <t>（3）</t>
        </is>
      </c>
      <c r="B193" s="87" t="inlineStr">
        <is>
          <t>普通过轨PE管敷设</t>
        </is>
      </c>
      <c r="C193" s="84" t="inlineStr">
        <is>
          <t>m</t>
        </is>
      </c>
      <c r="D193" s="157" t="n">
        <v>540</v>
      </c>
      <c r="E193" s="157" t="n">
        <v>10.5</v>
      </c>
      <c r="F193" s="157">
        <f>ROUND(D193*E193,2)</f>
        <v/>
      </c>
      <c r="G193" s="85" t="inlineStr">
        <is>
          <t>按管的长度计算</t>
        </is>
      </c>
      <c r="H193" s="85" t="inlineStr">
        <is>
          <t>单价包含除PE管、混凝土外外的全部费用</t>
        </is>
      </c>
      <c r="I193" s="85" t="inlineStr">
        <is>
          <t>材料拉运、装卸车、加工、搬运、堵塞两端管孔、土方开挖、铺设及沟坑混凝土恢复、安全防护及文明施工等工作内容。</t>
        </is>
      </c>
      <c r="J193" s="86" t="n"/>
    </row>
    <row r="194" ht="32.25" customFormat="1" customHeight="1" s="3">
      <c r="A194" s="12" t="inlineStr">
        <is>
          <t>二</t>
        </is>
      </c>
      <c r="B194" s="54" t="inlineStr">
        <is>
          <t>站场附属排水沟</t>
        </is>
      </c>
      <c r="C194" s="80" t="n"/>
      <c r="D194" s="130" t="n"/>
      <c r="E194" s="130" t="n"/>
      <c r="F194" s="130">
        <f>F195+F201+F207+F213+F222</f>
        <v/>
      </c>
      <c r="G194" s="81" t="n"/>
      <c r="H194" s="81" t="n"/>
      <c r="I194" s="81" t="n"/>
      <c r="J194" s="19" t="n"/>
    </row>
    <row r="195" ht="32.25" customFormat="1" customHeight="1" s="3">
      <c r="A195" s="12" t="inlineStr">
        <is>
          <t>（一）</t>
        </is>
      </c>
      <c r="B195" s="100" t="inlineStr">
        <is>
          <t xml:space="preserve">咋顶式盖板排水槽 </t>
        </is>
      </c>
      <c r="C195" s="80" t="n"/>
      <c r="D195" s="130" t="n"/>
      <c r="E195" s="130" t="n"/>
      <c r="F195" s="130">
        <f>SUM(F196:F200)</f>
        <v/>
      </c>
      <c r="G195" s="81" t="n"/>
      <c r="H195" s="81" t="n"/>
      <c r="I195" s="81" t="n"/>
      <c r="J195" s="19" t="n"/>
    </row>
    <row r="196" ht="32.25" customFormat="1" customHeight="1" s="2">
      <c r="A196" s="12" t="n">
        <v>1</v>
      </c>
      <c r="B196" s="83" t="inlineStr">
        <is>
          <t>现浇混凝土</t>
        </is>
      </c>
      <c r="C196" s="84" t="inlineStr">
        <is>
          <t>m³</t>
        </is>
      </c>
      <c r="D196" s="157" t="n">
        <v>2357.64</v>
      </c>
      <c r="E196" s="157" t="n">
        <v>128</v>
      </c>
      <c r="F196" s="157">
        <f>ROUND(D196*E196,2)</f>
        <v/>
      </c>
      <c r="G196" s="85" t="inlineStr">
        <is>
          <t>按施工图尺寸计算实际圬工体积</t>
        </is>
      </c>
      <c r="H196" s="85" t="inlineStr">
        <is>
          <t>单价包含除混凝土外全部费用</t>
        </is>
      </c>
      <c r="I196" s="85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196" s="86" t="inlineStr">
        <is>
          <t>泡沫塑料板、砂浆自供、排水管甲供</t>
        </is>
      </c>
    </row>
    <row r="197" ht="32.25" customFormat="1" customHeight="1" s="2">
      <c r="A197" s="12" t="n">
        <v>2</v>
      </c>
      <c r="B197" s="87" t="inlineStr">
        <is>
          <t>钢筋制作安装</t>
        </is>
      </c>
      <c r="C197" s="84" t="inlineStr">
        <is>
          <t>t</t>
        </is>
      </c>
      <c r="D197" s="157" t="n">
        <v>172.11</v>
      </c>
      <c r="E197" s="157" t="n">
        <v>780</v>
      </c>
      <c r="F197" s="157">
        <f>ROUND(D197*E197,2)</f>
        <v/>
      </c>
      <c r="G197" s="85" t="inlineStr">
        <is>
          <t>按施工图计算重量，不计搭接及损耗</t>
        </is>
      </c>
      <c r="H197" s="85" t="inlineStr">
        <is>
          <t>除钢筋材料外全部费用</t>
        </is>
      </c>
      <c r="I197" s="85" t="inlineStr">
        <is>
          <t>材料拉运、装卸车、钢筋除锈、制作、绑扎、安装、安全防护及文明施工</t>
        </is>
      </c>
      <c r="J197" s="86" t="n"/>
    </row>
    <row r="198" ht="32.25" customFormat="1" customHeight="1" s="2">
      <c r="A198" s="12" t="n">
        <v>3</v>
      </c>
      <c r="B198" s="87" t="inlineStr">
        <is>
          <t>盖板装卸运输（运距290km）</t>
        </is>
      </c>
      <c r="C198" s="84" t="inlineStr">
        <is>
          <t>m³</t>
        </is>
      </c>
      <c r="D198" s="157" t="n">
        <v>111.16</v>
      </c>
      <c r="E198" s="157" t="n">
        <v>185</v>
      </c>
      <c r="F198" s="157">
        <f>ROUND(D198*E198,2)</f>
        <v/>
      </c>
      <c r="G198" s="85" t="inlineStr">
        <is>
          <t>按施工图所示，以体积计算</t>
        </is>
      </c>
      <c r="H198" s="85" t="inlineStr">
        <is>
          <t>单价包含全部费用</t>
        </is>
      </c>
      <c r="I198" s="85" t="inlineStr">
        <is>
          <t>装卸车、运输至施工地点散落卸车、堆码、安全防护及文明施工等全部工作内容。</t>
        </is>
      </c>
      <c r="J198" s="86" t="n"/>
    </row>
    <row r="199" ht="32.25" customFormat="1" customHeight="1" s="2">
      <c r="A199" s="12" t="n">
        <v>4</v>
      </c>
      <c r="B199" s="87" t="inlineStr">
        <is>
          <t>盖板安装</t>
        </is>
      </c>
      <c r="C199" s="84" t="inlineStr">
        <is>
          <t>m³</t>
        </is>
      </c>
      <c r="D199" s="157">
        <f>D198</f>
        <v/>
      </c>
      <c r="E199" s="157" t="n"/>
      <c r="F199" s="157">
        <f>ROUND(D199*E199,2)</f>
        <v/>
      </c>
      <c r="G199" s="85" t="inlineStr">
        <is>
          <t>按施工图尺寸计算实际圬工体积</t>
        </is>
      </c>
      <c r="H199" s="85" t="inlineStr">
        <is>
          <t>单价包含除预制块外全部费用</t>
        </is>
      </c>
      <c r="I199" s="85" t="inlineStr">
        <is>
          <t>构件就位、安砌，清理工作场地，含现场倒运、安全防护及文明施工等全部工作内容。</t>
        </is>
      </c>
      <c r="J199" s="86" t="n"/>
    </row>
    <row r="200" ht="32.25" customFormat="1" customHeight="1" s="2">
      <c r="A200" s="12" t="n">
        <v>5</v>
      </c>
      <c r="B200" s="83" t="inlineStr">
        <is>
          <t>养护用水</t>
        </is>
      </c>
      <c r="C200" s="84" t="inlineStr">
        <is>
          <t>t</t>
        </is>
      </c>
      <c r="D200" s="157">
        <f>D196*0.2</f>
        <v/>
      </c>
      <c r="E200" s="157" t="n">
        <v>18</v>
      </c>
      <c r="F200" s="157">
        <f>ROUND(D200*E200,2)</f>
        <v/>
      </c>
      <c r="G200" s="83" t="inlineStr">
        <is>
          <t>固定费用</t>
        </is>
      </c>
      <c r="H200" s="137" t="inlineStr">
        <is>
          <t xml:space="preserve">包含全部费用 </t>
        </is>
      </c>
      <c r="I200" s="83" t="inlineStr">
        <is>
          <t>水资源购置</t>
        </is>
      </c>
      <c r="J200" s="86" t="n"/>
    </row>
    <row r="201" ht="32.25" customFormat="1" customHeight="1" s="3">
      <c r="A201" s="12" t="inlineStr">
        <is>
          <t>（二）</t>
        </is>
      </c>
      <c r="B201" s="54" t="inlineStr">
        <is>
          <t>咋底式盖板排水槽</t>
        </is>
      </c>
      <c r="C201" s="80" t="n"/>
      <c r="D201" s="130" t="n"/>
      <c r="E201" s="130" t="n"/>
      <c r="F201" s="130">
        <f>SUM(F202:F206)</f>
        <v/>
      </c>
      <c r="G201" s="28" t="n"/>
      <c r="H201" s="81" t="n"/>
      <c r="I201" s="81" t="n"/>
      <c r="J201" s="88" t="n"/>
    </row>
    <row r="202" ht="32.25" customFormat="1" customHeight="1" s="2">
      <c r="A202" s="12" t="n">
        <v>1</v>
      </c>
      <c r="B202" s="83" t="inlineStr">
        <is>
          <t>现浇混凝土</t>
        </is>
      </c>
      <c r="C202" s="84" t="inlineStr">
        <is>
          <t>m³</t>
        </is>
      </c>
      <c r="D202" s="157" t="n">
        <v>923.16</v>
      </c>
      <c r="E202" s="157" t="n">
        <v>128</v>
      </c>
      <c r="F202" s="157">
        <f>ROUND(D202*E202,2)</f>
        <v/>
      </c>
      <c r="G202" s="85" t="inlineStr">
        <is>
          <t>按施工图尺寸计算实际圬工体积</t>
        </is>
      </c>
      <c r="H202" s="85" t="inlineStr">
        <is>
          <t>单价包含除混凝土外全部费用</t>
        </is>
      </c>
      <c r="I202" s="85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202" s="86" t="inlineStr">
        <is>
          <t>泡沫塑料板、砂浆自供、排水管甲供</t>
        </is>
      </c>
    </row>
    <row r="203" ht="32.25" customFormat="1" customHeight="1" s="2">
      <c r="A203" s="12" t="n">
        <v>2</v>
      </c>
      <c r="B203" s="87" t="inlineStr">
        <is>
          <t>钢筋制作安装</t>
        </is>
      </c>
      <c r="C203" s="84" t="inlineStr">
        <is>
          <t>t</t>
        </is>
      </c>
      <c r="D203" s="157" t="n">
        <v>74.13</v>
      </c>
      <c r="E203" s="157" t="n">
        <v>780</v>
      </c>
      <c r="F203" s="157">
        <f>ROUND(D203*E203,2)</f>
        <v/>
      </c>
      <c r="G203" s="85" t="inlineStr">
        <is>
          <t>按施工图计算重量，不计搭接及损耗</t>
        </is>
      </c>
      <c r="H203" s="85" t="inlineStr">
        <is>
          <t>除钢筋材料外全部费用</t>
        </is>
      </c>
      <c r="I203" s="85" t="inlineStr">
        <is>
          <t>材料拉运、装卸车、钢筋除锈、制作、绑扎、安装、安全防护及文明施工</t>
        </is>
      </c>
      <c r="J203" s="92" t="n"/>
    </row>
    <row r="204" ht="32.25" customFormat="1" customHeight="1" s="2">
      <c r="A204" s="12" t="n">
        <v>3</v>
      </c>
      <c r="B204" s="87" t="inlineStr">
        <is>
          <t>盖板装卸运输（运距290km）</t>
        </is>
      </c>
      <c r="C204" s="84" t="inlineStr">
        <is>
          <t>m³</t>
        </is>
      </c>
      <c r="D204" s="157" t="n">
        <v>61.54</v>
      </c>
      <c r="E204" s="157" t="n">
        <v>185</v>
      </c>
      <c r="F204" s="157">
        <f>ROUND(D204*E204,2)</f>
        <v/>
      </c>
      <c r="G204" s="85" t="inlineStr">
        <is>
          <t>按施工图所示，以体积计算</t>
        </is>
      </c>
      <c r="H204" s="85" t="inlineStr">
        <is>
          <t>单价包含全部费用</t>
        </is>
      </c>
      <c r="I204" s="85" t="inlineStr">
        <is>
          <t>装卸车、运输至施工地点散落卸车、堆码、安全防护及文明施工等全部工作内容。</t>
        </is>
      </c>
      <c r="J204" s="86" t="n"/>
    </row>
    <row r="205" ht="32.25" customFormat="1" customHeight="1" s="2">
      <c r="A205" s="12" t="n">
        <v>4</v>
      </c>
      <c r="B205" s="87" t="inlineStr">
        <is>
          <t>盖板安装</t>
        </is>
      </c>
      <c r="C205" s="84" t="inlineStr">
        <is>
          <t>m³</t>
        </is>
      </c>
      <c r="D205" s="157">
        <f>D204</f>
        <v/>
      </c>
      <c r="E205" s="157" t="n"/>
      <c r="F205" s="157">
        <f>ROUND(D205*E205,2)</f>
        <v/>
      </c>
      <c r="G205" s="85" t="inlineStr">
        <is>
          <t>按施工图尺寸计算实际圬工体积</t>
        </is>
      </c>
      <c r="H205" s="85" t="inlineStr">
        <is>
          <t>单价包含除预制块外全部费用</t>
        </is>
      </c>
      <c r="I205" s="85" t="inlineStr">
        <is>
          <t>构件就位、安砌，清理工作场地，含现场倒运、安全防护及文明施工等全部工作内容。</t>
        </is>
      </c>
      <c r="J205" s="95" t="inlineStr">
        <is>
          <t>砂浆自供</t>
        </is>
      </c>
    </row>
    <row r="206" ht="32.25" customFormat="1" customHeight="1" s="2">
      <c r="A206" s="12" t="n">
        <v>5</v>
      </c>
      <c r="B206" s="83" t="inlineStr">
        <is>
          <t>养护用水</t>
        </is>
      </c>
      <c r="C206" s="84" t="inlineStr">
        <is>
          <t>t</t>
        </is>
      </c>
      <c r="D206" s="157">
        <f>D202*0.2</f>
        <v/>
      </c>
      <c r="E206" s="157" t="n">
        <v>18</v>
      </c>
      <c r="F206" s="157">
        <f>ROUND(D206*E206,2)</f>
        <v/>
      </c>
      <c r="G206" s="83" t="inlineStr">
        <is>
          <t>固定费用</t>
        </is>
      </c>
      <c r="H206" s="137" t="inlineStr">
        <is>
          <t xml:space="preserve">包含全部费用 </t>
        </is>
      </c>
      <c r="I206" s="83" t="inlineStr">
        <is>
          <t>水资源购置</t>
        </is>
      </c>
      <c r="J206" s="86" t="n"/>
    </row>
    <row r="207" ht="32.25" customFormat="1" customHeight="1" s="3">
      <c r="A207" s="12" t="inlineStr">
        <is>
          <t>（三）</t>
        </is>
      </c>
      <c r="B207" s="100" t="inlineStr">
        <is>
          <t>路肩间沟</t>
        </is>
      </c>
      <c r="C207" s="80" t="n"/>
      <c r="D207" s="130" t="n"/>
      <c r="E207" s="130" t="n"/>
      <c r="F207" s="130">
        <f>SUM(F208:F212)</f>
        <v/>
      </c>
      <c r="G207" s="81" t="n"/>
      <c r="H207" s="81" t="n"/>
      <c r="I207" s="81" t="n"/>
      <c r="J207" s="19" t="n"/>
    </row>
    <row r="208" ht="32.25" customFormat="1" customHeight="1" s="2">
      <c r="A208" s="12" t="n">
        <v>1</v>
      </c>
      <c r="B208" s="83" t="inlineStr">
        <is>
          <t>现浇混凝土</t>
        </is>
      </c>
      <c r="C208" s="84" t="inlineStr">
        <is>
          <t>m³</t>
        </is>
      </c>
      <c r="D208" s="157" t="n">
        <v>107.02</v>
      </c>
      <c r="E208" s="157" t="n">
        <v>128</v>
      </c>
      <c r="F208" s="157">
        <f>ROUND(D208*E208,2)</f>
        <v/>
      </c>
      <c r="G208" s="85" t="inlineStr">
        <is>
          <t>按施工图尺寸计算实际圬工体积</t>
        </is>
      </c>
      <c r="H208" s="85" t="inlineStr">
        <is>
          <t>单价包含除混凝土外全部费用</t>
        </is>
      </c>
      <c r="I208" s="85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208" s="86" t="inlineStr">
        <is>
          <t>泡沫塑料板、砂浆自供、排水管甲供</t>
        </is>
      </c>
    </row>
    <row r="209" ht="32.25" customFormat="1" customHeight="1" s="2">
      <c r="A209" s="12" t="n">
        <v>2</v>
      </c>
      <c r="B209" s="87" t="inlineStr">
        <is>
          <t>钢筋制作安装</t>
        </is>
      </c>
      <c r="C209" s="84" t="inlineStr">
        <is>
          <t>t</t>
        </is>
      </c>
      <c r="D209" s="157" t="n">
        <v>8.119999999999999</v>
      </c>
      <c r="E209" s="157" t="n">
        <v>780</v>
      </c>
      <c r="F209" s="157">
        <f>ROUND(D209*E209,2)</f>
        <v/>
      </c>
      <c r="G209" s="85" t="inlineStr">
        <is>
          <t>按施工图计算重量，不计搭接及损耗</t>
        </is>
      </c>
      <c r="H209" s="85" t="inlineStr">
        <is>
          <t>除钢筋材料外全部费用</t>
        </is>
      </c>
      <c r="I209" s="85" t="inlineStr">
        <is>
          <t>材料拉运、装卸车、钢筋除锈、制作、绑扎、安装、安全防护及文明施工</t>
        </is>
      </c>
      <c r="J209" s="86" t="n"/>
    </row>
    <row r="210" ht="32.25" customFormat="1" customHeight="1" s="2">
      <c r="A210" s="12" t="n">
        <v>3</v>
      </c>
      <c r="B210" s="87" t="inlineStr">
        <is>
          <t>盖板装卸运输（运距290km）</t>
        </is>
      </c>
      <c r="C210" s="84" t="inlineStr">
        <is>
          <t>m³</t>
        </is>
      </c>
      <c r="D210" s="157" t="n">
        <v>6.15</v>
      </c>
      <c r="E210" s="157" t="n">
        <v>185</v>
      </c>
      <c r="F210" s="157">
        <f>ROUND(D210*E210,2)</f>
        <v/>
      </c>
      <c r="G210" s="85" t="inlineStr">
        <is>
          <t>按施工图所示，以体积计算</t>
        </is>
      </c>
      <c r="H210" s="85" t="inlineStr">
        <is>
          <t>单价包含全部费用</t>
        </is>
      </c>
      <c r="I210" s="85" t="inlineStr">
        <is>
          <t>装卸车、运输至施工地点散落卸车、堆码、安全防护及文明施工等全部工作内容。</t>
        </is>
      </c>
      <c r="J210" s="86" t="n"/>
    </row>
    <row r="211" ht="32.25" customFormat="1" customHeight="1" s="2">
      <c r="A211" s="12" t="n">
        <v>4</v>
      </c>
      <c r="B211" s="87" t="inlineStr">
        <is>
          <t>盖板安装</t>
        </is>
      </c>
      <c r="C211" s="84" t="inlineStr">
        <is>
          <t>m³</t>
        </is>
      </c>
      <c r="D211" s="157">
        <f>D210</f>
        <v/>
      </c>
      <c r="E211" s="157" t="n"/>
      <c r="F211" s="157">
        <f>ROUND(D211*E211,2)</f>
        <v/>
      </c>
      <c r="G211" s="85" t="inlineStr">
        <is>
          <t>按施工图尺寸计算实际圬工体积</t>
        </is>
      </c>
      <c r="H211" s="85" t="inlineStr">
        <is>
          <t>单价包含除预制块外全部费用</t>
        </is>
      </c>
      <c r="I211" s="85" t="inlineStr">
        <is>
          <t>构件就位、安砌，清理工作场地，含现场倒运、安全防护及文明施工等全部工作内容。</t>
        </is>
      </c>
      <c r="J211" s="86" t="n"/>
    </row>
    <row r="212" ht="32.25" customFormat="1" customHeight="1" s="2">
      <c r="A212" s="12" t="n">
        <v>5</v>
      </c>
      <c r="B212" s="83" t="inlineStr">
        <is>
          <t>养护用水</t>
        </is>
      </c>
      <c r="C212" s="84" t="inlineStr">
        <is>
          <t>t</t>
        </is>
      </c>
      <c r="D212" s="157">
        <f>D208*0.2</f>
        <v/>
      </c>
      <c r="E212" s="157" t="n">
        <v>18</v>
      </c>
      <c r="F212" s="157">
        <f>ROUND(D212*E212,2)</f>
        <v/>
      </c>
      <c r="G212" s="83" t="inlineStr">
        <is>
          <t>固定费用</t>
        </is>
      </c>
      <c r="H212" s="137" t="inlineStr">
        <is>
          <t xml:space="preserve">包含全部费用 </t>
        </is>
      </c>
      <c r="I212" s="83" t="inlineStr">
        <is>
          <t>水资源购置</t>
        </is>
      </c>
      <c r="J212" s="86" t="n"/>
    </row>
    <row r="213" ht="32.25" customFormat="1" customHeight="1" s="3">
      <c r="A213" s="12" t="inlineStr">
        <is>
          <t>（四）</t>
        </is>
      </c>
      <c r="B213" s="100" t="inlineStr">
        <is>
          <t>穿越线路横向盖板槽</t>
        </is>
      </c>
      <c r="C213" s="80" t="n"/>
      <c r="D213" s="130" t="n"/>
      <c r="E213" s="130" t="n"/>
      <c r="F213" s="130">
        <f>SUM(F214:F221)</f>
        <v/>
      </c>
      <c r="G213" s="81" t="n"/>
      <c r="H213" s="81" t="n"/>
      <c r="I213" s="81" t="n"/>
      <c r="J213" s="19" t="n"/>
    </row>
    <row r="214" ht="32.25" customFormat="1" customHeight="1" s="2">
      <c r="A214" s="12" t="n">
        <v>1</v>
      </c>
      <c r="B214" s="83" t="inlineStr">
        <is>
          <t>现浇混凝土</t>
        </is>
      </c>
      <c r="C214" s="84" t="inlineStr">
        <is>
          <t>m³</t>
        </is>
      </c>
      <c r="D214" s="157" t="n">
        <v>3.46</v>
      </c>
      <c r="E214" s="157" t="n">
        <v>128</v>
      </c>
      <c r="F214" s="157">
        <f>ROUND(D214*E214,2)</f>
        <v/>
      </c>
      <c r="G214" s="85" t="inlineStr">
        <is>
          <t>按施工图尺寸计算实际圬工体积</t>
        </is>
      </c>
      <c r="H214" s="85" t="inlineStr">
        <is>
          <t>单价包含除混凝土外全部费用</t>
        </is>
      </c>
      <c r="I214" s="85" t="inlineStr">
        <is>
          <t>挖基、弃土、M10水泥砂浆拌制、勾缝、模板制安拆，混凝土浇筑、振捣及养护、沉降缝制施工、回填、清理工作场地、安全防护及文明施工等全部工作内容。</t>
        </is>
      </c>
      <c r="J214" s="86" t="inlineStr">
        <is>
          <t>泡沫塑料板、砂浆自供</t>
        </is>
      </c>
    </row>
    <row r="215" ht="32.25" customFormat="1" customHeight="1" s="2">
      <c r="A215" s="12" t="n">
        <v>2</v>
      </c>
      <c r="B215" s="87" t="inlineStr">
        <is>
          <t>钢筋制作安装</t>
        </is>
      </c>
      <c r="C215" s="84" t="inlineStr">
        <is>
          <t>t</t>
        </is>
      </c>
      <c r="D215" s="157" t="n">
        <v>7.47</v>
      </c>
      <c r="E215" s="157" t="n">
        <v>780</v>
      </c>
      <c r="F215" s="157">
        <f>ROUND(D215*E215,2)</f>
        <v/>
      </c>
      <c r="G215" s="85" t="inlineStr">
        <is>
          <t>按施工图计算重量，不计搭接及损耗</t>
        </is>
      </c>
      <c r="H215" s="85" t="inlineStr">
        <is>
          <t>除钢筋材料外全部费用</t>
        </is>
      </c>
      <c r="I215" s="85" t="inlineStr">
        <is>
          <t>材料拉运、装卸车、钢筋除锈、制作、绑扎、安装、安全防护及文明施工</t>
        </is>
      </c>
      <c r="J215" s="86" t="n"/>
    </row>
    <row r="216" ht="32.25" customFormat="1" customHeight="1" s="2">
      <c r="A216" s="12" t="n">
        <v>3</v>
      </c>
      <c r="B216" s="87" t="inlineStr">
        <is>
          <t>盖板装卸运输（运距290km）</t>
        </is>
      </c>
      <c r="C216" s="84" t="inlineStr">
        <is>
          <t>m³</t>
        </is>
      </c>
      <c r="D216" s="157" t="n">
        <v>2.14</v>
      </c>
      <c r="E216" s="157" t="n">
        <v>185</v>
      </c>
      <c r="F216" s="157">
        <f>ROUND(D216*E216,2)</f>
        <v/>
      </c>
      <c r="G216" s="85" t="inlineStr">
        <is>
          <t>按施工图所示，以体积计算</t>
        </is>
      </c>
      <c r="H216" s="85" t="inlineStr">
        <is>
          <t>单价包含全部费用</t>
        </is>
      </c>
      <c r="I216" s="85" t="inlineStr">
        <is>
          <t>装卸车、运输至施工地点散落卸车、堆码等、安全防护及文明施工全部工作内容。</t>
        </is>
      </c>
      <c r="J216" s="86" t="n"/>
    </row>
    <row r="217" ht="32.25" customFormat="1" customHeight="1" s="2">
      <c r="A217" s="12" t="n">
        <v>4</v>
      </c>
      <c r="B217" s="87" t="inlineStr">
        <is>
          <t>盖板安装</t>
        </is>
      </c>
      <c r="C217" s="84" t="inlineStr">
        <is>
          <t>m³</t>
        </is>
      </c>
      <c r="D217" s="157" t="n">
        <v>2.14</v>
      </c>
      <c r="E217" s="157" t="n">
        <v>72</v>
      </c>
      <c r="F217" s="157">
        <f>ROUND(D217*E217,2)</f>
        <v/>
      </c>
      <c r="G217" s="85" t="inlineStr">
        <is>
          <t>按施工图尺寸计算实际圬工体积</t>
        </is>
      </c>
      <c r="H217" s="85" t="inlineStr">
        <is>
          <t>单价包含除预制块外全部费用</t>
        </is>
      </c>
      <c r="I217" s="85" t="inlineStr">
        <is>
          <t>构件就位、安砌，清理工作场地，含现场倒运、安全防护及文明施工等全部工作内容。</t>
        </is>
      </c>
      <c r="J217" s="86" t="n"/>
    </row>
    <row r="218" ht="32.25" customFormat="1" customHeight="1" s="2">
      <c r="A218" s="12" t="n">
        <v>5</v>
      </c>
      <c r="B218" s="87" t="inlineStr">
        <is>
          <t>纤维混凝土浇筑</t>
        </is>
      </c>
      <c r="C218" s="84" t="inlineStr">
        <is>
          <t>m³</t>
        </is>
      </c>
      <c r="D218" s="157" t="n">
        <v>0.17</v>
      </c>
      <c r="E218" s="157" t="n">
        <v>135</v>
      </c>
      <c r="F218" s="157">
        <f>ROUND(D218*E218,2)</f>
        <v/>
      </c>
      <c r="G218" s="85" t="inlineStr">
        <is>
          <t>按施工图尺寸计算实际圬工体积</t>
        </is>
      </c>
      <c r="H218" s="85" t="inlineStr">
        <is>
          <t>单价包含除混凝土外全部费用</t>
        </is>
      </c>
      <c r="I218" s="83" t="inlineStr">
        <is>
          <t>模板安拆、混凝土浇筑、养护、安全防护及文明施工。</t>
        </is>
      </c>
      <c r="J218" s="86" t="n"/>
    </row>
    <row r="219" ht="32.25" customFormat="1" customHeight="1" s="2">
      <c r="A219" s="12" t="n">
        <v>6</v>
      </c>
      <c r="B219" s="87" t="inlineStr">
        <is>
          <t>防水涂料</t>
        </is>
      </c>
      <c r="C219" s="84" t="inlineStr">
        <is>
          <t>㎡</t>
        </is>
      </c>
      <c r="D219" s="157" t="n">
        <v>9.24</v>
      </c>
      <c r="E219" s="157" t="n">
        <v>12.5</v>
      </c>
      <c r="F219" s="157">
        <f>ROUND(D219*E219,2)</f>
        <v/>
      </c>
      <c r="G219" s="56" t="inlineStr">
        <is>
          <t>按实际完成的施工图内数量计算</t>
        </is>
      </c>
      <c r="H219" s="56" t="inlineStr">
        <is>
          <t>除防水材料外全部费用</t>
        </is>
      </c>
      <c r="I219" s="56" t="inlineStr">
        <is>
          <t>材料拉运、装卸车、清理基层、刷基层处理剂、刷聚氨酯防水、安全防护及文明施工等一切工作内容。</t>
        </is>
      </c>
      <c r="J219" s="86" t="n"/>
    </row>
    <row r="220" ht="32.25" customFormat="1" customHeight="1" s="2">
      <c r="A220" s="12" t="n">
        <v>7</v>
      </c>
      <c r="B220" s="87" t="inlineStr">
        <is>
          <t>防水卷材</t>
        </is>
      </c>
      <c r="C220" s="84" t="inlineStr">
        <is>
          <t>㎡</t>
        </is>
      </c>
      <c r="D220" s="157" t="n">
        <v>9.24</v>
      </c>
      <c r="E220" s="157" t="n">
        <v>10.5</v>
      </c>
      <c r="F220" s="157">
        <f>ROUND(D220*E220,2)</f>
        <v/>
      </c>
      <c r="G220" s="56" t="inlineStr">
        <is>
          <t>按实际完成的施工图内数量计算</t>
        </is>
      </c>
      <c r="H220" s="56" t="inlineStr">
        <is>
          <t>除材料外全部费用</t>
        </is>
      </c>
      <c r="I220" s="56" t="inlineStr">
        <is>
          <t>材料拉运、装卸车、清理基层、分隔缝嵌缝、刷基层处理剂、刷胶、铺贴防水卷材、收头、安全防护及文明施工。</t>
        </is>
      </c>
      <c r="J220" s="86" t="n"/>
    </row>
    <row r="221" ht="32.25" customFormat="1" customHeight="1" s="2">
      <c r="A221" s="12" t="n">
        <v>8</v>
      </c>
      <c r="B221" s="83" t="inlineStr">
        <is>
          <t>养护用水</t>
        </is>
      </c>
      <c r="C221" s="84" t="inlineStr">
        <is>
          <t>t</t>
        </is>
      </c>
      <c r="D221" s="157">
        <f>D214*0.2</f>
        <v/>
      </c>
      <c r="E221" s="157" t="n">
        <v>18</v>
      </c>
      <c r="F221" s="157">
        <f>ROUND(D221*E221,2)</f>
        <v/>
      </c>
      <c r="G221" s="83" t="inlineStr">
        <is>
          <t>固定费用</t>
        </is>
      </c>
      <c r="H221" s="137" t="inlineStr">
        <is>
          <t xml:space="preserve">包含全部费用 </t>
        </is>
      </c>
      <c r="I221" s="83" t="inlineStr">
        <is>
          <t>水资源购置</t>
        </is>
      </c>
      <c r="J221" s="86" t="n"/>
    </row>
    <row r="222" ht="32.25" customFormat="1" customHeight="1" s="3">
      <c r="A222" s="12" t="inlineStr">
        <is>
          <t>（五）</t>
        </is>
      </c>
      <c r="B222" s="100" t="inlineStr">
        <is>
          <t>检查井</t>
        </is>
      </c>
      <c r="C222" s="80" t="n"/>
      <c r="D222" s="130" t="n"/>
      <c r="E222" s="130" t="n"/>
      <c r="F222" s="130">
        <f>SUM(F223:F225)</f>
        <v/>
      </c>
      <c r="G222" s="81" t="n"/>
      <c r="H222" s="81" t="n"/>
      <c r="I222" s="81" t="n"/>
      <c r="J222" s="19" t="n"/>
    </row>
    <row r="223" ht="32.25" customFormat="1" customHeight="1" s="2">
      <c r="A223" s="90" t="n">
        <v>1</v>
      </c>
      <c r="B223" s="83" t="inlineStr">
        <is>
          <t>现浇混凝土</t>
        </is>
      </c>
      <c r="C223" s="84" t="inlineStr">
        <is>
          <t>m³</t>
        </is>
      </c>
      <c r="D223" s="157" t="n">
        <v>7.22</v>
      </c>
      <c r="E223" s="157" t="n">
        <v>128</v>
      </c>
      <c r="F223" s="157">
        <f>ROUND(D223*E223,2)</f>
        <v/>
      </c>
      <c r="G223" s="85" t="inlineStr">
        <is>
          <t>按施工图尺寸计算实际圬工体积</t>
        </is>
      </c>
      <c r="H223" s="85" t="inlineStr">
        <is>
          <t>单价包含除混凝土外全部费用</t>
        </is>
      </c>
      <c r="I223" s="85" t="inlineStr">
        <is>
          <t>挖基、弃土、模板制安拆，混凝土浇筑、振捣及养护、回填、清理工作场地、安全防护及文明施工等全部工作内容。</t>
        </is>
      </c>
      <c r="J223" s="86" t="n"/>
    </row>
    <row r="224" ht="32.25" customFormat="1" customHeight="1" s="2">
      <c r="A224" s="90" t="n">
        <v>2</v>
      </c>
      <c r="B224" s="87" t="inlineStr">
        <is>
          <t>钢筋制作安装</t>
        </is>
      </c>
      <c r="C224" s="84" t="inlineStr">
        <is>
          <t>t</t>
        </is>
      </c>
      <c r="D224" s="157" t="n">
        <v>0.08</v>
      </c>
      <c r="E224" s="157" t="n">
        <v>780</v>
      </c>
      <c r="F224" s="157">
        <f>ROUND(D224*E224,2)</f>
        <v/>
      </c>
      <c r="G224" s="85" t="inlineStr">
        <is>
          <t>按施工图计算重量，不计搭接及损耗</t>
        </is>
      </c>
      <c r="H224" s="85" t="inlineStr">
        <is>
          <t>除钢筋材料外全部费用</t>
        </is>
      </c>
      <c r="I224" s="85" t="inlineStr">
        <is>
          <t>材料拉运、装卸车、钢筋除锈、制作、绑扎、安装、安全防护及文明施工。</t>
        </is>
      </c>
      <c r="J224" s="86" t="n"/>
    </row>
    <row r="225" ht="32.25" customFormat="1" customHeight="1" s="2">
      <c r="A225" s="90" t="n">
        <v>3</v>
      </c>
      <c r="B225" s="87" t="inlineStr">
        <is>
          <t>夯填碎石</t>
        </is>
      </c>
      <c r="C225" s="84" t="inlineStr">
        <is>
          <t>m³</t>
        </is>
      </c>
      <c r="D225" s="157" t="n">
        <v>0.58</v>
      </c>
      <c r="E225" s="157" t="n">
        <v>18.5</v>
      </c>
      <c r="F225" s="157">
        <f>ROUND(D225*E225,2)</f>
        <v/>
      </c>
      <c r="G225" s="85" t="inlineStr">
        <is>
          <t>按实际完成的施工图数量计算</t>
        </is>
      </c>
      <c r="H225" s="85" t="inlineStr">
        <is>
          <t>除碎石外全部费用</t>
        </is>
      </c>
      <c r="I225" s="85" t="inlineStr">
        <is>
          <t>材料拉运、装卸车、挖、装、运、卸，填筑、整平、夯实、安全防护及文明施工。</t>
        </is>
      </c>
      <c r="J225" s="86" t="n"/>
    </row>
    <row r="226" ht="32.25" customFormat="1" customHeight="1" s="2">
      <c r="A226" s="104" t="inlineStr">
        <is>
          <t>涵洞工程</t>
        </is>
      </c>
      <c r="B226" s="129" t="n"/>
      <c r="C226" s="12" t="n"/>
      <c r="D226" s="130" t="n"/>
      <c r="E226" s="130" t="n"/>
      <c r="F226" s="130">
        <f>F227+F295+F337</f>
        <v/>
      </c>
      <c r="G226" s="12" t="n"/>
      <c r="H226" s="12" t="n"/>
      <c r="I226" s="12" t="n"/>
      <c r="J226" s="24" t="n"/>
    </row>
    <row r="227" ht="36" customFormat="1" customHeight="1" s="3">
      <c r="A227" s="12" t="inlineStr">
        <is>
          <t>一</t>
        </is>
      </c>
      <c r="B227" s="104" t="inlineStr">
        <is>
          <t>顶进涵（1-3m及以下1座）</t>
        </is>
      </c>
      <c r="C227" s="12" t="n"/>
      <c r="D227" s="130" t="n"/>
      <c r="E227" s="130" t="n"/>
      <c r="F227" s="130">
        <f>F228+F236+F248+F253+F257+F273+F278+F289</f>
        <v/>
      </c>
      <c r="G227" s="162" t="n"/>
      <c r="H227" s="162" t="n"/>
      <c r="I227" s="162" t="n"/>
      <c r="J227" s="130" t="n"/>
    </row>
    <row r="228" ht="36" customFormat="1" customHeight="1" s="3">
      <c r="A228" s="12" t="inlineStr">
        <is>
          <t>（一）</t>
        </is>
      </c>
      <c r="B228" s="104" t="inlineStr">
        <is>
          <t>地基处理</t>
        </is>
      </c>
      <c r="C228" s="12" t="n"/>
      <c r="D228" s="130" t="n"/>
      <c r="E228" s="130" t="n"/>
      <c r="F228" s="130">
        <f>SUM(F229:F235)</f>
        <v/>
      </c>
      <c r="G228" s="162" t="n"/>
      <c r="H228" s="162" t="n"/>
      <c r="I228" s="162" t="n"/>
      <c r="J228" s="130" t="n"/>
    </row>
    <row r="229" ht="36" customFormat="1" customHeight="1" s="2">
      <c r="A229" s="90" t="n">
        <v>1</v>
      </c>
      <c r="B229" s="106" t="inlineStr">
        <is>
          <t>挖土方</t>
        </is>
      </c>
      <c r="C229" s="84" t="inlineStr">
        <is>
          <t>m3</t>
        </is>
      </c>
      <c r="D229" s="157" t="n">
        <v>554</v>
      </c>
      <c r="E229" s="157" t="n">
        <v>4.5</v>
      </c>
      <c r="F229" s="157">
        <f>ROUND(D229*E229,2)</f>
        <v/>
      </c>
      <c r="G229" s="163" t="inlineStr">
        <is>
          <t>按施工图尺寸体积计算</t>
        </is>
      </c>
      <c r="H229" s="163" t="inlineStr">
        <is>
          <t>全部费用</t>
        </is>
      </c>
      <c r="I229" s="163" t="inlineStr">
        <is>
          <t>挖、运至基坑外20m，包括近坑底标高0.3m以内的土方人工挖运，坑壁及坑底修整，清理工作场地</t>
        </is>
      </c>
      <c r="J229" s="164" t="n"/>
    </row>
    <row r="230" ht="36" customFormat="1" customHeight="1" s="2">
      <c r="A230" s="90" t="n">
        <v>2</v>
      </c>
      <c r="B230" s="106" t="inlineStr">
        <is>
          <t>基坑回填水泥稳定级配碎石</t>
        </is>
      </c>
      <c r="C230" s="84" t="inlineStr">
        <is>
          <t>m3</t>
        </is>
      </c>
      <c r="D230" s="157" t="n">
        <v>25</v>
      </c>
      <c r="E230" s="157" t="n">
        <v>28</v>
      </c>
      <c r="F230" s="157">
        <f>ROUND(D230*E230,2)</f>
        <v/>
      </c>
      <c r="G230" s="163" t="inlineStr">
        <is>
          <t>以基坑开挖数量减去基础（承台）圬工数量计算</t>
        </is>
      </c>
      <c r="H230" s="163" t="inlineStr">
        <is>
          <t>除级配碎石外全部费用</t>
        </is>
      </c>
      <c r="I230" s="163" t="inlineStr">
        <is>
          <t>装、运、卸、平土、夯实，运距20m内</t>
        </is>
      </c>
      <c r="J230" s="164" t="n"/>
    </row>
    <row r="231" ht="36" customFormat="1" customHeight="1" s="2">
      <c r="A231" s="90" t="n">
        <v>3</v>
      </c>
      <c r="B231" s="106" t="inlineStr">
        <is>
          <t>回填土</t>
        </is>
      </c>
      <c r="C231" s="84" t="inlineStr">
        <is>
          <t>m³</t>
        </is>
      </c>
      <c r="D231" s="157" t="n">
        <v>27</v>
      </c>
      <c r="E231" s="157" t="n">
        <v>8.5</v>
      </c>
      <c r="F231" s="157">
        <f>ROUND(D231*E231,2)</f>
        <v/>
      </c>
      <c r="G231" s="163" t="inlineStr">
        <is>
          <t>按实际完成的施工图数量计算</t>
        </is>
      </c>
      <c r="H231" s="163" t="inlineStr">
        <is>
          <t>全部费用</t>
        </is>
      </c>
      <c r="I231" s="163" t="inlineStr">
        <is>
          <t>装、运、卸、平土、夯实，运距20m内</t>
        </is>
      </c>
      <c r="J231" s="164" t="n"/>
    </row>
    <row r="232" ht="36" customFormat="1" customHeight="1" s="2">
      <c r="A232" s="90" t="n">
        <v>4</v>
      </c>
      <c r="B232" s="106" t="inlineStr">
        <is>
          <t>注浆</t>
        </is>
      </c>
      <c r="C232" s="84" t="inlineStr">
        <is>
          <t>m³</t>
        </is>
      </c>
      <c r="D232" s="157" t="n">
        <v>78</v>
      </c>
      <c r="E232" s="157" t="n">
        <v>48</v>
      </c>
      <c r="F232" s="157">
        <f>ROUND(D232*E232,2)</f>
        <v/>
      </c>
      <c r="G232" s="163" t="inlineStr">
        <is>
          <t>按现场实际完成（不超设计）的体积计算</t>
        </is>
      </c>
      <c r="H232" s="163" t="inlineStr">
        <is>
          <t>单价包含除水泥、水玻璃以外的全部费用</t>
        </is>
      </c>
      <c r="I232" s="163" t="inlineStr">
        <is>
          <t>施工准备，水泥浆拌制、压浆，材料运输、倒运，甲供材料到场的卸车、保管，安全文明施工等全部工作内容</t>
        </is>
      </c>
      <c r="J232" s="164" t="n"/>
    </row>
    <row r="233" ht="36" customFormat="1" customHeight="1" s="2">
      <c r="A233" s="90" t="n">
        <v>5</v>
      </c>
      <c r="B233" s="106" t="inlineStr">
        <is>
          <t>注浆钢管</t>
        </is>
      </c>
      <c r="C233" s="84" t="inlineStr">
        <is>
          <t>m</t>
        </is>
      </c>
      <c r="D233" s="157" t="n">
        <v>146.2</v>
      </c>
      <c r="E233" s="157" t="n">
        <v>38</v>
      </c>
      <c r="F233" s="157">
        <f>ROUND(D233*E233,2)</f>
        <v/>
      </c>
      <c r="G233" s="163" t="inlineStr">
        <is>
          <t>按现场实际完成（不超设计）的长度计算</t>
        </is>
      </c>
      <c r="H233" s="163" t="inlineStr">
        <is>
          <t>单价包含全部费用</t>
        </is>
      </c>
      <c r="I233" s="163" t="inlineStr">
        <is>
          <t>钻机就位、钻孔、孔位转移等全部工作内容</t>
        </is>
      </c>
      <c r="J233" s="109" t="n"/>
    </row>
    <row r="234" ht="36" customFormat="1" customHeight="1" s="2">
      <c r="A234" s="90" t="n">
        <v>6</v>
      </c>
      <c r="B234" s="106" t="inlineStr">
        <is>
          <t>弃土外运（运距1公里）</t>
        </is>
      </c>
      <c r="C234" s="84" t="inlineStr">
        <is>
          <t>m3</t>
        </is>
      </c>
      <c r="D234" s="157" t="n">
        <v>527</v>
      </c>
      <c r="E234" s="157" t="n">
        <v>8.5</v>
      </c>
      <c r="F234" s="157">
        <f>ROUND(D234*E234,2)</f>
        <v/>
      </c>
      <c r="G234" s="163" t="inlineStr">
        <is>
          <t>按施工图断面尺寸计算</t>
        </is>
      </c>
      <c r="H234" s="163" t="inlineStr">
        <is>
          <t>包含全部费用</t>
        </is>
      </c>
      <c r="I234" s="163" t="inlineStr">
        <is>
          <t>施工准备、就位、挖、装车，运、卸、空回，推土机辅助及清理工作面</t>
        </is>
      </c>
      <c r="J234" s="164" t="n"/>
    </row>
    <row r="235" ht="36" customFormat="1" customHeight="1" s="2">
      <c r="A235" s="90" t="n">
        <v>7</v>
      </c>
      <c r="B235" s="106" t="inlineStr">
        <is>
          <t>地基换填级配碎石</t>
        </is>
      </c>
      <c r="C235" s="84" t="inlineStr">
        <is>
          <t>m3</t>
        </is>
      </c>
      <c r="D235" s="157" t="n">
        <v>25</v>
      </c>
      <c r="E235" s="157" t="n">
        <v>28</v>
      </c>
      <c r="F235" s="157">
        <f>ROUND(D235*E235,2)</f>
        <v/>
      </c>
      <c r="G235" s="163" t="inlineStr">
        <is>
          <t>按施工图尺寸体积计算</t>
        </is>
      </c>
      <c r="H235" s="163" t="inlineStr">
        <is>
          <t>除级配碎石外全部费用</t>
        </is>
      </c>
      <c r="I235" s="163" t="inlineStr">
        <is>
          <t>装、运、卸、平土、夯实，运距20m内</t>
        </is>
      </c>
      <c r="J235" s="164" t="n"/>
    </row>
    <row r="236" ht="36" customFormat="1" customHeight="1" s="3">
      <c r="A236" s="12" t="inlineStr">
        <is>
          <t>（二）</t>
        </is>
      </c>
      <c r="B236" s="104" t="inlineStr">
        <is>
          <t>主体工程</t>
        </is>
      </c>
      <c r="C236" s="80" t="n"/>
      <c r="D236" s="130" t="n"/>
      <c r="E236" s="130" t="n"/>
      <c r="F236" s="130">
        <f>SUM(F237:F247)</f>
        <v/>
      </c>
      <c r="G236" s="162" t="n"/>
      <c r="H236" s="162" t="n"/>
      <c r="I236" s="162" t="n"/>
      <c r="J236" s="130" t="n"/>
    </row>
    <row r="237" ht="36" customFormat="1" customHeight="1" s="2">
      <c r="A237" s="90" t="n">
        <v>1</v>
      </c>
      <c r="B237" s="106" t="inlineStr">
        <is>
          <t>出口翼墙基础、泄床混凝土</t>
        </is>
      </c>
      <c r="C237" s="84" t="inlineStr">
        <is>
          <t>m3</t>
        </is>
      </c>
      <c r="D237" s="157" t="n">
        <v>21.4</v>
      </c>
      <c r="E237" s="157" t="n">
        <v>122</v>
      </c>
      <c r="F237" s="157">
        <f>ROUND(D237*E237,2)</f>
        <v/>
      </c>
      <c r="G237" s="163" t="inlineStr">
        <is>
          <t>按实际完成的施工图数量计算</t>
        </is>
      </c>
      <c r="H237" s="163" t="inlineStr">
        <is>
          <t>除混凝土外全部费用，含模板费</t>
        </is>
      </c>
      <c r="I237" s="163" t="inlineStr">
        <is>
          <t>模板安拆、加固，混凝土浇筑、振捣及养护</t>
        </is>
      </c>
      <c r="J237" s="165" t="n"/>
    </row>
    <row r="238" ht="36" customFormat="1" customHeight="1" s="2">
      <c r="A238" s="90" t="n">
        <v>2</v>
      </c>
      <c r="B238" s="106" t="inlineStr">
        <is>
          <t>出口涵身基础混凝土</t>
        </is>
      </c>
      <c r="C238" s="84" t="inlineStr">
        <is>
          <t>m3</t>
        </is>
      </c>
      <c r="D238" s="157" t="n">
        <v>4.56</v>
      </c>
      <c r="E238" s="157" t="n">
        <v>122</v>
      </c>
      <c r="F238" s="157">
        <f>ROUND(D238*E238,2)</f>
        <v/>
      </c>
      <c r="G238" s="163" t="inlineStr">
        <is>
          <t>按实际完成的施工图数量计算</t>
        </is>
      </c>
      <c r="H238" s="163" t="inlineStr">
        <is>
          <t>除混凝土外全部费用，含模板费</t>
        </is>
      </c>
      <c r="I238" s="163" t="inlineStr">
        <is>
          <t>模板安拆、加固，混凝土浇筑、振捣及养护</t>
        </is>
      </c>
      <c r="J238" s="165" t="n"/>
    </row>
    <row r="239" ht="36" customFormat="1" customHeight="1" s="2">
      <c r="A239" s="90" t="n">
        <v>3</v>
      </c>
      <c r="B239" s="106" t="inlineStr">
        <is>
          <t>φ8护面钢筋网</t>
        </is>
      </c>
      <c r="C239" s="84" t="inlineStr">
        <is>
          <t>t</t>
        </is>
      </c>
      <c r="D239" s="157" t="n">
        <v>0.389</v>
      </c>
      <c r="E239" s="157" t="n">
        <v>820</v>
      </c>
      <c r="F239" s="157">
        <f>ROUND(D239*E239,2)</f>
        <v/>
      </c>
      <c r="G239" s="163" t="inlineStr">
        <is>
          <t>按现场实际完成的施工图内的数量计算</t>
        </is>
      </c>
      <c r="H239" s="163" t="inlineStr">
        <is>
          <t>除主材外全部费用</t>
        </is>
      </c>
      <c r="I239" s="163" t="inlineStr">
        <is>
          <t>钢筋调直、下料、制作、运输、挂网安装、点焊、加固</t>
        </is>
      </c>
      <c r="J239" s="165" t="n"/>
    </row>
    <row r="240" ht="36" customFormat="1" customHeight="1" s="2">
      <c r="A240" s="90" t="n">
        <v>4</v>
      </c>
      <c r="B240" s="106" t="inlineStr">
        <is>
          <t>涵身基础垫层混凝土</t>
        </is>
      </c>
      <c r="C240" s="84" t="inlineStr">
        <is>
          <t>m3</t>
        </is>
      </c>
      <c r="D240" s="157" t="n">
        <v>39.2</v>
      </c>
      <c r="E240" s="157" t="n">
        <v>105</v>
      </c>
      <c r="F240" s="157">
        <f>ROUND(D240*E240,2)</f>
        <v/>
      </c>
      <c r="G240" s="163" t="inlineStr">
        <is>
          <t>按施工图计算圬工体积计算</t>
        </is>
      </c>
      <c r="H240" s="163" t="inlineStr">
        <is>
          <t>除混凝土外全部费用，含模板费用</t>
        </is>
      </c>
      <c r="I240" s="163" t="inlineStr">
        <is>
          <t>模板安拆、混凝土浇筑、振捣及养护、接口凿毛</t>
        </is>
      </c>
      <c r="J240" s="165" t="n"/>
    </row>
    <row r="241" ht="36" customFormat="1" customHeight="1" s="2">
      <c r="A241" s="90" t="n">
        <v>5</v>
      </c>
      <c r="B241" s="106" t="inlineStr">
        <is>
          <t>涵身钢筋混凝土</t>
        </is>
      </c>
      <c r="C241" s="84" t="inlineStr">
        <is>
          <t>m³</t>
        </is>
      </c>
      <c r="D241" s="157" t="n">
        <v>105.97</v>
      </c>
      <c r="E241" s="157" t="n">
        <v>148</v>
      </c>
      <c r="F241" s="157">
        <f>ROUND(D241*E241,2)</f>
        <v/>
      </c>
      <c r="G241" s="163" t="inlineStr">
        <is>
          <t>按实际完成的施工图内数量计算</t>
        </is>
      </c>
      <c r="H241" s="163" t="inlineStr">
        <is>
          <t>除混凝土外全部费用，含模板及脚手架费用</t>
        </is>
      </c>
      <c r="I241" s="163" t="inlineStr">
        <is>
          <t>搭拆脚手架；立拆模；涂脱模剂；模板修整；灌注混凝土、捣固、养护；材料堆放；清理现场等全部工作内容</t>
        </is>
      </c>
      <c r="J241" s="165" t="n"/>
    </row>
    <row r="242" ht="36" customFormat="1" customHeight="1" s="2">
      <c r="A242" s="90" t="n">
        <v>6</v>
      </c>
      <c r="B242" s="106" t="inlineStr">
        <is>
          <t>涵身钢筋</t>
        </is>
      </c>
      <c r="C242" s="84" t="inlineStr">
        <is>
          <t>t</t>
        </is>
      </c>
      <c r="D242" s="157" t="n">
        <v>16.107</v>
      </c>
      <c r="E242" s="157" t="n">
        <v>780</v>
      </c>
      <c r="F242" s="157">
        <f>ROUND(D242*E242,2)</f>
        <v/>
      </c>
      <c r="G242" s="163" t="inlineStr">
        <is>
          <t xml:space="preserve">按施工图计算重量，不计搭接及损耗 </t>
        </is>
      </c>
      <c r="H242" s="163" t="inlineStr">
        <is>
          <t>除钢筋外全部费用</t>
        </is>
      </c>
      <c r="I242" s="163" t="inlineStr">
        <is>
          <t>现场运输、钢筋除锈、制作、绑扎、安装、定位、校正</t>
        </is>
      </c>
      <c r="J242" s="165" t="n"/>
    </row>
    <row r="243" ht="36" customFormat="1" customHeight="1" s="2">
      <c r="A243" s="90" t="n">
        <v>7</v>
      </c>
      <c r="B243" s="106" t="inlineStr">
        <is>
          <t>翼墙墙身混凝土</t>
        </is>
      </c>
      <c r="C243" s="84" t="inlineStr">
        <is>
          <t>m³</t>
        </is>
      </c>
      <c r="D243" s="157" t="n">
        <v>8.800000000000001</v>
      </c>
      <c r="E243" s="157" t="n">
        <v>142</v>
      </c>
      <c r="F243" s="157">
        <f>ROUND(D243*E243,2)</f>
        <v/>
      </c>
      <c r="G243" s="163" t="inlineStr">
        <is>
          <t>按实际完成的施工图内数量计算</t>
        </is>
      </c>
      <c r="H243" s="163" t="inlineStr">
        <is>
          <t>除混凝土外全部费用，含模板及脚手架费用</t>
        </is>
      </c>
      <c r="I243" s="163" t="inlineStr">
        <is>
          <t>脚手架搭拆，模板制安拆，混凝土浇筑、振捣及养护</t>
        </is>
      </c>
      <c r="J243" s="165" t="n"/>
    </row>
    <row r="244" ht="36" customFormat="1" customHeight="1" s="2">
      <c r="A244" s="90" t="n">
        <v>8</v>
      </c>
      <c r="B244" s="106" t="inlineStr">
        <is>
          <t>泄床砂垫层</t>
        </is>
      </c>
      <c r="C244" s="84" t="inlineStr">
        <is>
          <t>m³</t>
        </is>
      </c>
      <c r="D244" s="157" t="n">
        <v>0.6</v>
      </c>
      <c r="E244" s="157" t="n">
        <v>16</v>
      </c>
      <c r="F244" s="157">
        <f>ROUND(D244*E244,2)</f>
        <v/>
      </c>
      <c r="G244" s="163" t="inlineStr">
        <is>
          <t>按设计图示压实断面尺寸计算</t>
        </is>
      </c>
      <c r="H244" s="163" t="inlineStr">
        <is>
          <t>单价包含除砂以外的全部费用</t>
        </is>
      </c>
      <c r="I244" s="163" t="inlineStr">
        <is>
          <t>分层推平、铺筑、洒水、碾压，整平、排水等全部工作内容</t>
        </is>
      </c>
      <c r="J244" s="111" t="n"/>
    </row>
    <row r="245" ht="36" customFormat="1" customHeight="1" s="2">
      <c r="A245" s="90" t="n">
        <v>9</v>
      </c>
      <c r="B245" s="106" t="inlineStr">
        <is>
          <t>帽石混凝土</t>
        </is>
      </c>
      <c r="C245" s="84" t="inlineStr">
        <is>
          <t>m³</t>
        </is>
      </c>
      <c r="D245" s="157" t="n">
        <v>1.8</v>
      </c>
      <c r="E245" s="157" t="n">
        <v>155</v>
      </c>
      <c r="F245" s="157">
        <f>ROUND(D245*E245,2)</f>
        <v/>
      </c>
      <c r="G245" s="163" t="inlineStr">
        <is>
          <t>按实际完成的施工图内数量计算</t>
        </is>
      </c>
      <c r="H245" s="163" t="inlineStr">
        <is>
          <t>除混凝土外全部费用，含模板及脚手架费用</t>
        </is>
      </c>
      <c r="I245" s="163" t="inlineStr">
        <is>
          <t>搭拆脚手架；立拆模；涂脱模剂；模板修整；灌注混凝土、捣固、养护；材料堆放；清理现场等全部工作内容</t>
        </is>
      </c>
      <c r="J245" s="164" t="n"/>
    </row>
    <row r="246" ht="36" customFormat="1" customHeight="1" s="2">
      <c r="A246" s="90" t="n">
        <v>10</v>
      </c>
      <c r="B246" s="106" t="inlineStr">
        <is>
          <t>聚氯乙烯胶泥填塞</t>
        </is>
      </c>
      <c r="C246" s="84" t="inlineStr">
        <is>
          <t>㎡</t>
        </is>
      </c>
      <c r="D246" s="157" t="n">
        <v>4.8</v>
      </c>
      <c r="E246" s="157" t="n">
        <v>16</v>
      </c>
      <c r="F246" s="157">
        <f>ROUND(D246*E246,2)</f>
        <v/>
      </c>
      <c r="G246" s="163" t="inlineStr">
        <is>
          <t>按实际完成的施工图内数量计算</t>
        </is>
      </c>
      <c r="H246" s="163" t="inlineStr">
        <is>
          <t>除材料费外全部费用</t>
        </is>
      </c>
      <c r="I246" s="163" t="inlineStr">
        <is>
          <t>材料运输、填缝等全部工作内容</t>
        </is>
      </c>
      <c r="J246" s="166" t="n"/>
    </row>
    <row r="247" ht="36" customFormat="1" customHeight="1" s="2">
      <c r="A247" s="90" t="n">
        <v>11</v>
      </c>
      <c r="B247" s="106" t="inlineStr">
        <is>
          <t>聚乙烯泡沫塑料板填缝</t>
        </is>
      </c>
      <c r="C247" s="84" t="inlineStr">
        <is>
          <t>㎡</t>
        </is>
      </c>
      <c r="D247" s="157" t="n">
        <v>16</v>
      </c>
      <c r="E247" s="157" t="n">
        <v>13</v>
      </c>
      <c r="F247" s="157">
        <f>ROUND(D247*E247,2)</f>
        <v/>
      </c>
      <c r="G247" s="163" t="inlineStr">
        <is>
          <t>按实际完成的施工图内数量计算</t>
        </is>
      </c>
      <c r="H247" s="163" t="inlineStr">
        <is>
          <t>除材料外全部费用</t>
        </is>
      </c>
      <c r="I247" s="163" t="inlineStr">
        <is>
          <t>清理基层、分隔缝嵌缝、刷基层处理剂、刷胶、铺贴防水卷材、收头</t>
        </is>
      </c>
      <c r="J247" s="164" t="n"/>
    </row>
    <row r="248" ht="36" customFormat="1" customHeight="1" s="3">
      <c r="A248" s="12" t="inlineStr">
        <is>
          <t>（三）</t>
        </is>
      </c>
      <c r="B248" s="104" t="inlineStr">
        <is>
          <t>防水层</t>
        </is>
      </c>
      <c r="C248" s="80" t="n"/>
      <c r="D248" s="130" t="n"/>
      <c r="E248" s="130" t="n"/>
      <c r="F248" s="130">
        <f>SUM(F249:F252)</f>
        <v/>
      </c>
      <c r="G248" s="162" t="n"/>
      <c r="H248" s="162" t="n"/>
      <c r="I248" s="162" t="n"/>
      <c r="J248" s="130" t="n"/>
    </row>
    <row r="249" ht="36" customFormat="1" customHeight="1" s="2">
      <c r="A249" s="90" t="n">
        <v>1</v>
      </c>
      <c r="B249" s="106" t="inlineStr">
        <is>
          <t>聚氨酯防水涂料</t>
        </is>
      </c>
      <c r="C249" s="84" t="inlineStr">
        <is>
          <t>㎡</t>
        </is>
      </c>
      <c r="D249" s="157" t="n">
        <v>167.9</v>
      </c>
      <c r="E249" s="157" t="n">
        <v>12.5</v>
      </c>
      <c r="F249" s="157">
        <f>ROUND(D249*E249,2)</f>
        <v/>
      </c>
      <c r="G249" s="163" t="inlineStr">
        <is>
          <t>按实际完成的施工图内数量计算</t>
        </is>
      </c>
      <c r="H249" s="163" t="inlineStr">
        <is>
          <t>除防水材料外全部费用</t>
        </is>
      </c>
      <c r="I249" s="163" t="inlineStr">
        <is>
          <t>清理基层、刷基层处理剂、刷聚氨酯防水等一切工作内容</t>
        </is>
      </c>
      <c r="J249" s="164" t="n"/>
    </row>
    <row r="250" ht="36" customFormat="1" customHeight="1" s="2">
      <c r="A250" s="90" t="n">
        <v>2</v>
      </c>
      <c r="B250" s="106" t="inlineStr">
        <is>
          <t>排水坡M10水泥砂浆</t>
        </is>
      </c>
      <c r="C250" s="84" t="inlineStr">
        <is>
          <t>m³</t>
        </is>
      </c>
      <c r="D250" s="157" t="n">
        <v>0.9</v>
      </c>
      <c r="E250" s="157" t="n">
        <v>185</v>
      </c>
      <c r="F250" s="157">
        <f>ROUND(D250*E250,2)</f>
        <v/>
      </c>
      <c r="G250" s="163" t="inlineStr">
        <is>
          <t>按设计图所示，以现场实际完成的合格数量计算</t>
        </is>
      </c>
      <c r="H250" s="163" t="inlineStr">
        <is>
          <t>除砂浆外全部费用</t>
        </is>
      </c>
      <c r="I250" s="163" t="inlineStr">
        <is>
          <t>清理基层,调运砂浆、刷素水泥浆,抹面、压光、养护等</t>
        </is>
      </c>
      <c r="J250" s="113" t="n"/>
    </row>
    <row r="251" ht="36" customFormat="1" customHeight="1" s="2">
      <c r="A251" s="90" t="n">
        <v>3</v>
      </c>
      <c r="B251" s="106" t="inlineStr">
        <is>
          <t>防水卷材</t>
        </is>
      </c>
      <c r="C251" s="84" t="inlineStr">
        <is>
          <t>㎡</t>
        </is>
      </c>
      <c r="D251" s="157" t="n">
        <v>89.90000000000001</v>
      </c>
      <c r="E251" s="157" t="n">
        <v>10.5</v>
      </c>
      <c r="F251" s="157">
        <f>ROUND(D251*E251,2)</f>
        <v/>
      </c>
      <c r="G251" s="163" t="inlineStr">
        <is>
          <t>按实际完成的施工图内数量计算</t>
        </is>
      </c>
      <c r="H251" s="163" t="inlineStr">
        <is>
          <t>除防水材料外全部费用</t>
        </is>
      </c>
      <c r="I251" s="163" t="inlineStr">
        <is>
          <t>清理基层、分隔缝嵌缝、刷基层处理剂、刷胶、铺贴防水卷材、收头</t>
        </is>
      </c>
      <c r="J251" s="164" t="n"/>
    </row>
    <row r="252" ht="36" customFormat="1" customHeight="1" s="2">
      <c r="A252" s="90" t="n">
        <v>4</v>
      </c>
      <c r="B252" s="106" t="inlineStr">
        <is>
          <t>细石子混凝土</t>
        </is>
      </c>
      <c r="C252" s="84" t="inlineStr">
        <is>
          <t>m³</t>
        </is>
      </c>
      <c r="D252" s="157" t="n">
        <v>4.7</v>
      </c>
      <c r="E252" s="157" t="n">
        <v>88</v>
      </c>
      <c r="F252" s="157">
        <f>ROUND(D252*E252,2)</f>
        <v/>
      </c>
      <c r="G252" s="163" t="inlineStr">
        <is>
          <t>按现场实际完成计算</t>
        </is>
      </c>
      <c r="H252" s="163" t="inlineStr">
        <is>
          <t>除材料费外全部费用，含现场倒运费</t>
        </is>
      </c>
      <c r="I252" s="163" t="inlineStr">
        <is>
          <t>基面清理、混凝土拌制、运输、浇筑、抹平、养护、安装泄水管、螺母套丝</t>
        </is>
      </c>
      <c r="J252" s="164" t="n"/>
    </row>
    <row r="253" ht="36" customFormat="1" customHeight="1" s="3">
      <c r="A253" s="12" t="inlineStr">
        <is>
          <t>（四）</t>
        </is>
      </c>
      <c r="B253" s="104" t="inlineStr">
        <is>
          <t>沉降缝</t>
        </is>
      </c>
      <c r="C253" s="80" t="n"/>
      <c r="D253" s="130" t="n"/>
      <c r="E253" s="130" t="n"/>
      <c r="F253" s="130">
        <f>SUM(F254:F256)</f>
        <v/>
      </c>
      <c r="G253" s="162" t="n"/>
      <c r="H253" s="162" t="n"/>
      <c r="I253" s="162" t="n"/>
      <c r="J253" s="130" t="n"/>
    </row>
    <row r="254" ht="36" customFormat="1" customHeight="1" s="2">
      <c r="A254" s="90" t="n">
        <v>1</v>
      </c>
      <c r="B254" s="106" t="inlineStr">
        <is>
          <t>防水卷材</t>
        </is>
      </c>
      <c r="C254" s="84" t="inlineStr">
        <is>
          <t>㎡</t>
        </is>
      </c>
      <c r="D254" s="157" t="n">
        <v>12.5</v>
      </c>
      <c r="E254" s="157" t="n">
        <v>10.5</v>
      </c>
      <c r="F254" s="157">
        <f>ROUND(D254*E254,2)</f>
        <v/>
      </c>
      <c r="G254" s="163" t="inlineStr">
        <is>
          <t>按实际完成的施工图内数量计算</t>
        </is>
      </c>
      <c r="H254" s="163" t="inlineStr">
        <is>
          <t>除防水材料外全部费用</t>
        </is>
      </c>
      <c r="I254" s="163" t="inlineStr">
        <is>
          <t>清理基层、分隔缝嵌缝、刷基层处理剂、刷胶、铺贴防水卷材、收头</t>
        </is>
      </c>
      <c r="J254" s="164" t="n"/>
    </row>
    <row r="255" ht="36" customFormat="1" customHeight="1" s="2">
      <c r="A255" s="90" t="n">
        <v>2</v>
      </c>
      <c r="B255" s="106" t="inlineStr">
        <is>
          <t>中埋止水带</t>
        </is>
      </c>
      <c r="C255" s="84" t="inlineStr">
        <is>
          <t>m</t>
        </is>
      </c>
      <c r="D255" s="157" t="n">
        <v>10.98</v>
      </c>
      <c r="E255" s="157" t="n">
        <v>28</v>
      </c>
      <c r="F255" s="157">
        <f>ROUND(D255*E255,2)</f>
        <v/>
      </c>
      <c r="G255" s="163" t="inlineStr">
        <is>
          <t>按现场实际完成的施工图内的数量计算</t>
        </is>
      </c>
      <c r="H255" s="163" t="inlineStr">
        <is>
          <t>除材料外全部费用</t>
        </is>
      </c>
      <c r="I255" s="163" t="inlineStr">
        <is>
          <t>运料、加工、安装、检查</t>
        </is>
      </c>
      <c r="J255" s="164" t="n"/>
    </row>
    <row r="256" ht="36" customFormat="1" customHeight="1" s="2">
      <c r="A256" s="90" t="n">
        <v>3</v>
      </c>
      <c r="B256" s="106" t="inlineStr">
        <is>
          <t>橡胶止水条</t>
        </is>
      </c>
      <c r="C256" s="84" t="inlineStr">
        <is>
          <t>m</t>
        </is>
      </c>
      <c r="D256" s="157" t="n">
        <v>21.92</v>
      </c>
      <c r="E256" s="157" t="n">
        <v>20</v>
      </c>
      <c r="F256" s="157">
        <f>ROUND(D256*E256,2)</f>
        <v/>
      </c>
      <c r="G256" s="163" t="inlineStr">
        <is>
          <t>按现场实际完成的施工图内的数量计算</t>
        </is>
      </c>
      <c r="H256" s="163" t="inlineStr">
        <is>
          <t>除材料外全部费用</t>
        </is>
      </c>
      <c r="I256" s="163" t="inlineStr">
        <is>
          <t>运料、加工、安装、检查</t>
        </is>
      </c>
      <c r="J256" s="164" t="n"/>
    </row>
    <row r="257" ht="36" customFormat="1" customHeight="1" s="3">
      <c r="A257" s="12" t="inlineStr">
        <is>
          <t>(五)</t>
        </is>
      </c>
      <c r="B257" s="54" t="inlineStr">
        <is>
          <t>顶进工程</t>
        </is>
      </c>
      <c r="C257" s="80" t="n"/>
      <c r="D257" s="130" t="n"/>
      <c r="E257" s="130" t="n"/>
      <c r="F257" s="130">
        <f>SUM(F258:F272)</f>
        <v/>
      </c>
      <c r="G257" s="162" t="n"/>
      <c r="H257" s="162" t="n"/>
      <c r="I257" s="162" t="n"/>
      <c r="J257" s="130" t="n"/>
    </row>
    <row r="258" ht="36" customFormat="1" customHeight="1" s="2">
      <c r="A258" s="90" t="n">
        <v>1</v>
      </c>
      <c r="B258" s="106" t="inlineStr">
        <is>
          <t>工作坑底板混凝土</t>
        </is>
      </c>
      <c r="C258" s="84" t="inlineStr">
        <is>
          <t>m³</t>
        </is>
      </c>
      <c r="D258" s="157" t="n">
        <v>68.7</v>
      </c>
      <c r="E258" s="157" t="n">
        <v>118</v>
      </c>
      <c r="F258" s="157">
        <f>ROUND(D258*E258,2)</f>
        <v/>
      </c>
      <c r="G258" s="163" t="inlineStr">
        <is>
          <t>按实际完成的施工图数量计算</t>
        </is>
      </c>
      <c r="H258" s="163" t="inlineStr">
        <is>
          <t>除混凝土外全部费用，含模板费</t>
        </is>
      </c>
      <c r="I258" s="163" t="inlineStr">
        <is>
          <t>模板安拆、加固，混凝土浇筑、振捣及养护</t>
        </is>
      </c>
      <c r="J258" s="164" t="n"/>
    </row>
    <row r="259" ht="36" customFormat="1" customHeight="1" s="2">
      <c r="A259" s="90" t="n">
        <v>2</v>
      </c>
      <c r="B259" s="106" t="inlineStr">
        <is>
          <t>底板钢筋</t>
        </is>
      </c>
      <c r="C259" s="84" t="inlineStr">
        <is>
          <t>t</t>
        </is>
      </c>
      <c r="D259" s="157" t="n">
        <v>2.119</v>
      </c>
      <c r="E259" s="157" t="n">
        <v>780</v>
      </c>
      <c r="F259" s="157">
        <f>ROUND(D259*E259,2)</f>
        <v/>
      </c>
      <c r="G259" s="163" t="inlineStr">
        <is>
          <t>按施工图计算重量，不计搭接及损耗。</t>
        </is>
      </c>
      <c r="H259" s="163" t="inlineStr">
        <is>
          <t>除钢筋外全部费用</t>
        </is>
      </c>
      <c r="I259" s="163" t="inlineStr">
        <is>
          <t>现场运输，钢筋除锈、制作、绑扎、安装、定位、校正</t>
        </is>
      </c>
      <c r="J259" s="164" t="n"/>
    </row>
    <row r="260" ht="36" customFormat="1" customHeight="1" s="2">
      <c r="A260" s="90" t="n">
        <v>3</v>
      </c>
      <c r="B260" s="106" t="inlineStr">
        <is>
          <t>工作坑底板下铺碎石</t>
        </is>
      </c>
      <c r="C260" s="84" t="inlineStr">
        <is>
          <t>m³</t>
        </is>
      </c>
      <c r="D260" s="157" t="n">
        <v>45.8</v>
      </c>
      <c r="E260" s="157" t="n">
        <v>18.5</v>
      </c>
      <c r="F260" s="157">
        <f>ROUND(D260*E260,2)</f>
        <v/>
      </c>
      <c r="G260" s="163" t="inlineStr">
        <is>
          <t>以基坑开挖数量减去基础（承台）圬工数量计算</t>
        </is>
      </c>
      <c r="H260" s="163" t="inlineStr">
        <is>
          <t>除碎石外全部费用</t>
        </is>
      </c>
      <c r="I260" s="163" t="inlineStr">
        <is>
          <t>装、运、卸、平土、夯实，运距20m内</t>
        </is>
      </c>
      <c r="J260" s="164" t="n"/>
    </row>
    <row r="261" ht="36" customFormat="1" customHeight="1" s="2">
      <c r="A261" s="90" t="n">
        <v>4</v>
      </c>
      <c r="B261" s="106" t="inlineStr">
        <is>
          <t>锚梁混凝土</t>
        </is>
      </c>
      <c r="C261" s="84" t="inlineStr">
        <is>
          <t>m³</t>
        </is>
      </c>
      <c r="D261" s="157" t="n">
        <v>10.6848</v>
      </c>
      <c r="E261" s="157" t="n">
        <v>115</v>
      </c>
      <c r="F261" s="157">
        <f>ROUND(D261*E261,2)</f>
        <v/>
      </c>
      <c r="G261" s="163" t="inlineStr">
        <is>
          <t>按实际完成的施工图数量计算</t>
        </is>
      </c>
      <c r="H261" s="163" t="inlineStr">
        <is>
          <t>除混凝土外全部费用，含模板费</t>
        </is>
      </c>
      <c r="I261" s="163" t="inlineStr">
        <is>
          <t>模板制安拆，混凝土浇筑、振捣及养护，顶面抹平</t>
        </is>
      </c>
      <c r="J261" s="164" t="n"/>
    </row>
    <row r="262" ht="36" customFormat="1" customHeight="1" s="2">
      <c r="A262" s="90" t="n">
        <v>5</v>
      </c>
      <c r="B262" s="106" t="inlineStr">
        <is>
          <t>导向墩混凝土</t>
        </is>
      </c>
      <c r="C262" s="84" t="inlineStr">
        <is>
          <t>m³</t>
        </is>
      </c>
      <c r="D262" s="157" t="n">
        <v>16.56</v>
      </c>
      <c r="E262" s="157" t="n">
        <v>118</v>
      </c>
      <c r="F262" s="157">
        <f>ROUND(D262*E262,2)</f>
        <v/>
      </c>
      <c r="G262" s="114" t="inlineStr">
        <is>
          <t>按实际完成的施工图数量计算</t>
        </is>
      </c>
      <c r="H262" s="114" t="inlineStr">
        <is>
          <t>除混凝土外全部费用，含模板费</t>
        </is>
      </c>
      <c r="I262" s="114" t="inlineStr">
        <is>
          <t>模板制安拆，混凝土浇筑、振捣及养护，顶面抹平</t>
        </is>
      </c>
      <c r="J262" s="164" t="n"/>
    </row>
    <row r="263" ht="36" customFormat="1" customHeight="1" s="2">
      <c r="A263" s="90" t="n">
        <v>6</v>
      </c>
      <c r="B263" s="106" t="inlineStr">
        <is>
          <t>导向墩钢筋</t>
        </is>
      </c>
      <c r="C263" s="84" t="inlineStr">
        <is>
          <t>t</t>
        </is>
      </c>
      <c r="D263" s="157" t="n">
        <v>1.519</v>
      </c>
      <c r="E263" s="157" t="n">
        <v>780</v>
      </c>
      <c r="F263" s="157">
        <f>ROUND(D263*E263,2)</f>
        <v/>
      </c>
      <c r="G263" s="163" t="inlineStr">
        <is>
          <t>按实际完成的施工图数量计算</t>
        </is>
      </c>
      <c r="H263" s="163" t="inlineStr">
        <is>
          <t>除钢筋外全部费用</t>
        </is>
      </c>
      <c r="I263" s="163" t="inlineStr">
        <is>
          <t>钢筋除锈、制作，划线定位、绑扎，检查、校正</t>
        </is>
      </c>
      <c r="J263" s="164" t="n"/>
    </row>
    <row r="264" ht="36" customFormat="1" customHeight="1" s="2">
      <c r="A264" s="90" t="n">
        <v>7</v>
      </c>
      <c r="B264" s="106" t="inlineStr">
        <is>
          <t>润滑层（机油:滑石粉3:7厚3mm）</t>
        </is>
      </c>
      <c r="C264" s="84" t="inlineStr">
        <is>
          <t>㎡</t>
        </is>
      </c>
      <c r="D264" s="157" t="n">
        <v>229</v>
      </c>
      <c r="E264" s="157" t="n">
        <v>8.5</v>
      </c>
      <c r="F264" s="157">
        <f>ROUND(D264*E264,2)</f>
        <v/>
      </c>
      <c r="G264" s="163" t="inlineStr">
        <is>
          <t>按实际完成的施工图数量计算</t>
        </is>
      </c>
      <c r="H264" s="163" t="inlineStr">
        <is>
          <t>全部费用</t>
        </is>
      </c>
      <c r="I264" s="163" t="inlineStr">
        <is>
          <t>砂浆制作、抹平、养护，铺设润滑剂、塑料布等</t>
        </is>
      </c>
      <c r="J264" s="164" t="n"/>
    </row>
    <row r="265" ht="36" customFormat="1" customHeight="1" s="2">
      <c r="A265" s="90" t="n">
        <v>8</v>
      </c>
      <c r="B265" s="106" t="inlineStr">
        <is>
          <t>后背墙浆砌片石</t>
        </is>
      </c>
      <c r="C265" s="84" t="inlineStr">
        <is>
          <t>m³</t>
        </is>
      </c>
      <c r="D265" s="157" t="n">
        <v>41.2</v>
      </c>
      <c r="E265" s="157" t="n">
        <v>68</v>
      </c>
      <c r="F265" s="157">
        <f>ROUND(D265*E265,2)</f>
        <v/>
      </c>
      <c r="G265" s="163" t="inlineStr">
        <is>
          <t>按现场实际完成的施工图数量内合格圬工体积计算</t>
        </is>
      </c>
      <c r="H265" s="163" t="inlineStr">
        <is>
          <t xml:space="preserve">除片石、水泥外全部费用 </t>
        </is>
      </c>
      <c r="I265" s="163" t="inlineStr">
        <is>
          <t>搭拆脚手板，选、修、洗石，砂浆拌制、安砌及养护</t>
        </is>
      </c>
      <c r="J265" s="165" t="n"/>
    </row>
    <row r="266" ht="36" customFormat="1" customHeight="1" s="2">
      <c r="A266" s="90" t="n">
        <v>9</v>
      </c>
      <c r="B266" s="106" t="inlineStr">
        <is>
          <t>后背梁混凝土</t>
        </is>
      </c>
      <c r="C266" s="84" t="inlineStr">
        <is>
          <t>m3</t>
        </is>
      </c>
      <c r="D266" s="157" t="n">
        <v>10.2</v>
      </c>
      <c r="E266" s="157" t="n">
        <v>115</v>
      </c>
      <c r="F266" s="157">
        <f>ROUND(D266*E266,2)</f>
        <v/>
      </c>
      <c r="G266" s="163" t="inlineStr">
        <is>
          <t>按实际完成的施工图数量计算</t>
        </is>
      </c>
      <c r="H266" s="163" t="inlineStr">
        <is>
          <t>除混凝土外全部费用，含模板费</t>
        </is>
      </c>
      <c r="I266" s="163" t="inlineStr">
        <is>
          <t>模板制安拆，混凝土浇筑、振捣及养护，顶面抹平</t>
        </is>
      </c>
      <c r="J266" s="164" t="n"/>
    </row>
    <row r="267" ht="36" customFormat="1" customHeight="1" s="2">
      <c r="A267" s="90" t="n">
        <v>10</v>
      </c>
      <c r="B267" s="106" t="inlineStr">
        <is>
          <t>工作坑挖土方</t>
        </is>
      </c>
      <c r="C267" s="84" t="inlineStr">
        <is>
          <t>m³</t>
        </is>
      </c>
      <c r="D267" s="157" t="n">
        <v>895.9</v>
      </c>
      <c r="E267" s="157" t="n">
        <v>4.5</v>
      </c>
      <c r="F267" s="157">
        <f>ROUND(D267*E267,2)</f>
        <v/>
      </c>
      <c r="G267" s="163" t="inlineStr">
        <is>
          <t>按施工图尺寸体积计算</t>
        </is>
      </c>
      <c r="H267" s="163" t="inlineStr">
        <is>
          <t>全部费用</t>
        </is>
      </c>
      <c r="I267" s="163" t="inlineStr">
        <is>
          <t>挖、运至基坑外20m，包括近坑底标高0.3m以内的土方人工挖运，坑壁及坑底修整，清理工作场地</t>
        </is>
      </c>
      <c r="J267" s="164" t="n"/>
    </row>
    <row r="268" ht="36" customFormat="1" customHeight="1" s="2">
      <c r="A268" s="90" t="n">
        <v>11</v>
      </c>
      <c r="B268" s="106" t="inlineStr">
        <is>
          <t>基坑回填</t>
        </is>
      </c>
      <c r="C268" s="84" t="inlineStr">
        <is>
          <t>m3</t>
        </is>
      </c>
      <c r="D268" s="157" t="n">
        <v>895.9</v>
      </c>
      <c r="E268" s="157" t="n">
        <v>8.5</v>
      </c>
      <c r="F268" s="157">
        <f>ROUND(D268*E268,2)</f>
        <v/>
      </c>
      <c r="G268" s="163" t="inlineStr">
        <is>
          <t>按实际完成的施工图数量计算</t>
        </is>
      </c>
      <c r="H268" s="163" t="inlineStr">
        <is>
          <t>全部费用</t>
        </is>
      </c>
      <c r="I268" s="163" t="inlineStr">
        <is>
          <t>装、运、卸、平土、夯实，运距20m内</t>
        </is>
      </c>
      <c r="J268" s="164" t="n"/>
    </row>
    <row r="269" ht="36" customFormat="1" customHeight="1" s="2">
      <c r="A269" s="90" t="n">
        <v>12</v>
      </c>
      <c r="B269" s="106" t="inlineStr">
        <is>
          <t>后背填土</t>
        </is>
      </c>
      <c r="C269" s="84" t="inlineStr">
        <is>
          <t>m³</t>
        </is>
      </c>
      <c r="D269" s="157" t="n">
        <v>120.3</v>
      </c>
      <c r="E269" s="157" t="n">
        <v>8.5</v>
      </c>
      <c r="F269" s="157">
        <f>ROUND(D269*E269,2)</f>
        <v/>
      </c>
      <c r="G269" s="163" t="inlineStr">
        <is>
          <t>按实际完成的施工图数量计算</t>
        </is>
      </c>
      <c r="H269" s="163" t="inlineStr">
        <is>
          <t>全部费用</t>
        </is>
      </c>
      <c r="I269" s="163" t="inlineStr">
        <is>
          <t>装、运、卸、平土、夯实，运距20m内</t>
        </is>
      </c>
      <c r="J269" s="164" t="n"/>
    </row>
    <row r="270" ht="36" customFormat="1" customHeight="1" s="2">
      <c r="A270" s="90" t="n">
        <v>13</v>
      </c>
      <c r="B270" s="106" t="inlineStr">
        <is>
          <t>拆除钢筋混凝土</t>
        </is>
      </c>
      <c r="C270" s="84" t="inlineStr">
        <is>
          <t>m³</t>
        </is>
      </c>
      <c r="D270" s="157" t="n">
        <v>117.4</v>
      </c>
      <c r="E270" s="157" t="n">
        <v>38</v>
      </c>
      <c r="F270" s="157">
        <f>ROUND(D270*E270,2)</f>
        <v/>
      </c>
      <c r="G270" s="163" t="inlineStr">
        <is>
          <t>按拆除构筑物实际尺寸计算</t>
        </is>
      </c>
      <c r="H270" s="163" t="inlineStr">
        <is>
          <t>包含除弃碴费外的全部费用</t>
        </is>
      </c>
      <c r="I270" s="163" t="inlineStr">
        <is>
          <t>机械凿除、清理</t>
        </is>
      </c>
      <c r="J270" s="164" t="n"/>
    </row>
    <row r="271" ht="36" customFormat="1" customHeight="1" s="2">
      <c r="A271" s="90" t="n">
        <v>14</v>
      </c>
      <c r="B271" s="106" t="inlineStr">
        <is>
          <t>拆除砌体结构</t>
        </is>
      </c>
      <c r="C271" s="84" t="inlineStr">
        <is>
          <t>m³</t>
        </is>
      </c>
      <c r="D271" s="157" t="n">
        <v>41.2</v>
      </c>
      <c r="E271" s="157" t="n">
        <v>30</v>
      </c>
      <c r="F271" s="157">
        <f>ROUND(D271*E271,2)</f>
        <v/>
      </c>
      <c r="G271" s="163" t="inlineStr">
        <is>
          <t>按拆除构筑物实际尺寸计算</t>
        </is>
      </c>
      <c r="H271" s="163" t="inlineStr">
        <is>
          <t>包含除弃碴费外的全部费用</t>
        </is>
      </c>
      <c r="I271" s="163" t="inlineStr">
        <is>
          <t>机械凿除、清理</t>
        </is>
      </c>
      <c r="J271" s="165" t="n"/>
    </row>
    <row r="272" ht="36" customFormat="1" customHeight="1" s="2">
      <c r="A272" s="90" t="n">
        <v>15</v>
      </c>
      <c r="B272" s="106" t="inlineStr">
        <is>
          <t>拆除混凝土</t>
        </is>
      </c>
      <c r="C272" s="84" t="inlineStr">
        <is>
          <t>m³</t>
        </is>
      </c>
      <c r="D272" s="157" t="n">
        <v>10.2</v>
      </c>
      <c r="E272" s="157" t="n">
        <v>32</v>
      </c>
      <c r="F272" s="157">
        <f>ROUND(D272*E272,2)</f>
        <v/>
      </c>
      <c r="G272" s="163" t="inlineStr">
        <is>
          <t>按拆除构筑物实际尺寸计算</t>
        </is>
      </c>
      <c r="H272" s="163" t="inlineStr">
        <is>
          <t>包含除弃碴费外的全部费用</t>
        </is>
      </c>
      <c r="I272" s="163" t="inlineStr">
        <is>
          <t>机械凿除、清理</t>
        </is>
      </c>
      <c r="J272" s="164" t="n"/>
    </row>
    <row r="273" ht="36" customFormat="1" customHeight="1" s="3">
      <c r="A273" s="12" t="inlineStr">
        <is>
          <t>（六）</t>
        </is>
      </c>
      <c r="B273" s="54" t="inlineStr">
        <is>
          <t>线路加固</t>
        </is>
      </c>
      <c r="C273" s="80" t="n"/>
      <c r="D273" s="130" t="n"/>
      <c r="E273" s="130" t="n"/>
      <c r="F273" s="130">
        <f>SUM(F274:F277)</f>
        <v/>
      </c>
      <c r="G273" s="162" t="n"/>
      <c r="H273" s="162" t="n"/>
      <c r="I273" s="162" t="n"/>
      <c r="J273" s="130" t="n"/>
    </row>
    <row r="274" ht="36" customFormat="1" customHeight="1" s="2">
      <c r="A274" s="90" t="n">
        <v>1</v>
      </c>
      <c r="B274" s="106" t="inlineStr">
        <is>
          <t>钢筋</t>
        </is>
      </c>
      <c r="C274" s="84" t="inlineStr">
        <is>
          <t>t</t>
        </is>
      </c>
      <c r="D274" s="157" t="n">
        <v>0.765</v>
      </c>
      <c r="E274" s="157" t="n">
        <v>780</v>
      </c>
      <c r="F274" s="157">
        <f>ROUND(D274*E274,2)</f>
        <v/>
      </c>
      <c r="G274" s="163" t="inlineStr">
        <is>
          <t>按现场实际完成的施工图内的数量计算</t>
        </is>
      </c>
      <c r="H274" s="163" t="inlineStr">
        <is>
          <t>除钢筋外全部费用</t>
        </is>
      </c>
      <c r="I274" s="163" t="inlineStr">
        <is>
          <t>钢筋调直、下料、制作、运输、挂网安装、点焊、加固</t>
        </is>
      </c>
      <c r="J274" s="164" t="n"/>
    </row>
    <row r="275" ht="36" customFormat="1" customHeight="1" s="2">
      <c r="A275" s="90" t="n">
        <v>2</v>
      </c>
      <c r="B275" s="106" t="inlineStr">
        <is>
          <t>喷早强混凝土</t>
        </is>
      </c>
      <c r="C275" s="84" t="inlineStr">
        <is>
          <t>m³</t>
        </is>
      </c>
      <c r="D275" s="157" t="n">
        <v>19.2</v>
      </c>
      <c r="E275" s="157" t="n">
        <v>125</v>
      </c>
      <c r="F275" s="157">
        <f>ROUND(D275*E275,2)</f>
        <v/>
      </c>
      <c r="G275" s="163" t="inlineStr">
        <is>
          <t>按实际施工的有效面积收方</t>
        </is>
      </c>
      <c r="H275" s="163" t="inlineStr">
        <is>
          <t>除混凝土外的全部费用</t>
        </is>
      </c>
      <c r="I275" s="163" t="inlineStr">
        <is>
          <t>操作平台移动，安拆转移机具设备，清理工作面，挂网、混凝土制作、喷射，喷射机安装拆卸及混凝土养护等全部工作内容</t>
        </is>
      </c>
      <c r="J275" s="166" t="n"/>
    </row>
    <row r="276" ht="36" customFormat="1" customHeight="1" s="2">
      <c r="A276" s="90" t="n">
        <v>3</v>
      </c>
      <c r="B276" s="106" t="inlineStr">
        <is>
          <t>砂浆锚杆（φ22，单根长2.5m）</t>
        </is>
      </c>
      <c r="C276" s="84" t="inlineStr">
        <is>
          <t>m</t>
        </is>
      </c>
      <c r="D276" s="157" t="n">
        <v>212.5</v>
      </c>
      <c r="E276" s="157" t="n">
        <v>30</v>
      </c>
      <c r="F276" s="157">
        <f>ROUND(D276*E276,2)</f>
        <v/>
      </c>
      <c r="G276" s="163" t="inlineStr">
        <is>
          <t>按实际施工有效长度计算</t>
        </is>
      </c>
      <c r="H276" s="163" t="inlineStr">
        <is>
          <t>除锚杆、砂浆外全部费用</t>
        </is>
      </c>
      <c r="I276" s="163" t="inlineStr">
        <is>
          <t>搭拆简易脚手架、测量、定位、钻孔、砂浆拌制、灌注，锚杆制安等</t>
        </is>
      </c>
      <c r="J276" s="164" t="n"/>
    </row>
    <row r="277" ht="36" customFormat="1" customHeight="1" s="2">
      <c r="A277" s="90" t="n">
        <v>4</v>
      </c>
      <c r="B277" s="106" t="inlineStr">
        <is>
          <t>拆除钢筋混凝土（防护桩、盖梁）</t>
        </is>
      </c>
      <c r="C277" s="84" t="inlineStr">
        <is>
          <t>m3</t>
        </is>
      </c>
      <c r="D277" s="157" t="n">
        <v>72</v>
      </c>
      <c r="E277" s="157" t="n">
        <v>38</v>
      </c>
      <c r="F277" s="157">
        <f>ROUND(D277*E277,2)</f>
        <v/>
      </c>
      <c r="G277" s="163" t="inlineStr">
        <is>
          <t>按拆除构筑物实际尺寸计算</t>
        </is>
      </c>
      <c r="H277" s="163" t="inlineStr">
        <is>
          <t>包含除弃碴费外的全部费用</t>
        </is>
      </c>
      <c r="I277" s="163" t="inlineStr">
        <is>
          <t>机械凿除、清理</t>
        </is>
      </c>
      <c r="J277" s="164" t="n"/>
    </row>
    <row r="278" ht="36" customFormat="1" customHeight="1" s="3">
      <c r="A278" s="12" t="inlineStr">
        <is>
          <t>（七）</t>
        </is>
      </c>
      <c r="B278" s="54" t="inlineStr">
        <is>
          <t>附属工程</t>
        </is>
      </c>
      <c r="C278" s="80" t="n"/>
      <c r="D278" s="130" t="n"/>
      <c r="E278" s="130" t="n"/>
      <c r="F278" s="130">
        <f>SUM(F279:F288)</f>
        <v/>
      </c>
      <c r="G278" s="162" t="n"/>
      <c r="H278" s="162" t="n"/>
      <c r="I278" s="162" t="n"/>
      <c r="J278" s="130" t="n"/>
    </row>
    <row r="279" ht="36" customFormat="1" customHeight="1" s="2">
      <c r="A279" s="90" t="n">
        <v>1</v>
      </c>
      <c r="B279" s="106" t="inlineStr">
        <is>
          <t>顺沟土方</t>
        </is>
      </c>
      <c r="C279" s="84" t="inlineStr">
        <is>
          <t>m3</t>
        </is>
      </c>
      <c r="D279" s="157" t="n">
        <v>74</v>
      </c>
      <c r="E279" s="157" t="n">
        <v>10.5</v>
      </c>
      <c r="F279" s="157">
        <f>ROUND(D279*E279,2)</f>
        <v/>
      </c>
      <c r="G279" s="163" t="inlineStr">
        <is>
          <t>按施工图尺寸体积计算</t>
        </is>
      </c>
      <c r="H279" s="163" t="inlineStr">
        <is>
          <t>全部费用</t>
        </is>
      </c>
      <c r="I279" s="163" t="inlineStr">
        <is>
          <t>挖、运至基坑外20m，包括近坑底标高0.3m以内的土方人工挖运，坑壁及坑底修整，清理工作场地</t>
        </is>
      </c>
      <c r="J279" s="164" t="n"/>
    </row>
    <row r="280" ht="36" customFormat="1" customHeight="1" s="2">
      <c r="A280" s="90" t="n">
        <v>2</v>
      </c>
      <c r="B280" s="106" t="inlineStr">
        <is>
          <t>出口边坡、沟床、锥体碎石垫层</t>
        </is>
      </c>
      <c r="C280" s="84" t="inlineStr">
        <is>
          <t>m3</t>
        </is>
      </c>
      <c r="D280" s="157" t="n">
        <v>26.7</v>
      </c>
      <c r="E280" s="157" t="n">
        <v>18.5</v>
      </c>
      <c r="F280" s="157">
        <f>ROUND(D280*E280,2)</f>
        <v/>
      </c>
      <c r="G280" s="163" t="inlineStr">
        <is>
          <t>按施工图所示，以成型顶面积计算</t>
        </is>
      </c>
      <c r="H280" s="163" t="inlineStr">
        <is>
          <t>除垫层料外包含全部费用</t>
        </is>
      </c>
      <c r="I280" s="163" t="inlineStr">
        <is>
          <t>施工准备、铺筑、整平、洒水、碾压、清理工作场地。（如果要求用摊铺机施工，套用路面基层摊铺机施工）</t>
        </is>
      </c>
      <c r="J280" s="115" t="n"/>
    </row>
    <row r="281" ht="36" customFormat="1" customHeight="1" s="2">
      <c r="A281" s="90" t="n">
        <v>3</v>
      </c>
      <c r="B281" s="106" t="inlineStr">
        <is>
          <t>出口边坡、锥体混凝土</t>
        </is>
      </c>
      <c r="C281" s="84" t="inlineStr">
        <is>
          <t>m3</t>
        </is>
      </c>
      <c r="D281" s="157" t="n">
        <v>1.9</v>
      </c>
      <c r="E281" s="157" t="n">
        <v>128</v>
      </c>
      <c r="F281" s="157">
        <f>ROUND(D281*E281,2)</f>
        <v/>
      </c>
      <c r="G281" s="163" t="inlineStr">
        <is>
          <t>按施工图计算圬工体积计算，不含回填砼</t>
        </is>
      </c>
      <c r="H281" s="163" t="inlineStr">
        <is>
          <t>除混凝土外全部费用，含模板费用</t>
        </is>
      </c>
      <c r="I281" s="163" t="inlineStr">
        <is>
          <t>模板安拆、混凝土浇筑、振捣及养护、接口凿毛</t>
        </is>
      </c>
      <c r="J281" s="164" t="n"/>
    </row>
    <row r="282" ht="36" customFormat="1" customHeight="1" s="2">
      <c r="A282" s="90" t="n">
        <v>4</v>
      </c>
      <c r="B282" s="106" t="inlineStr">
        <is>
          <t>出口沟床、垂裙混凝土</t>
        </is>
      </c>
      <c r="C282" s="84" t="inlineStr">
        <is>
          <t>m3</t>
        </is>
      </c>
      <c r="D282" s="157" t="n">
        <v>46.4</v>
      </c>
      <c r="E282" s="157" t="n">
        <v>122</v>
      </c>
      <c r="F282" s="157">
        <f>ROUND(D282*E282,2)</f>
        <v/>
      </c>
      <c r="G282" s="163" t="inlineStr">
        <is>
          <t>按施工图计算圬工体积计算，不含回填砼</t>
        </is>
      </c>
      <c r="H282" s="163" t="inlineStr">
        <is>
          <t>除混凝土外全部费用，含模板费用</t>
        </is>
      </c>
      <c r="I282" s="163" t="inlineStr">
        <is>
          <t>模板安拆、混凝土浇筑、振捣及养护、接口凿毛</t>
        </is>
      </c>
      <c r="J282" s="164" t="n"/>
    </row>
    <row r="283" ht="36" customFormat="1" customHeight="1" s="2">
      <c r="A283" s="90" t="n">
        <v>5</v>
      </c>
      <c r="B283" s="106" t="inlineStr">
        <is>
          <t>拆除钢筋混凝土</t>
        </is>
      </c>
      <c r="C283" s="84" t="inlineStr">
        <is>
          <t>m3</t>
        </is>
      </c>
      <c r="D283" s="157" t="n">
        <v>39.7</v>
      </c>
      <c r="E283" s="157" t="n">
        <v>38</v>
      </c>
      <c r="F283" s="157">
        <f>ROUND(D283*E283,2)</f>
        <v/>
      </c>
      <c r="G283" s="163" t="inlineStr">
        <is>
          <t>按拆除构筑物实际尺寸计算</t>
        </is>
      </c>
      <c r="H283" s="163" t="inlineStr">
        <is>
          <t>包含除弃碴费外的全部费用</t>
        </is>
      </c>
      <c r="I283" s="163" t="inlineStr">
        <is>
          <t>机械凿除、清理</t>
        </is>
      </c>
      <c r="J283" s="164" t="n"/>
    </row>
    <row r="284" ht="36" customFormat="1" customHeight="1" s="2">
      <c r="A284" s="90" t="n">
        <v>6</v>
      </c>
      <c r="B284" s="106" t="inlineStr">
        <is>
          <t>拆除砌体结构</t>
        </is>
      </c>
      <c r="C284" s="84" t="inlineStr">
        <is>
          <t>m3</t>
        </is>
      </c>
      <c r="D284" s="157" t="n">
        <v>18.6</v>
      </c>
      <c r="E284" s="157" t="n">
        <v>30</v>
      </c>
      <c r="F284" s="157">
        <f>ROUND(D284*E284,2)</f>
        <v/>
      </c>
      <c r="G284" s="163" t="inlineStr">
        <is>
          <t>按拆除构筑物实际尺寸计算</t>
        </is>
      </c>
      <c r="H284" s="163" t="inlineStr">
        <is>
          <t>包含除弃碴费外的全部费用</t>
        </is>
      </c>
      <c r="I284" s="163" t="inlineStr">
        <is>
          <t>机械凿除、清理</t>
        </is>
      </c>
      <c r="J284" s="165" t="n"/>
    </row>
    <row r="285" ht="36" customFormat="1" customHeight="1" s="2">
      <c r="A285" s="90" t="n">
        <v>7</v>
      </c>
      <c r="B285" s="106" t="inlineStr">
        <is>
          <t>拆除混凝土</t>
        </is>
      </c>
      <c r="C285" s="84" t="inlineStr">
        <is>
          <t>m3</t>
        </is>
      </c>
      <c r="D285" s="157" t="n">
        <v>7</v>
      </c>
      <c r="E285" s="157" t="n">
        <v>32</v>
      </c>
      <c r="F285" s="157">
        <f>ROUND(D285*E285,2)</f>
        <v/>
      </c>
      <c r="G285" s="163" t="inlineStr">
        <is>
          <t>按拆除构筑物实际尺寸计算</t>
        </is>
      </c>
      <c r="H285" s="163" t="inlineStr">
        <is>
          <t>包含除弃碴费外的全部费用</t>
        </is>
      </c>
      <c r="I285" s="163" t="inlineStr">
        <is>
          <t>机械凿除、清理</t>
        </is>
      </c>
      <c r="J285" s="164" t="n"/>
    </row>
    <row r="286" ht="36" customFormat="1" customHeight="1" s="2">
      <c r="A286" s="90" t="n">
        <v>8</v>
      </c>
      <c r="B286" s="106" t="inlineStr">
        <is>
          <t>排水涵入口边坡混凝土预制六棱砖</t>
        </is>
      </c>
      <c r="C286" s="84" t="inlineStr">
        <is>
          <t>m3</t>
        </is>
      </c>
      <c r="D286" s="157" t="n">
        <v>8.199999999999999</v>
      </c>
      <c r="E286" s="157" t="n">
        <v>78</v>
      </c>
      <c r="F286" s="157">
        <f>ROUND(D286*E286,2)</f>
        <v/>
      </c>
      <c r="G286" s="163" t="inlineStr">
        <is>
          <t>按施工图尺寸计算实际圬工体积</t>
        </is>
      </c>
      <c r="H286" s="163" t="inlineStr">
        <is>
          <t>除主要材料外全部费用</t>
        </is>
      </c>
      <c r="I286" s="163" t="inlineStr">
        <is>
          <t>挖基、选修预制块及洗刷、拌制砂浆、铺浆、安砌及勾缝、安砌水孔、整理及养护，清理工作场地，含现场倒运。</t>
        </is>
      </c>
      <c r="J286" s="164" t="n"/>
    </row>
    <row r="287" ht="36" customFormat="1" customHeight="1" s="2">
      <c r="A287" s="90" t="n">
        <v>9</v>
      </c>
      <c r="B287" s="106" t="inlineStr">
        <is>
          <t>排水涵入口边坡碎石垫层</t>
        </is>
      </c>
      <c r="C287" s="84" t="inlineStr">
        <is>
          <t>m3</t>
        </is>
      </c>
      <c r="D287" s="157" t="n">
        <v>5.5</v>
      </c>
      <c r="E287" s="157" t="n">
        <v>18.5</v>
      </c>
      <c r="F287" s="157">
        <f>ROUND(D287*E287,2)</f>
        <v/>
      </c>
      <c r="G287" s="163" t="inlineStr">
        <is>
          <t>按施工图所示，以成型顶面积计算</t>
        </is>
      </c>
      <c r="H287" s="163" t="inlineStr">
        <is>
          <t>除垫层料外包含全部费用</t>
        </is>
      </c>
      <c r="I287" s="163" t="inlineStr">
        <is>
          <t>施工准备、铺筑、整平、洒水、碾压、清理工作场地。（如果要求用摊铺机施工，套用路面基层摊铺机施工）</t>
        </is>
      </c>
      <c r="J287" s="115" t="n"/>
    </row>
    <row r="288" ht="36" customFormat="1" customHeight="1" s="2">
      <c r="A288" s="90" t="n">
        <v>10</v>
      </c>
      <c r="B288" s="106" t="inlineStr">
        <is>
          <t>PVC排水管（φ30cm）</t>
        </is>
      </c>
      <c r="C288" s="84" t="inlineStr">
        <is>
          <t>m</t>
        </is>
      </c>
      <c r="D288" s="157" t="n">
        <v>0.8</v>
      </c>
      <c r="E288" s="157" t="n">
        <v>16</v>
      </c>
      <c r="F288" s="157">
        <f>ROUND(D288*E288,2)</f>
        <v/>
      </c>
      <c r="G288" s="163" t="inlineStr">
        <is>
          <t>按现场实际完成计量</t>
        </is>
      </c>
      <c r="H288" s="163" t="inlineStr">
        <is>
          <t>除排水管以外的全部费用</t>
        </is>
      </c>
      <c r="I288" s="163" t="inlineStr">
        <is>
          <t>PVC管下料、倒运、安装等全部工作内容</t>
        </is>
      </c>
      <c r="J288" s="115" t="n"/>
    </row>
    <row r="289" ht="36" customFormat="1" customHeight="1" s="3">
      <c r="A289" s="12" t="inlineStr">
        <is>
          <t>（八）</t>
        </is>
      </c>
      <c r="B289" s="54" t="inlineStr">
        <is>
          <t>防腐措施</t>
        </is>
      </c>
      <c r="C289" s="80" t="n"/>
      <c r="D289" s="130" t="n"/>
      <c r="E289" s="130" t="n"/>
      <c r="F289" s="130">
        <f>SUM(F290:F294)</f>
        <v/>
      </c>
      <c r="G289" s="162" t="n"/>
      <c r="H289" s="162" t="n"/>
      <c r="I289" s="162" t="n"/>
      <c r="J289" s="130" t="n"/>
    </row>
    <row r="290" ht="36" customFormat="1" customHeight="1" s="2">
      <c r="A290" s="90" t="n">
        <v>1</v>
      </c>
      <c r="B290" s="106" t="inlineStr">
        <is>
          <t>涂刷石油沥青聚氨酯涂料</t>
        </is>
      </c>
      <c r="C290" s="84" t="inlineStr">
        <is>
          <t>㎡</t>
        </is>
      </c>
      <c r="D290" s="157" t="n">
        <v>349.9</v>
      </c>
      <c r="E290" s="157" t="n">
        <v>8.5</v>
      </c>
      <c r="F290" s="157">
        <f>ROUND(D290*E290,2)</f>
        <v/>
      </c>
      <c r="G290" s="163" t="inlineStr">
        <is>
          <t>按实际完成的施工图内数量计算</t>
        </is>
      </c>
      <c r="H290" s="163" t="inlineStr">
        <is>
          <t>除材料外全部费用</t>
        </is>
      </c>
      <c r="I290" s="163" t="inlineStr">
        <is>
          <t>清扫圬工表面,防水涂料调匀涂料,涂刷</t>
        </is>
      </c>
      <c r="J290" s="164" t="n"/>
    </row>
    <row r="291" ht="36" customFormat="1" customHeight="1" s="2">
      <c r="A291" s="90" t="n">
        <v>2</v>
      </c>
      <c r="B291" s="106" t="inlineStr">
        <is>
          <t>基底隔离层沥青混凝土</t>
        </is>
      </c>
      <c r="C291" s="84" t="inlineStr">
        <is>
          <t>m3</t>
        </is>
      </c>
      <c r="D291" s="157" t="n">
        <v>35.6</v>
      </c>
      <c r="E291" s="157" t="n">
        <v>38</v>
      </c>
      <c r="F291" s="157">
        <f>ROUND(D291*E291,2)</f>
        <v/>
      </c>
      <c r="G291" s="163" t="inlineStr">
        <is>
          <t>按实际完成的施工图数量计算</t>
        </is>
      </c>
      <c r="H291" s="163" t="inlineStr">
        <is>
          <t>除沥青混凝土外全部费用</t>
        </is>
      </c>
      <c r="I291" s="163" t="inlineStr">
        <is>
          <t>基面清理、沥青混合料拌和、运输、机械摊铺、整型、碾压、养护等工作。</t>
        </is>
      </c>
      <c r="J291" s="164" t="n"/>
    </row>
    <row r="292" ht="36" customFormat="1" customHeight="1" s="2">
      <c r="A292" s="90" t="n">
        <v>3</v>
      </c>
      <c r="B292" s="106" t="inlineStr">
        <is>
          <t>热沥青喷涂(两遍)</t>
        </is>
      </c>
      <c r="C292" s="84" t="inlineStr">
        <is>
          <t>㎡</t>
        </is>
      </c>
      <c r="D292" s="157" t="n">
        <v>304.3</v>
      </c>
      <c r="E292" s="157" t="n">
        <v>6.5</v>
      </c>
      <c r="F292" s="157">
        <f>ROUND(D292*E292,2)</f>
        <v/>
      </c>
      <c r="G292" s="163" t="inlineStr">
        <is>
          <t>按实际完成的施工图内数量计算</t>
        </is>
      </c>
      <c r="H292" s="163" t="inlineStr">
        <is>
          <t>除防水材料外全部费用</t>
        </is>
      </c>
      <c r="I292" s="163" t="inlineStr">
        <is>
          <t>清理基层、刷基层处理剂、刷聚氨酯防水等一切工作内容</t>
        </is>
      </c>
      <c r="J292" s="164" t="n"/>
    </row>
    <row r="293" ht="36" customFormat="1" customHeight="1" s="2">
      <c r="A293" s="90" t="n">
        <v>4</v>
      </c>
      <c r="B293" s="106" t="inlineStr">
        <is>
          <t>混凝土保护层</t>
        </is>
      </c>
      <c r="C293" s="84" t="inlineStr">
        <is>
          <t>m3</t>
        </is>
      </c>
      <c r="D293" s="157" t="n">
        <v>15.8</v>
      </c>
      <c r="E293" s="157" t="n">
        <v>88</v>
      </c>
      <c r="F293" s="157">
        <f>ROUND(D293*E293,2)</f>
        <v/>
      </c>
      <c r="G293" s="163" t="inlineStr">
        <is>
          <t>按现场实际完成计算</t>
        </is>
      </c>
      <c r="H293" s="163" t="inlineStr">
        <is>
          <t>除混凝土外全部费用，含现场倒运费</t>
        </is>
      </c>
      <c r="I293" s="163" t="inlineStr">
        <is>
          <t>基面清理、混凝土拌制、运输、浇筑、抹平、养护、安装泄水管、螺母套丝</t>
        </is>
      </c>
      <c r="J293" s="164" t="n"/>
    </row>
    <row r="294" ht="36" customFormat="1" customHeight="1" s="2">
      <c r="A294" s="90" t="n">
        <v>5</v>
      </c>
      <c r="B294" s="106" t="inlineStr">
        <is>
          <t>保护层内钢筋网</t>
        </is>
      </c>
      <c r="C294" s="84" t="inlineStr">
        <is>
          <t>t</t>
        </is>
      </c>
      <c r="D294" s="157" t="n">
        <v>0.976</v>
      </c>
      <c r="E294" s="157" t="n">
        <v>780</v>
      </c>
      <c r="F294" s="157">
        <f>ROUND(D294*E294,2)</f>
        <v/>
      </c>
      <c r="G294" s="163" t="inlineStr">
        <is>
          <t>按现场实际完成的施工图内的数量计算</t>
        </is>
      </c>
      <c r="H294" s="163" t="inlineStr">
        <is>
          <t>除钢筋外全部费用</t>
        </is>
      </c>
      <c r="I294" s="163" t="inlineStr">
        <is>
          <t>钢筋调直、下料、制作、运输、挂网安装、点焊、加固</t>
        </is>
      </c>
      <c r="J294" s="164" t="n"/>
    </row>
    <row r="295" ht="36" customFormat="1" customHeight="1" s="3">
      <c r="A295" s="12" t="inlineStr">
        <is>
          <t>二</t>
        </is>
      </c>
      <c r="B295" s="104" t="inlineStr">
        <is>
          <t>接长涵（1-3m及以下1座）</t>
        </is>
      </c>
      <c r="C295" s="80" t="n"/>
      <c r="D295" s="130" t="n"/>
      <c r="E295" s="130" t="n"/>
      <c r="F295" s="130">
        <f>F296+F305+F318+F323+F326+F335</f>
        <v/>
      </c>
      <c r="G295" s="162" t="n"/>
      <c r="H295" s="162" t="n"/>
      <c r="I295" s="162" t="n"/>
      <c r="J295" s="130" t="n"/>
    </row>
    <row r="296" ht="36" customFormat="1" customHeight="1" s="3">
      <c r="A296" s="12" t="inlineStr">
        <is>
          <t>（一）</t>
        </is>
      </c>
      <c r="B296" s="104" t="inlineStr">
        <is>
          <t>地基处理</t>
        </is>
      </c>
      <c r="C296" s="80" t="n"/>
      <c r="D296" s="130" t="n"/>
      <c r="E296" s="130" t="n"/>
      <c r="F296" s="130">
        <f>SUM(F297:F304)</f>
        <v/>
      </c>
      <c r="G296" s="162" t="n"/>
      <c r="H296" s="162" t="n"/>
      <c r="I296" s="162" t="n"/>
      <c r="J296" s="130" t="n"/>
    </row>
    <row r="297" ht="36" customFormat="1" customHeight="1" s="2">
      <c r="A297" s="90" t="n">
        <v>1</v>
      </c>
      <c r="B297" s="106" t="inlineStr">
        <is>
          <t>挖土方</t>
        </is>
      </c>
      <c r="C297" s="84" t="inlineStr">
        <is>
          <t>m3</t>
        </is>
      </c>
      <c r="D297" s="157" t="n">
        <v>203</v>
      </c>
      <c r="E297" s="157" t="n">
        <v>4.5</v>
      </c>
      <c r="F297" s="157">
        <f>ROUND(D297*E297,2)</f>
        <v/>
      </c>
      <c r="G297" s="163" t="inlineStr">
        <is>
          <t>按施工图尺寸体积计算</t>
        </is>
      </c>
      <c r="H297" s="163" t="inlineStr">
        <is>
          <t>全部费用</t>
        </is>
      </c>
      <c r="I297" s="163" t="inlineStr">
        <is>
          <t>挖、运至基坑外20m，包括近坑底标高0.3m以内的土方人工挖运，坑壁及坑底修整，清理工作场地</t>
        </is>
      </c>
      <c r="J297" s="164" t="n"/>
    </row>
    <row r="298" ht="36" customFormat="1" customHeight="1" s="2">
      <c r="A298" s="90" t="n">
        <v>2</v>
      </c>
      <c r="B298" s="106" t="inlineStr">
        <is>
          <t>挖石方</t>
        </is>
      </c>
      <c r="C298" s="84" t="inlineStr">
        <is>
          <t>m3</t>
        </is>
      </c>
      <c r="D298" s="157" t="n">
        <v>33</v>
      </c>
      <c r="E298" s="157" t="n">
        <v>15.5</v>
      </c>
      <c r="F298" s="157">
        <f>ROUND(D298*E298,2)</f>
        <v/>
      </c>
      <c r="G298" s="163" t="inlineStr">
        <is>
          <t>按施工方案图示尺寸，以现场实际完成的合格数量计算</t>
        </is>
      </c>
      <c r="H298" s="163" t="inlineStr">
        <is>
          <t>全部费用</t>
        </is>
      </c>
      <c r="I298" s="163" t="inlineStr">
        <is>
          <t>挖石，装石，清理，修整边坡，人工清槽，运输等</t>
        </is>
      </c>
      <c r="J298" s="116" t="n"/>
    </row>
    <row r="299" ht="36" customFormat="1" customHeight="1" s="2">
      <c r="A299" s="90" t="n">
        <v>3</v>
      </c>
      <c r="B299" s="106" t="inlineStr">
        <is>
          <t>基坑回填水泥稳定级配碎石</t>
        </is>
      </c>
      <c r="C299" s="84" t="inlineStr">
        <is>
          <t>m3</t>
        </is>
      </c>
      <c r="D299" s="157" t="n">
        <v>79</v>
      </c>
      <c r="E299" s="157" t="n">
        <v>28</v>
      </c>
      <c r="F299" s="157">
        <f>ROUND(D299*E299,2)</f>
        <v/>
      </c>
      <c r="G299" s="163" t="inlineStr">
        <is>
          <t>以基坑开挖数量减去基础（承台）圬工数量计算</t>
        </is>
      </c>
      <c r="H299" s="163" t="inlineStr">
        <is>
          <t>除级配碎石外全部费用</t>
        </is>
      </c>
      <c r="I299" s="163" t="inlineStr">
        <is>
          <t>装、运、卸、平土、夯实，运距20m内</t>
        </is>
      </c>
      <c r="J299" s="164" t="n"/>
    </row>
    <row r="300" ht="36" customFormat="1" customHeight="1" s="2">
      <c r="A300" s="90" t="n">
        <v>4</v>
      </c>
      <c r="B300" s="106" t="inlineStr">
        <is>
          <t>回填土</t>
        </is>
      </c>
      <c r="C300" s="84" t="inlineStr">
        <is>
          <t>m³</t>
        </is>
      </c>
      <c r="D300" s="157" t="n">
        <v>1</v>
      </c>
      <c r="E300" s="157" t="n">
        <v>8.5</v>
      </c>
      <c r="F300" s="157">
        <f>ROUND(D300*E300,2)</f>
        <v/>
      </c>
      <c r="G300" s="163" t="inlineStr">
        <is>
          <t>按实际完成的施工图数量计算</t>
        </is>
      </c>
      <c r="H300" s="163" t="inlineStr">
        <is>
          <t>全部费用</t>
        </is>
      </c>
      <c r="I300" s="163" t="inlineStr">
        <is>
          <t>装、运、卸、平土、夯实，运距20m内</t>
        </is>
      </c>
      <c r="J300" s="164" t="n"/>
    </row>
    <row r="301" ht="36" customFormat="1" customHeight="1" s="2">
      <c r="A301" s="90" t="n">
        <v>5</v>
      </c>
      <c r="B301" s="106" t="inlineStr">
        <is>
          <t>注浆</t>
        </is>
      </c>
      <c r="C301" s="84" t="inlineStr">
        <is>
          <t>m³</t>
        </is>
      </c>
      <c r="D301" s="157" t="n">
        <v>38</v>
      </c>
      <c r="E301" s="157" t="n">
        <v>48</v>
      </c>
      <c r="F301" s="157">
        <f>ROUND(D301*E301,2)</f>
        <v/>
      </c>
      <c r="G301" s="163" t="inlineStr">
        <is>
          <t>按现场实际完成（不超设计）的体积计算</t>
        </is>
      </c>
      <c r="H301" s="163" t="inlineStr">
        <is>
          <t>单价包含除水泥、水玻璃以外的全部费用</t>
        </is>
      </c>
      <c r="I301" s="163" t="inlineStr">
        <is>
          <t>施工准备，水泥浆拌制、压浆，材料运输、倒运，甲供材料到场的卸车、保管，安全文明施工等全部工作内容</t>
        </is>
      </c>
      <c r="J301" s="164" t="n"/>
    </row>
    <row r="302" ht="36" customFormat="1" customHeight="1" s="2">
      <c r="A302" s="90" t="n">
        <v>6</v>
      </c>
      <c r="B302" s="106" t="inlineStr">
        <is>
          <t>注浆钢管</t>
        </is>
      </c>
      <c r="C302" s="84" t="inlineStr">
        <is>
          <t>m</t>
        </is>
      </c>
      <c r="D302" s="157" t="n">
        <v>48</v>
      </c>
      <c r="E302" s="157" t="n">
        <v>38</v>
      </c>
      <c r="F302" s="157">
        <f>ROUND(D302*E302,2)</f>
        <v/>
      </c>
      <c r="G302" s="163" t="inlineStr">
        <is>
          <t>按现场实际完成（不超设计）的长度计算</t>
        </is>
      </c>
      <c r="H302" s="163" t="inlineStr">
        <is>
          <t>单价包含全部费用</t>
        </is>
      </c>
      <c r="I302" s="163" t="inlineStr">
        <is>
          <t>钻机就位、钻孔、孔位转移等全部工作内容</t>
        </is>
      </c>
      <c r="J302" s="109" t="n"/>
    </row>
    <row r="303" ht="36" customFormat="1" customHeight="1" s="2">
      <c r="A303" s="90" t="n">
        <v>7</v>
      </c>
      <c r="B303" s="106" t="inlineStr">
        <is>
          <t>弃土外运（运距1公里）</t>
        </is>
      </c>
      <c r="C303" s="84" t="inlineStr">
        <is>
          <t>m3</t>
        </is>
      </c>
      <c r="D303" s="157" t="n">
        <v>235</v>
      </c>
      <c r="E303" s="157" t="n">
        <v>8.5</v>
      </c>
      <c r="F303" s="157">
        <f>ROUND(D303*E303,2)</f>
        <v/>
      </c>
      <c r="G303" s="163" t="inlineStr">
        <is>
          <t>按施工图断面尺寸计算</t>
        </is>
      </c>
      <c r="H303" s="163" t="inlineStr">
        <is>
          <t>包含全部费用</t>
        </is>
      </c>
      <c r="I303" s="163" t="inlineStr">
        <is>
          <t>施工准备、就位、挖、装车，运、卸、空回，推土机辅助及清理工作面</t>
        </is>
      </c>
      <c r="J303" s="164" t="n"/>
    </row>
    <row r="304" ht="36" customFormat="1" customHeight="1" s="2">
      <c r="A304" s="90" t="n">
        <v>8</v>
      </c>
      <c r="B304" s="106" t="inlineStr">
        <is>
          <t>地基换填级配碎石</t>
        </is>
      </c>
      <c r="C304" s="84" t="inlineStr">
        <is>
          <t>m3</t>
        </is>
      </c>
      <c r="D304" s="157" t="n">
        <v>87.40000000000001</v>
      </c>
      <c r="E304" s="157" t="n">
        <v>28</v>
      </c>
      <c r="F304" s="157">
        <f>ROUND(D304*E304,2)</f>
        <v/>
      </c>
      <c r="G304" s="163" t="inlineStr">
        <is>
          <t>按施工图尺寸体积计算</t>
        </is>
      </c>
      <c r="H304" s="163" t="inlineStr">
        <is>
          <t>除级配碎石外全部费用</t>
        </is>
      </c>
      <c r="I304" s="163" t="inlineStr">
        <is>
          <t>装、运、卸、平土、夯实，运距20m内</t>
        </is>
      </c>
      <c r="J304" s="164" t="n"/>
    </row>
    <row r="305" ht="36" customFormat="1" customHeight="1" s="3">
      <c r="A305" s="12" t="inlineStr">
        <is>
          <t>（二）</t>
        </is>
      </c>
      <c r="B305" s="104" t="inlineStr">
        <is>
          <t>主体工程</t>
        </is>
      </c>
      <c r="C305" s="80" t="n"/>
      <c r="D305" s="130" t="n"/>
      <c r="E305" s="130" t="n"/>
      <c r="F305" s="130">
        <f>SUM(F306:F317)</f>
        <v/>
      </c>
      <c r="G305" s="162" t="n"/>
      <c r="H305" s="162" t="n"/>
      <c r="I305" s="162" t="n"/>
      <c r="J305" s="130" t="n"/>
    </row>
    <row r="306" ht="36" customFormat="1" customHeight="1" s="2">
      <c r="A306" s="90" t="n">
        <v>1</v>
      </c>
      <c r="B306" s="106" t="inlineStr">
        <is>
          <t>出口翼墙基础、泄床混凝土</t>
        </is>
      </c>
      <c r="C306" s="84" t="inlineStr">
        <is>
          <t>m3</t>
        </is>
      </c>
      <c r="D306" s="157" t="n">
        <v>10.4</v>
      </c>
      <c r="E306" s="157" t="n">
        <v>122</v>
      </c>
      <c r="F306" s="157">
        <f>ROUND(D306*E306,2)</f>
        <v/>
      </c>
      <c r="G306" s="163" t="inlineStr">
        <is>
          <t>按实际完成的施工图数量计算</t>
        </is>
      </c>
      <c r="H306" s="163" t="inlineStr">
        <is>
          <t>除混凝土外全部费用，含模板费</t>
        </is>
      </c>
      <c r="I306" s="163" t="inlineStr">
        <is>
          <t>模板安拆、加固，混凝土浇筑、振捣及养护</t>
        </is>
      </c>
      <c r="J306" s="164" t="n"/>
    </row>
    <row r="307" ht="36" customFormat="1" customHeight="1" s="2">
      <c r="A307" s="90" t="n">
        <v>2</v>
      </c>
      <c r="B307" s="106" t="inlineStr">
        <is>
          <t>出口涵身基础混凝土</t>
        </is>
      </c>
      <c r="C307" s="84" t="inlineStr">
        <is>
          <t>m3</t>
        </is>
      </c>
      <c r="D307" s="157" t="n">
        <v>9.199999999999999</v>
      </c>
      <c r="E307" s="157" t="n">
        <v>122</v>
      </c>
      <c r="F307" s="157">
        <f>ROUND(D307*E307,2)</f>
        <v/>
      </c>
      <c r="G307" s="163" t="inlineStr">
        <is>
          <t>按实际完成的施工图数量计算</t>
        </is>
      </c>
      <c r="H307" s="163" t="inlineStr">
        <is>
          <t>除混凝土外全部费用，含模板费</t>
        </is>
      </c>
      <c r="I307" s="163" t="inlineStr">
        <is>
          <t>模板安拆、加固，混凝土浇筑、振捣及养护</t>
        </is>
      </c>
      <c r="J307" s="164" t="n"/>
    </row>
    <row r="308" ht="36" customFormat="1" customHeight="1" s="2">
      <c r="A308" s="90" t="n">
        <v>3</v>
      </c>
      <c r="B308" s="106" t="inlineStr">
        <is>
          <t>φ8护面钢筋网</t>
        </is>
      </c>
      <c r="C308" s="84" t="inlineStr">
        <is>
          <t>t</t>
        </is>
      </c>
      <c r="D308" s="157" t="n">
        <v>0.281</v>
      </c>
      <c r="E308" s="157" t="n">
        <v>820</v>
      </c>
      <c r="F308" s="157">
        <f>ROUND(D308*E308,2)</f>
        <v/>
      </c>
      <c r="G308" s="163" t="inlineStr">
        <is>
          <t>按现场实际完成的施工图内的数量计算</t>
        </is>
      </c>
      <c r="H308" s="163" t="inlineStr">
        <is>
          <t>除钢筋外全部费用</t>
        </is>
      </c>
      <c r="I308" s="163" t="inlineStr">
        <is>
          <t>钢筋调直、下料、制作、运输、挂网安装、点焊、加固</t>
        </is>
      </c>
      <c r="J308" s="164" t="n"/>
    </row>
    <row r="309" ht="36" customFormat="1" customHeight="1" s="2">
      <c r="A309" s="90" t="n">
        <v>4</v>
      </c>
      <c r="B309" s="106" t="inlineStr">
        <is>
          <t>涵身基础垫层混凝土</t>
        </is>
      </c>
      <c r="C309" s="84" t="inlineStr">
        <is>
          <t>m³</t>
        </is>
      </c>
      <c r="D309" s="157" t="n">
        <v>2.7</v>
      </c>
      <c r="E309" s="157" t="n">
        <v>105</v>
      </c>
      <c r="F309" s="157">
        <f>ROUND(D309*E309,2)</f>
        <v/>
      </c>
      <c r="G309" s="163" t="inlineStr">
        <is>
          <t>按施工图计算圬工体积计算</t>
        </is>
      </c>
      <c r="H309" s="163" t="inlineStr">
        <is>
          <t>除混凝土外全部费用，含模板费用</t>
        </is>
      </c>
      <c r="I309" s="163" t="inlineStr">
        <is>
          <t>模板安拆、混凝土浇筑、振捣及养护、接口凿毛</t>
        </is>
      </c>
      <c r="J309" s="164" t="n"/>
    </row>
    <row r="310" ht="36" customFormat="1" customHeight="1" s="2">
      <c r="A310" s="90" t="n">
        <v>5</v>
      </c>
      <c r="B310" s="106" t="inlineStr">
        <is>
          <t>涵身钢筋混凝土</t>
        </is>
      </c>
      <c r="C310" s="84" t="inlineStr">
        <is>
          <t>m³</t>
        </is>
      </c>
      <c r="D310" s="157" t="n">
        <v>28.5</v>
      </c>
      <c r="E310" s="157" t="n">
        <v>148</v>
      </c>
      <c r="F310" s="157">
        <f>ROUND(D310*E310,2)</f>
        <v/>
      </c>
      <c r="G310" s="163" t="inlineStr">
        <is>
          <t>按实际完成的施工图内数量计算</t>
        </is>
      </c>
      <c r="H310" s="163" t="inlineStr">
        <is>
          <t>除混凝土外全部费用，含模板及脚手架费用</t>
        </is>
      </c>
      <c r="I310" s="163" t="inlineStr">
        <is>
          <t>搭拆脚手架；立拆模；涂脱模剂；模板修整；灌注混凝土、捣固、养护；材料堆放；清理现场等全部工作内容</t>
        </is>
      </c>
      <c r="J310" s="164" t="n"/>
    </row>
    <row r="311" ht="36" customFormat="1" customHeight="1" s="2">
      <c r="A311" s="90" t="n">
        <v>6</v>
      </c>
      <c r="B311" s="106" t="inlineStr">
        <is>
          <t>涵身钢筋</t>
        </is>
      </c>
      <c r="C311" s="84" t="inlineStr">
        <is>
          <t>t</t>
        </is>
      </c>
      <c r="D311" s="157" t="n">
        <v>4.332</v>
      </c>
      <c r="E311" s="157" t="n">
        <v>780</v>
      </c>
      <c r="F311" s="157">
        <f>ROUND(D311*E311,2)</f>
        <v/>
      </c>
      <c r="G311" s="163" t="inlineStr">
        <is>
          <t>按施工图计算重量，不计搭接及损耗</t>
        </is>
      </c>
      <c r="H311" s="163" t="inlineStr">
        <is>
          <t>除钢筋外全部费用</t>
        </is>
      </c>
      <c r="I311" s="163" t="inlineStr">
        <is>
          <t>现场运输、钢筋除锈、制作、绑扎、安装、定位、校正</t>
        </is>
      </c>
      <c r="J311" s="164" t="n"/>
    </row>
    <row r="312" ht="36" customFormat="1" customHeight="1" s="2">
      <c r="A312" s="90" t="n">
        <v>7</v>
      </c>
      <c r="B312" s="106" t="inlineStr">
        <is>
          <t>翼墙墙身混凝土</t>
        </is>
      </c>
      <c r="C312" s="84" t="inlineStr">
        <is>
          <t>m³</t>
        </is>
      </c>
      <c r="D312" s="157" t="n">
        <v>4.2</v>
      </c>
      <c r="E312" s="157" t="n">
        <v>142</v>
      </c>
      <c r="F312" s="157">
        <f>ROUND(D312*E312,2)</f>
        <v/>
      </c>
      <c r="G312" s="163" t="inlineStr">
        <is>
          <t>按实际完成的施工图内数量计算</t>
        </is>
      </c>
      <c r="H312" s="163" t="inlineStr">
        <is>
          <t>除混凝土外全部费用，含模板及脚手架费用</t>
        </is>
      </c>
      <c r="I312" s="163" t="inlineStr">
        <is>
          <t>脚手架搭拆，模板制安拆，混凝土浇筑、振捣及养护</t>
        </is>
      </c>
      <c r="J312" s="164" t="n"/>
    </row>
    <row r="313" ht="36" customFormat="1" customHeight="1" s="2">
      <c r="A313" s="90" t="n">
        <v>8</v>
      </c>
      <c r="B313" s="106" t="inlineStr">
        <is>
          <t>翼墙钢筋</t>
        </is>
      </c>
      <c r="C313" s="84" t="inlineStr">
        <is>
          <t>t</t>
        </is>
      </c>
      <c r="D313" s="157" t="n">
        <v>0.227</v>
      </c>
      <c r="E313" s="157" t="n">
        <v>820</v>
      </c>
      <c r="F313" s="157">
        <f>ROUND(D313*E313,2)</f>
        <v/>
      </c>
      <c r="G313" s="163" t="inlineStr">
        <is>
          <t>按现场实际完成的施工图内的数量计算</t>
        </is>
      </c>
      <c r="H313" s="163" t="inlineStr">
        <is>
          <t>除钢筋外全部费用</t>
        </is>
      </c>
      <c r="I313" s="163" t="inlineStr">
        <is>
          <t>钢筋调直、下料、制作、运输、挂网安装、点焊、加固</t>
        </is>
      </c>
      <c r="J313" s="164" t="n"/>
    </row>
    <row r="314" ht="36" customFormat="1" customHeight="1" s="2">
      <c r="A314" s="90" t="n">
        <v>9</v>
      </c>
      <c r="B314" s="106" t="inlineStr">
        <is>
          <t>泄床砂垫层</t>
        </is>
      </c>
      <c r="C314" s="84" t="inlineStr">
        <is>
          <t>m³</t>
        </is>
      </c>
      <c r="D314" s="157" t="n">
        <v>0.3</v>
      </c>
      <c r="E314" s="157" t="n">
        <v>16</v>
      </c>
      <c r="F314" s="157">
        <f>ROUND(D314*E314,2)</f>
        <v/>
      </c>
      <c r="G314" s="163" t="inlineStr">
        <is>
          <t>按设计图示压实断面尺寸计算</t>
        </is>
      </c>
      <c r="H314" s="163" t="inlineStr">
        <is>
          <t>单价包含除砂以外的全部费用</t>
        </is>
      </c>
      <c r="I314" s="163" t="inlineStr">
        <is>
          <t>分层推平、铺筑、洒水、碾压，整平、排水等全部工作内容</t>
        </is>
      </c>
      <c r="J314" s="111" t="n"/>
    </row>
    <row r="315" ht="36" customFormat="1" customHeight="1" s="2">
      <c r="A315" s="90" t="n">
        <v>10</v>
      </c>
      <c r="B315" s="106" t="inlineStr">
        <is>
          <t>帽石混凝土</t>
        </is>
      </c>
      <c r="C315" s="84" t="inlineStr">
        <is>
          <t>m³</t>
        </is>
      </c>
      <c r="D315" s="157" t="n">
        <v>0.9</v>
      </c>
      <c r="E315" s="157" t="n">
        <v>155</v>
      </c>
      <c r="F315" s="157">
        <f>ROUND(D315*E315,2)</f>
        <v/>
      </c>
      <c r="G315" s="163" t="inlineStr">
        <is>
          <t>按实际完成的施工图内数量计算</t>
        </is>
      </c>
      <c r="H315" s="163" t="inlineStr">
        <is>
          <t>除混凝土外全部费用，含模板及脚手架费用</t>
        </is>
      </c>
      <c r="I315" s="163" t="inlineStr">
        <is>
          <t>搭拆脚手架；立拆模；涂脱模剂；模板修整；灌注混凝土、捣固、养护；材料堆放；清理现场等全部工作内容</t>
        </is>
      </c>
      <c r="J315" s="164" t="n"/>
    </row>
    <row r="316" ht="36" customFormat="1" customHeight="1" s="2">
      <c r="A316" s="90" t="n">
        <v>11</v>
      </c>
      <c r="B316" s="106" t="inlineStr">
        <is>
          <t>聚氯乙烯胶泥填塞</t>
        </is>
      </c>
      <c r="C316" s="84" t="inlineStr">
        <is>
          <t>㎡</t>
        </is>
      </c>
      <c r="D316" s="157" t="n">
        <v>4.4</v>
      </c>
      <c r="E316" s="157" t="n">
        <v>16</v>
      </c>
      <c r="F316" s="157">
        <f>ROUND(D316*E316,2)</f>
        <v/>
      </c>
      <c r="G316" s="163" t="inlineStr">
        <is>
          <t>按实际完成的施工图内数量计算</t>
        </is>
      </c>
      <c r="H316" s="163" t="inlineStr">
        <is>
          <t>除材料费外全部费用</t>
        </is>
      </c>
      <c r="I316" s="163" t="inlineStr">
        <is>
          <t>材料运输、填缝等全部工作内容</t>
        </is>
      </c>
      <c r="J316" s="166" t="n"/>
    </row>
    <row r="317" ht="36" customFormat="1" customHeight="1" s="2">
      <c r="A317" s="90" t="n">
        <v>12</v>
      </c>
      <c r="B317" s="106" t="inlineStr">
        <is>
          <t>聚乙烯泡沫塑料板填缝</t>
        </is>
      </c>
      <c r="C317" s="84" t="inlineStr">
        <is>
          <t>㎡</t>
        </is>
      </c>
      <c r="D317" s="157" t="n">
        <v>11.7</v>
      </c>
      <c r="E317" s="157" t="n">
        <v>13</v>
      </c>
      <c r="F317" s="157">
        <f>ROUND(D317*E317,2)</f>
        <v/>
      </c>
      <c r="G317" s="163" t="inlineStr">
        <is>
          <t>按实际完成的施工图内数量计算</t>
        </is>
      </c>
      <c r="H317" s="163" t="inlineStr">
        <is>
          <t>除材料外全部费用</t>
        </is>
      </c>
      <c r="I317" s="163" t="inlineStr">
        <is>
          <t>清理基层、分隔缝嵌缝、刷基层处理剂、刷胶、铺贴防水卷材、收头</t>
        </is>
      </c>
      <c r="J317" s="164" t="n"/>
    </row>
    <row r="318" ht="36" customFormat="1" customHeight="1" s="3">
      <c r="A318" s="12" t="inlineStr">
        <is>
          <t>（三）</t>
        </is>
      </c>
      <c r="B318" s="104" t="inlineStr">
        <is>
          <t>防水层</t>
        </is>
      </c>
      <c r="C318" s="80" t="n"/>
      <c r="D318" s="130" t="n"/>
      <c r="E318" s="130" t="n"/>
      <c r="F318" s="130">
        <f>SUM(F319:F322)</f>
        <v/>
      </c>
      <c r="G318" s="162" t="n"/>
      <c r="H318" s="162" t="n"/>
      <c r="I318" s="162" t="n"/>
      <c r="J318" s="130" t="n"/>
    </row>
    <row r="319" ht="36" customFormat="1" customHeight="1" s="2">
      <c r="A319" s="90" t="n">
        <v>1</v>
      </c>
      <c r="B319" s="106" t="inlineStr">
        <is>
          <t>聚氨酯防水涂料</t>
        </is>
      </c>
      <c r="C319" s="84" t="inlineStr">
        <is>
          <t>㎡</t>
        </is>
      </c>
      <c r="D319" s="157" t="n">
        <v>56.8</v>
      </c>
      <c r="E319" s="157" t="n">
        <v>12.5</v>
      </c>
      <c r="F319" s="157">
        <f>ROUND(D319*E319,2)</f>
        <v/>
      </c>
      <c r="G319" s="163" t="inlineStr">
        <is>
          <t>按实际完成的施工图内数量计算</t>
        </is>
      </c>
      <c r="H319" s="163" t="inlineStr">
        <is>
          <t>除防水材料外全部费用</t>
        </is>
      </c>
      <c r="I319" s="163" t="inlineStr">
        <is>
          <t>清理基层、刷基层处理剂、刷聚氨酯防水等一切工作内容</t>
        </is>
      </c>
      <c r="J319" s="164" t="n"/>
    </row>
    <row r="320" ht="36" customFormat="1" customHeight="1" s="2">
      <c r="A320" s="90" t="n">
        <v>2</v>
      </c>
      <c r="B320" s="106" t="inlineStr">
        <is>
          <t>排水坡M10水泥砂浆</t>
        </is>
      </c>
      <c r="C320" s="84" t="inlineStr">
        <is>
          <t>m³</t>
        </is>
      </c>
      <c r="D320" s="157" t="n">
        <v>0.3</v>
      </c>
      <c r="E320" s="157" t="n">
        <v>185</v>
      </c>
      <c r="F320" s="157">
        <f>ROUND(D320*E320,2)</f>
        <v/>
      </c>
      <c r="G320" s="163" t="inlineStr">
        <is>
          <t>按设计图所示，以现场实际完成的合格数量计算</t>
        </is>
      </c>
      <c r="H320" s="163" t="inlineStr">
        <is>
          <t>除砂浆外全部费用</t>
        </is>
      </c>
      <c r="I320" s="163" t="inlineStr">
        <is>
          <t>清理基层,调运砂浆、刷素水泥浆,抹面、压光、养护等</t>
        </is>
      </c>
      <c r="J320" s="113" t="n"/>
    </row>
    <row r="321" ht="36" customFormat="1" customHeight="1" s="2">
      <c r="A321" s="90" t="n">
        <v>3</v>
      </c>
      <c r="B321" s="106" t="inlineStr">
        <is>
          <t>防水卷材</t>
        </is>
      </c>
      <c r="C321" s="84" t="inlineStr">
        <is>
          <t>㎡</t>
        </is>
      </c>
      <c r="D321" s="157" t="n">
        <v>32.1</v>
      </c>
      <c r="E321" s="157" t="n">
        <v>10.5</v>
      </c>
      <c r="F321" s="157">
        <f>ROUND(D321*E321,2)</f>
        <v/>
      </c>
      <c r="G321" s="163" t="inlineStr">
        <is>
          <t>按实际完成的施工图内数量计算</t>
        </is>
      </c>
      <c r="H321" s="163" t="inlineStr">
        <is>
          <t>除防水材料外全部费用</t>
        </is>
      </c>
      <c r="I321" s="163" t="inlineStr">
        <is>
          <t>清理基层、分隔缝嵌缝、刷基层处理剂、刷胶、铺贴防水卷材、收头</t>
        </is>
      </c>
      <c r="J321" s="164" t="n"/>
    </row>
    <row r="322" ht="36" customFormat="1" customHeight="1" s="2">
      <c r="A322" s="90" t="n">
        <v>4</v>
      </c>
      <c r="B322" s="106" t="inlineStr">
        <is>
          <t>细石子混凝土</t>
        </is>
      </c>
      <c r="C322" s="84" t="inlineStr">
        <is>
          <t>m³</t>
        </is>
      </c>
      <c r="D322" s="157" t="n">
        <v>1.6</v>
      </c>
      <c r="E322" s="157" t="n">
        <v>88</v>
      </c>
      <c r="F322" s="157">
        <f>ROUND(D322*E322,2)</f>
        <v/>
      </c>
      <c r="G322" s="163" t="inlineStr">
        <is>
          <t>按现场实际完成计算</t>
        </is>
      </c>
      <c r="H322" s="163" t="inlineStr">
        <is>
          <t>除材料费外全部费用，含现场倒运费</t>
        </is>
      </c>
      <c r="I322" s="163" t="inlineStr">
        <is>
          <t>基面清理、混凝土拌制、运输、浇筑、抹平、养护、安装泄水管、螺母套丝</t>
        </is>
      </c>
      <c r="J322" s="164" t="n"/>
    </row>
    <row r="323" ht="36" customFormat="1" customHeight="1" s="3">
      <c r="A323" s="12" t="inlineStr">
        <is>
          <t>（四）</t>
        </is>
      </c>
      <c r="B323" s="104" t="inlineStr">
        <is>
          <t>沉降缝</t>
        </is>
      </c>
      <c r="C323" s="80" t="n"/>
      <c r="D323" s="130" t="n"/>
      <c r="E323" s="130" t="n"/>
      <c r="F323" s="130">
        <f>SUM(F324:F325)</f>
        <v/>
      </c>
      <c r="G323" s="162" t="n"/>
      <c r="H323" s="162" t="n"/>
      <c r="I323" s="162" t="n"/>
      <c r="J323" s="130" t="n"/>
    </row>
    <row r="324" ht="36" customFormat="1" customHeight="1" s="2">
      <c r="A324" s="90" t="n">
        <v>1</v>
      </c>
      <c r="B324" s="106" t="inlineStr">
        <is>
          <t>防水卷材</t>
        </is>
      </c>
      <c r="C324" s="84" t="inlineStr">
        <is>
          <t>㎡</t>
        </is>
      </c>
      <c r="D324" s="157" t="n">
        <v>11.5</v>
      </c>
      <c r="E324" s="157" t="n">
        <v>10.5</v>
      </c>
      <c r="F324" s="157">
        <f>ROUND(D324*E324,2)</f>
        <v/>
      </c>
      <c r="G324" s="163" t="inlineStr">
        <is>
          <t>按实际完成的施工图内数量计算</t>
        </is>
      </c>
      <c r="H324" s="163" t="inlineStr">
        <is>
          <t>除防水材料外全部费用</t>
        </is>
      </c>
      <c r="I324" s="163" t="inlineStr">
        <is>
          <t>清理基层、分隔缝嵌缝、刷基层处理剂、刷胶、铺贴防水卷材、收头</t>
        </is>
      </c>
      <c r="J324" s="164" t="n"/>
    </row>
    <row r="325" ht="36" customFormat="1" customHeight="1" s="2">
      <c r="A325" s="90" t="n">
        <v>2</v>
      </c>
      <c r="B325" s="106" t="inlineStr">
        <is>
          <t>中埋止水带</t>
        </is>
      </c>
      <c r="C325" s="84" t="inlineStr">
        <is>
          <t>m</t>
        </is>
      </c>
      <c r="D325" s="157" t="n">
        <v>30.6</v>
      </c>
      <c r="E325" s="157" t="n">
        <v>28</v>
      </c>
      <c r="F325" s="157">
        <f>ROUND(D325*E325,2)</f>
        <v/>
      </c>
      <c r="G325" s="163" t="inlineStr">
        <is>
          <t>按现场实际完成的施工图内的数量计算</t>
        </is>
      </c>
      <c r="H325" s="163" t="inlineStr">
        <is>
          <t>除材料外全部费用</t>
        </is>
      </c>
      <c r="I325" s="163" t="inlineStr">
        <is>
          <t>运料、加工、安装、检查</t>
        </is>
      </c>
      <c r="J325" s="164" t="n"/>
    </row>
    <row r="326" ht="36" customFormat="1" customHeight="1" s="3">
      <c r="A326" s="12" t="inlineStr">
        <is>
          <t>（五）</t>
        </is>
      </c>
      <c r="B326" s="54" t="inlineStr">
        <is>
          <t>附属工程</t>
        </is>
      </c>
      <c r="C326" s="80" t="n"/>
      <c r="D326" s="130" t="n"/>
      <c r="E326" s="130" t="n"/>
      <c r="F326" s="130">
        <f>SUM(F327:F334)</f>
        <v/>
      </c>
      <c r="G326" s="162" t="n"/>
      <c r="H326" s="162" t="n"/>
      <c r="I326" s="162" t="n"/>
      <c r="J326" s="130" t="n"/>
    </row>
    <row r="327" ht="36" customFormat="1" customHeight="1" s="2">
      <c r="A327" s="90" t="n">
        <v>1</v>
      </c>
      <c r="B327" s="106" t="inlineStr">
        <is>
          <t>顺沟土方</t>
        </is>
      </c>
      <c r="C327" s="84" t="inlineStr">
        <is>
          <t>m3</t>
        </is>
      </c>
      <c r="D327" s="157" t="n">
        <v>175</v>
      </c>
      <c r="E327" s="157" t="n">
        <v>10.5</v>
      </c>
      <c r="F327" s="157">
        <f>ROUND(D327*E327,2)</f>
        <v/>
      </c>
      <c r="G327" s="163" t="inlineStr">
        <is>
          <t>按施工图尺寸体积计算</t>
        </is>
      </c>
      <c r="H327" s="163" t="inlineStr">
        <is>
          <t>全部费用</t>
        </is>
      </c>
      <c r="I327" s="163" t="inlineStr">
        <is>
          <t>挖、运至基坑外20m，包括近坑底标高0.3m以内的土方人工挖运，坑壁及坑底修整，清理工作场地</t>
        </is>
      </c>
      <c r="J327" s="164" t="n"/>
    </row>
    <row r="328" ht="36" customFormat="1" customHeight="1" s="2">
      <c r="A328" s="90" t="n">
        <v>2</v>
      </c>
      <c r="B328" s="106" t="inlineStr">
        <is>
          <t>出口边坡、沟床、锥体碎石垫层</t>
        </is>
      </c>
      <c r="C328" s="84" t="inlineStr">
        <is>
          <t>m3</t>
        </is>
      </c>
      <c r="D328" s="157" t="n">
        <v>2.2</v>
      </c>
      <c r="E328" s="157" t="n">
        <v>18.5</v>
      </c>
      <c r="F328" s="157">
        <f>ROUND(D328*E328,2)</f>
        <v/>
      </c>
      <c r="G328" s="163" t="inlineStr">
        <is>
          <t>按施工图所示，以成型顶面积计算</t>
        </is>
      </c>
      <c r="H328" s="163" t="inlineStr">
        <is>
          <t>除垫层料外包含全部费用</t>
        </is>
      </c>
      <c r="I328" s="163" t="inlineStr">
        <is>
          <t>施工准备、铺筑、整平、洒水、碾压、清理工作场地。（如果要求用摊铺机施工，套用路面基层摊铺机施工）</t>
        </is>
      </c>
      <c r="J328" s="115" t="n"/>
    </row>
    <row r="329" ht="36" customFormat="1" customHeight="1" s="2">
      <c r="A329" s="90" t="n">
        <v>3</v>
      </c>
      <c r="B329" s="106" t="inlineStr">
        <is>
          <t>出口边坡、锥体混凝土</t>
        </is>
      </c>
      <c r="C329" s="84" t="inlineStr">
        <is>
          <t>m3</t>
        </is>
      </c>
      <c r="D329" s="157" t="n">
        <v>0.5</v>
      </c>
      <c r="E329" s="157" t="n">
        <v>128</v>
      </c>
      <c r="F329" s="157">
        <f>ROUND(D329*E329,2)</f>
        <v/>
      </c>
      <c r="G329" s="163" t="inlineStr">
        <is>
          <t>按施工图计算圬工体积计算，不含回填砼</t>
        </is>
      </c>
      <c r="H329" s="163" t="inlineStr">
        <is>
          <t>除混凝土外全部费用，含模板费用</t>
        </is>
      </c>
      <c r="I329" s="163" t="inlineStr">
        <is>
          <t>模板安拆、混凝土浇筑、振捣及养护、接口凿毛</t>
        </is>
      </c>
      <c r="J329" s="164" t="n"/>
    </row>
    <row r="330" ht="36" customFormat="1" customHeight="1" s="2">
      <c r="A330" s="90" t="n">
        <v>4</v>
      </c>
      <c r="B330" s="106" t="inlineStr">
        <is>
          <t>出口沟床、垂裙混凝土</t>
        </is>
      </c>
      <c r="C330" s="84" t="inlineStr">
        <is>
          <t>m3</t>
        </is>
      </c>
      <c r="D330" s="157" t="n">
        <v>26.5</v>
      </c>
      <c r="E330" s="157" t="n">
        <v>122</v>
      </c>
      <c r="F330" s="157">
        <f>ROUND(D330*E330,2)</f>
        <v/>
      </c>
      <c r="G330" s="163" t="inlineStr">
        <is>
          <t>按施工图计算圬工体积计算，不含回填砼</t>
        </is>
      </c>
      <c r="H330" s="163" t="inlineStr">
        <is>
          <t>除混凝土外全部费用，含模板费用</t>
        </is>
      </c>
      <c r="I330" s="163" t="inlineStr">
        <is>
          <t>模板安拆、混凝土浇筑、振捣及养护、接口凿毛</t>
        </is>
      </c>
      <c r="J330" s="164" t="n"/>
    </row>
    <row r="331" ht="36" customFormat="1" customHeight="1" s="2">
      <c r="A331" s="90" t="n">
        <v>5</v>
      </c>
      <c r="B331" s="106" t="inlineStr">
        <is>
          <t>检查台阶混凝土</t>
        </is>
      </c>
      <c r="C331" s="84" t="inlineStr">
        <is>
          <t>m3</t>
        </is>
      </c>
      <c r="D331" s="157" t="n">
        <v>2.4</v>
      </c>
      <c r="E331" s="157" t="n">
        <v>132</v>
      </c>
      <c r="F331" s="157">
        <f>ROUND(D331*E331,2)</f>
        <v/>
      </c>
      <c r="G331" s="163" t="inlineStr">
        <is>
          <t>按施工图尺寸计算实际圬工体积</t>
        </is>
      </c>
      <c r="H331" s="163" t="inlineStr">
        <is>
          <t>除混凝土外全部费用，含模板费</t>
        </is>
      </c>
      <c r="I331" s="163" t="inlineStr">
        <is>
          <t>挖基、模板制安拆，混凝土拌制、浇筑、振捣及养护，清理工作场地</t>
        </is>
      </c>
      <c r="J331" s="164" t="n"/>
    </row>
    <row r="332" ht="36" customFormat="1" customHeight="1" s="2">
      <c r="A332" s="90" t="n">
        <v>6</v>
      </c>
      <c r="B332" s="106" t="inlineStr">
        <is>
          <t>框架与拆除挡墙间塞缝混凝土</t>
        </is>
      </c>
      <c r="C332" s="84" t="inlineStr">
        <is>
          <t>m3</t>
        </is>
      </c>
      <c r="D332" s="157" t="n">
        <v>3.3</v>
      </c>
      <c r="E332" s="157" t="n">
        <v>38</v>
      </c>
      <c r="F332" s="157">
        <f>ROUND(D332*E332,2)</f>
        <v/>
      </c>
      <c r="G332" s="163" t="inlineStr">
        <is>
          <t>按拆除构筑物实际尺寸计算</t>
        </is>
      </c>
      <c r="H332" s="163" t="inlineStr">
        <is>
          <t>包含除弃碴费外的全部费用</t>
        </is>
      </c>
      <c r="I332" s="163" t="inlineStr">
        <is>
          <t>机械凿除、清理</t>
        </is>
      </c>
      <c r="J332" s="164" t="n"/>
    </row>
    <row r="333" ht="36" customFormat="1" customHeight="1" s="2">
      <c r="A333" s="90" t="n">
        <v>7</v>
      </c>
      <c r="B333" s="106" t="inlineStr">
        <is>
          <t>拆除混凝土</t>
        </is>
      </c>
      <c r="C333" s="84" t="inlineStr">
        <is>
          <t>m3</t>
        </is>
      </c>
      <c r="D333" s="157" t="n">
        <v>3.7</v>
      </c>
      <c r="E333" s="157" t="n">
        <v>32</v>
      </c>
      <c r="F333" s="157">
        <f>ROUND(D333*E333,2)</f>
        <v/>
      </c>
      <c r="G333" s="163" t="inlineStr">
        <is>
          <t>按拆除构筑物实际尺寸计算</t>
        </is>
      </c>
      <c r="H333" s="163" t="inlineStr">
        <is>
          <t>包含除弃碴费外的全部费用</t>
        </is>
      </c>
      <c r="I333" s="163" t="inlineStr">
        <is>
          <t>机械凿除、清理</t>
        </is>
      </c>
      <c r="J333" s="164" t="n"/>
    </row>
    <row r="334" ht="36" customFormat="1" customHeight="1" s="2">
      <c r="A334" s="90" t="n">
        <v>8</v>
      </c>
      <c r="B334" s="106" t="inlineStr">
        <is>
          <t>打拔钢板桩（基坑防护，三个月）</t>
        </is>
      </c>
      <c r="C334" s="84" t="inlineStr">
        <is>
          <t>t</t>
        </is>
      </c>
      <c r="D334" s="157" t="n">
        <v>8.6</v>
      </c>
      <c r="E334" s="157" t="n">
        <v>295</v>
      </c>
      <c r="F334" s="157">
        <f>ROUND(D334*E334,2)</f>
        <v/>
      </c>
      <c r="G334" s="163" t="inlineStr">
        <is>
          <t>以实际施工钢板重量计算</t>
        </is>
      </c>
      <c r="H334" s="163" t="inlineStr">
        <is>
          <t xml:space="preserve">除钢板桩外全部费用 </t>
        </is>
      </c>
      <c r="I334" s="163" t="inlineStr">
        <is>
          <t xml:space="preserve">组拼、捻缝、安卸桩帽、打桩、校正，拔桩、堆码解体存放 </t>
        </is>
      </c>
      <c r="J334" s="165" t="n"/>
    </row>
    <row r="335" ht="36" customFormat="1" customHeight="1" s="3">
      <c r="A335" s="12" t="inlineStr">
        <is>
          <t>（六）</t>
        </is>
      </c>
      <c r="B335" s="54" t="inlineStr">
        <is>
          <t>基坑防护</t>
        </is>
      </c>
      <c r="C335" s="80" t="n"/>
      <c r="D335" s="130" t="n"/>
      <c r="E335" s="130" t="n"/>
      <c r="F335" s="130">
        <f>SUM(F336)</f>
        <v/>
      </c>
      <c r="G335" s="162" t="n"/>
      <c r="H335" s="162" t="n"/>
      <c r="I335" s="162" t="n"/>
      <c r="J335" s="130" t="n"/>
    </row>
    <row r="336" ht="36" customFormat="1" customHeight="1" s="2">
      <c r="A336" s="90" t="n">
        <v>1</v>
      </c>
      <c r="B336" s="106" t="inlineStr">
        <is>
          <t>基坑回填细石子混凝土</t>
        </is>
      </c>
      <c r="C336" s="84" t="inlineStr">
        <is>
          <t>m³</t>
        </is>
      </c>
      <c r="D336" s="157" t="n">
        <v>6.4</v>
      </c>
      <c r="E336" s="157" t="n">
        <v>102</v>
      </c>
      <c r="F336" s="157">
        <f>ROUND(D336*E336,2)</f>
        <v/>
      </c>
      <c r="G336" s="163" t="inlineStr">
        <is>
          <t>按施工图计算圬工体积计算</t>
        </is>
      </c>
      <c r="H336" s="163" t="inlineStr">
        <is>
          <t>除混凝土外全部费用，含模板费用</t>
        </is>
      </c>
      <c r="I336" s="163" t="inlineStr">
        <is>
          <t>模板安拆、混凝土浇筑、振捣及养护、接口凿毛</t>
        </is>
      </c>
      <c r="J336" s="164" t="n"/>
    </row>
    <row r="337" ht="36" customFormat="1" customHeight="1" s="3">
      <c r="A337" s="12" t="inlineStr">
        <is>
          <t>三</t>
        </is>
      </c>
      <c r="B337" s="104" t="inlineStr">
        <is>
          <t>养护用水</t>
        </is>
      </c>
      <c r="C337" s="80" t="inlineStr">
        <is>
          <t>t</t>
        </is>
      </c>
      <c r="D337" s="130" t="n">
        <v>50.68</v>
      </c>
      <c r="E337" s="130" t="n">
        <v>18</v>
      </c>
      <c r="F337" s="130">
        <f>ROUND(D337*E337,2)</f>
        <v/>
      </c>
      <c r="G337" s="162" t="inlineStr">
        <is>
          <t>固定用量</t>
        </is>
      </c>
      <c r="H337" s="162" t="inlineStr">
        <is>
          <t>全部费用</t>
        </is>
      </c>
      <c r="I337" s="162" t="inlineStr">
        <is>
          <t>水资源采购及运输</t>
        </is>
      </c>
      <c r="J337" s="167" t="n"/>
    </row>
    <row r="338" ht="41.25" customFormat="1" customHeight="1" s="4">
      <c r="A338" s="168" t="inlineStr">
        <is>
          <t>不含税合价</t>
        </is>
      </c>
      <c r="B338" s="129" t="n"/>
      <c r="C338" s="168" t="n"/>
      <c r="D338" s="169" t="n"/>
      <c r="E338" s="169" t="n"/>
      <c r="F338" s="169">
        <f>F4+F73+F142+F226</f>
        <v/>
      </c>
      <c r="G338" s="170" t="inlineStr">
        <is>
          <t>人民币大写：</t>
        </is>
      </c>
      <c r="H338" s="171">
        <f>F338</f>
        <v/>
      </c>
      <c r="I338" s="129" t="n"/>
      <c r="J338" s="130" t="n"/>
    </row>
    <row r="339" ht="41.25" customFormat="1" customHeight="1" s="4">
      <c r="A339" s="168" t="inlineStr">
        <is>
          <t>增值税税率</t>
        </is>
      </c>
      <c r="B339" s="129" t="n"/>
      <c r="C339" s="122" t="n">
        <v>0.09</v>
      </c>
      <c r="D339" s="169" t="n"/>
      <c r="E339" s="169" t="n"/>
      <c r="F339" s="169">
        <f>F338*C339</f>
        <v/>
      </c>
      <c r="G339" s="170" t="inlineStr">
        <is>
          <t>人民币大写：</t>
        </is>
      </c>
      <c r="H339" s="171">
        <f>F339</f>
        <v/>
      </c>
      <c r="I339" s="129" t="n"/>
      <c r="J339" s="130" t="n"/>
    </row>
    <row r="340" ht="41.25" customFormat="1" customHeight="1" s="4">
      <c r="A340" s="168" t="inlineStr">
        <is>
          <t>含税合价</t>
        </is>
      </c>
      <c r="B340" s="129" t="n"/>
      <c r="C340" s="168" t="inlineStr">
        <is>
          <t>元</t>
        </is>
      </c>
      <c r="D340" s="130" t="n"/>
      <c r="E340" s="130" t="n"/>
      <c r="F340" s="130">
        <f>F338+F339</f>
        <v/>
      </c>
      <c r="G340" s="170" t="inlineStr">
        <is>
          <t>人民币大写：</t>
        </is>
      </c>
      <c r="H340" s="171">
        <f>F340</f>
        <v/>
      </c>
      <c r="I340" s="129" t="n"/>
      <c r="J340" s="130" t="n"/>
    </row>
    <row r="341" ht="24.75" customFormat="1" customHeight="1" s="1">
      <c r="A341" s="123" t="inlineStr">
        <is>
          <t>单位负责人：</t>
        </is>
      </c>
      <c r="C341" s="124" t="n"/>
      <c r="D341" s="124" t="n"/>
      <c r="E341" s="124" t="n"/>
      <c r="F341" s="123" t="inlineStr">
        <is>
          <t>报价单位（公章）：</t>
        </is>
      </c>
      <c r="H341" s="124" t="n"/>
      <c r="I341" s="124" t="n"/>
      <c r="J341" s="172" t="n"/>
    </row>
    <row r="342" ht="24.75" customFormat="1" customHeight="1" s="1">
      <c r="A342" s="124" t="n"/>
      <c r="B342" s="126" t="n"/>
      <c r="C342" s="124" t="n"/>
      <c r="D342" s="124" t="n"/>
      <c r="E342" s="124" t="n"/>
      <c r="F342" s="124" t="n"/>
      <c r="G342" s="124" t="n"/>
      <c r="H342" s="124" t="n"/>
      <c r="I342" s="124" t="n"/>
      <c r="J342" s="172" t="n"/>
    </row>
    <row r="343" ht="24.75" customFormat="1" customHeight="1" s="1">
      <c r="A343" s="124" t="n"/>
      <c r="B343" s="126" t="n"/>
      <c r="C343" s="124" t="n"/>
      <c r="D343" s="124" t="n"/>
      <c r="E343" s="124" t="n"/>
      <c r="F343" s="124" t="n"/>
      <c r="G343" s="124" t="n"/>
      <c r="H343" s="124" t="n"/>
      <c r="I343" s="124" t="n"/>
      <c r="J343" s="172" t="n"/>
    </row>
    <row r="344" ht="24.75" customFormat="1" customHeight="1" s="1">
      <c r="A344" s="124" t="n"/>
      <c r="B344" s="126" t="n"/>
      <c r="C344" s="124" t="n"/>
      <c r="D344" s="124" t="n"/>
      <c r="E344" s="124" t="n"/>
      <c r="F344" s="124" t="n"/>
      <c r="G344" s="124" t="n"/>
      <c r="H344" s="124" t="n"/>
      <c r="I344" s="124" t="n"/>
      <c r="J344" s="172" t="n"/>
    </row>
    <row r="345" ht="24.75" customFormat="1" customHeight="1" s="1">
      <c r="A345" s="124" t="n"/>
      <c r="B345" s="126" t="n"/>
      <c r="C345" s="124" t="n"/>
      <c r="D345" s="124" t="n"/>
      <c r="E345" s="124" t="n"/>
      <c r="F345" s="124" t="n"/>
      <c r="G345" s="124" t="n"/>
      <c r="H345" s="124" t="n"/>
      <c r="I345" s="124" t="n"/>
      <c r="J345" s="172" t="n"/>
    </row>
    <row r="346" ht="24.75" customFormat="1" customHeight="1" s="1">
      <c r="A346" s="124" t="n"/>
      <c r="B346" s="126" t="n"/>
      <c r="C346" s="124" t="n"/>
      <c r="D346" s="124" t="n"/>
      <c r="E346" s="124" t="n"/>
      <c r="F346" s="124" t="n"/>
      <c r="G346" s="124" t="n"/>
      <c r="H346" s="124" t="n"/>
      <c r="I346" s="124" t="n"/>
      <c r="J346" s="172" t="n"/>
    </row>
    <row r="347" ht="24.75" customFormat="1" customHeight="1" s="1">
      <c r="A347" s="124" t="n"/>
      <c r="B347" s="126" t="n"/>
      <c r="C347" s="124" t="n"/>
      <c r="D347" s="124" t="n"/>
      <c r="E347" s="124" t="n"/>
      <c r="F347" s="124" t="n"/>
      <c r="G347" s="124" t="n"/>
      <c r="H347" s="124" t="n"/>
      <c r="I347" s="124" t="n"/>
      <c r="J347" s="172" t="n"/>
    </row>
    <row r="348" ht="24.75" customFormat="1" customHeight="1" s="1">
      <c r="A348" s="124" t="n"/>
      <c r="B348" s="126" t="n"/>
      <c r="C348" s="124" t="n"/>
      <c r="D348" s="124" t="n"/>
      <c r="E348" s="124" t="n"/>
      <c r="F348" s="124" t="n"/>
      <c r="G348" s="124" t="n"/>
      <c r="H348" s="124" t="n"/>
      <c r="I348" s="124" t="n"/>
      <c r="J348" s="172" t="n"/>
    </row>
    <row r="349" ht="24.75" customFormat="1" customHeight="1" s="1">
      <c r="A349" s="124" t="n"/>
      <c r="B349" s="126" t="n"/>
      <c r="C349" s="124" t="n"/>
      <c r="D349" s="124" t="n"/>
      <c r="E349" s="124" t="n"/>
      <c r="F349" s="124" t="n"/>
      <c r="G349" s="124" t="n"/>
      <c r="H349" s="124" t="n"/>
      <c r="I349" s="124" t="n"/>
      <c r="J349" s="172" t="n"/>
    </row>
    <row r="350" ht="24.75" customFormat="1" customHeight="1" s="1">
      <c r="A350" s="124" t="n"/>
      <c r="B350" s="126" t="n"/>
      <c r="C350" s="124" t="n"/>
      <c r="D350" s="124" t="n"/>
      <c r="E350" s="124" t="n"/>
      <c r="F350" s="124" t="n"/>
      <c r="G350" s="124" t="n"/>
      <c r="H350" s="124" t="n"/>
      <c r="I350" s="124" t="n"/>
      <c r="J350" s="172" t="n"/>
    </row>
    <row r="351" ht="24.75" customFormat="1" customHeight="1" s="1">
      <c r="A351" s="124" t="n"/>
      <c r="B351" s="126" t="n"/>
      <c r="C351" s="124" t="n"/>
      <c r="D351" s="124" t="n"/>
      <c r="E351" s="124" t="n"/>
      <c r="F351" s="124" t="n"/>
      <c r="G351" s="124" t="n"/>
      <c r="H351" s="124" t="n"/>
      <c r="I351" s="124" t="n"/>
      <c r="J351" s="172" t="n"/>
    </row>
    <row r="352" ht="24.75" customFormat="1" customHeight="1" s="1">
      <c r="A352" s="124" t="n"/>
      <c r="B352" s="126" t="n"/>
      <c r="C352" s="124" t="n"/>
      <c r="D352" s="124" t="n"/>
      <c r="E352" s="124" t="n"/>
      <c r="F352" s="124" t="n"/>
      <c r="G352" s="124" t="n"/>
      <c r="H352" s="124" t="n"/>
      <c r="I352" s="124" t="n"/>
      <c r="J352" s="172" t="n"/>
    </row>
    <row r="353" ht="24.75" customFormat="1" customHeight="1" s="1">
      <c r="A353" s="124" t="n"/>
      <c r="B353" s="126" t="n"/>
      <c r="C353" s="124" t="n"/>
      <c r="D353" s="124" t="n"/>
      <c r="E353" s="124" t="n"/>
      <c r="F353" s="124" t="n"/>
      <c r="G353" s="124" t="n"/>
      <c r="H353" s="124" t="n"/>
      <c r="I353" s="124" t="n"/>
      <c r="J353" s="172" t="n"/>
    </row>
    <row r="354" ht="24.75" customFormat="1" customHeight="1" s="1">
      <c r="A354" s="124" t="n"/>
      <c r="B354" s="126" t="n"/>
      <c r="C354" s="124" t="n"/>
      <c r="D354" s="124" t="n"/>
      <c r="E354" s="124" t="n"/>
      <c r="F354" s="124" t="n"/>
      <c r="G354" s="124" t="n"/>
      <c r="H354" s="124" t="n"/>
      <c r="I354" s="124" t="n"/>
      <c r="J354" s="172" t="n"/>
    </row>
    <row r="355" ht="24.75" customFormat="1" customHeight="1" s="1">
      <c r="A355" s="124" t="n"/>
      <c r="B355" s="126" t="n"/>
      <c r="C355" s="124" t="n"/>
      <c r="D355" s="124" t="n"/>
      <c r="E355" s="124" t="n"/>
      <c r="F355" s="124" t="n"/>
      <c r="G355" s="124" t="n"/>
      <c r="H355" s="124" t="n"/>
      <c r="I355" s="124" t="n"/>
      <c r="J355" s="172" t="n"/>
    </row>
    <row r="356" ht="24.75" customFormat="1" customHeight="1" s="1">
      <c r="A356" s="124" t="n"/>
      <c r="B356" s="126" t="n"/>
      <c r="C356" s="124" t="n"/>
      <c r="D356" s="124" t="n"/>
      <c r="E356" s="124" t="n"/>
      <c r="F356" s="124" t="n"/>
      <c r="G356" s="124" t="n"/>
      <c r="H356" s="124" t="n"/>
      <c r="I356" s="124" t="n"/>
      <c r="J356" s="172" t="n"/>
    </row>
    <row r="357" ht="24.75" customFormat="1" customHeight="1" s="1">
      <c r="A357" s="124" t="n"/>
      <c r="B357" s="126" t="n"/>
      <c r="C357" s="124" t="n"/>
      <c r="D357" s="124" t="n"/>
      <c r="E357" s="124" t="n"/>
      <c r="F357" s="124" t="n"/>
      <c r="G357" s="124" t="n"/>
      <c r="H357" s="124" t="n"/>
      <c r="I357" s="124" t="n"/>
      <c r="J357" s="172" t="n"/>
    </row>
    <row r="358" ht="24.75" customFormat="1" customHeight="1" s="1">
      <c r="A358" s="124" t="n"/>
      <c r="B358" s="126" t="n"/>
      <c r="C358" s="124" t="n"/>
      <c r="D358" s="124" t="n"/>
      <c r="E358" s="124" t="n"/>
      <c r="F358" s="124" t="n"/>
      <c r="G358" s="124" t="n"/>
      <c r="H358" s="124" t="n"/>
      <c r="I358" s="124" t="n"/>
      <c r="J358" s="172" t="n"/>
    </row>
    <row r="359" ht="24.75" customFormat="1" customHeight="1" s="1">
      <c r="A359" s="124" t="n"/>
      <c r="B359" s="126" t="n"/>
      <c r="C359" s="124" t="n"/>
      <c r="D359" s="124" t="n"/>
      <c r="E359" s="124" t="n"/>
      <c r="F359" s="124" t="n"/>
      <c r="G359" s="124" t="n"/>
      <c r="H359" s="124" t="n"/>
      <c r="I359" s="124" t="n"/>
      <c r="J359" s="172" t="n"/>
    </row>
    <row r="360" ht="24.75" customFormat="1" customHeight="1" s="1">
      <c r="A360" s="124" t="n"/>
      <c r="B360" s="126" t="n"/>
      <c r="C360" s="124" t="n"/>
      <c r="D360" s="124" t="n"/>
      <c r="E360" s="124" t="n"/>
      <c r="F360" s="124" t="n"/>
      <c r="G360" s="124" t="n"/>
      <c r="H360" s="124" t="n"/>
      <c r="I360" s="124" t="n"/>
      <c r="J360" s="172" t="n"/>
    </row>
    <row r="361" ht="24.75" customFormat="1" customHeight="1" s="1">
      <c r="A361" s="124" t="n"/>
      <c r="B361" s="126" t="n"/>
      <c r="C361" s="124" t="n"/>
      <c r="D361" s="124" t="n"/>
      <c r="E361" s="124" t="n"/>
      <c r="F361" s="124" t="n"/>
      <c r="G361" s="124" t="n"/>
      <c r="H361" s="124" t="n"/>
      <c r="I361" s="124" t="n"/>
      <c r="J361" s="172" t="n"/>
    </row>
    <row r="362" ht="24.75" customFormat="1" customHeight="1" s="1">
      <c r="A362" s="124" t="n"/>
      <c r="B362" s="126" t="n"/>
      <c r="C362" s="124" t="n"/>
      <c r="D362" s="124" t="n"/>
      <c r="E362" s="124" t="n"/>
      <c r="F362" s="124" t="n"/>
      <c r="G362" s="124" t="n"/>
      <c r="H362" s="124" t="n"/>
      <c r="I362" s="124" t="n"/>
      <c r="J362" s="172" t="n"/>
    </row>
    <row r="363" ht="24.75" customFormat="1" customHeight="1" s="1">
      <c r="A363" s="124" t="n"/>
      <c r="B363" s="126" t="n"/>
      <c r="C363" s="124" t="n"/>
      <c r="D363" s="124" t="n"/>
      <c r="E363" s="124" t="n"/>
      <c r="F363" s="124" t="n"/>
      <c r="G363" s="124" t="n"/>
      <c r="H363" s="124" t="n"/>
      <c r="I363" s="124" t="n"/>
      <c r="J363" s="172" t="n"/>
    </row>
    <row r="364" ht="24.75" customFormat="1" customHeight="1" s="1">
      <c r="A364" s="124" t="n"/>
      <c r="B364" s="126" t="n"/>
      <c r="C364" s="124" t="n"/>
      <c r="D364" s="124" t="n"/>
      <c r="E364" s="124" t="n"/>
      <c r="F364" s="124" t="n"/>
      <c r="G364" s="124" t="n"/>
      <c r="H364" s="124" t="n"/>
      <c r="I364" s="124" t="n"/>
      <c r="J364" s="172" t="n"/>
    </row>
    <row r="365" ht="24.75" customFormat="1" customHeight="1" s="1">
      <c r="A365" s="124" t="n"/>
      <c r="B365" s="126" t="n"/>
      <c r="C365" s="124" t="n"/>
      <c r="D365" s="124" t="n"/>
      <c r="E365" s="124" t="n"/>
      <c r="F365" s="124" t="n"/>
      <c r="G365" s="124" t="n"/>
      <c r="H365" s="124" t="n"/>
      <c r="I365" s="124" t="n"/>
      <c r="J365" s="172" t="n"/>
    </row>
    <row r="366" ht="24.75" customFormat="1" customHeight="1" s="1">
      <c r="A366" s="124" t="n"/>
      <c r="B366" s="126" t="n"/>
      <c r="C366" s="124" t="n"/>
      <c r="D366" s="124" t="n"/>
      <c r="E366" s="124" t="n"/>
      <c r="F366" s="124" t="n"/>
      <c r="G366" s="124" t="n"/>
      <c r="H366" s="124" t="n"/>
      <c r="I366" s="124" t="n"/>
      <c r="J366" s="172" t="n"/>
    </row>
    <row r="367" ht="24.75" customFormat="1" customHeight="1" s="1">
      <c r="A367" s="124" t="n"/>
      <c r="B367" s="126" t="n"/>
      <c r="C367" s="124" t="n"/>
      <c r="D367" s="124" t="n"/>
      <c r="E367" s="124" t="n"/>
      <c r="F367" s="124" t="n"/>
      <c r="G367" s="124" t="n"/>
      <c r="H367" s="124" t="n"/>
      <c r="I367" s="124" t="n"/>
      <c r="J367" s="172" t="n"/>
    </row>
    <row r="368" ht="24.75" customFormat="1" customHeight="1" s="1">
      <c r="A368" s="124" t="n"/>
      <c r="B368" s="126" t="n"/>
      <c r="C368" s="124" t="n"/>
      <c r="D368" s="124" t="n"/>
      <c r="E368" s="124" t="n"/>
      <c r="F368" s="124" t="n"/>
      <c r="G368" s="124" t="n"/>
      <c r="H368" s="124" t="n"/>
      <c r="I368" s="124" t="n"/>
      <c r="J368" s="172" t="n"/>
    </row>
    <row r="369" ht="24.75" customFormat="1" customHeight="1" s="1">
      <c r="A369" s="124" t="n"/>
      <c r="B369" s="126" t="n"/>
      <c r="C369" s="124" t="n"/>
      <c r="D369" s="124" t="n"/>
      <c r="E369" s="124" t="n"/>
      <c r="F369" s="124" t="n"/>
      <c r="G369" s="124" t="n"/>
      <c r="H369" s="124" t="n"/>
      <c r="I369" s="124" t="n"/>
      <c r="J369" s="172" t="n"/>
    </row>
    <row r="370" ht="24.75" customFormat="1" customHeight="1" s="1">
      <c r="A370" s="124" t="n"/>
      <c r="B370" s="126" t="n"/>
      <c r="C370" s="124" t="n"/>
      <c r="D370" s="124" t="n"/>
      <c r="E370" s="124" t="n"/>
      <c r="F370" s="124" t="n"/>
      <c r="G370" s="124" t="n"/>
      <c r="H370" s="124" t="n"/>
      <c r="I370" s="124" t="n"/>
      <c r="J370" s="172" t="n"/>
    </row>
    <row r="371" ht="24.75" customFormat="1" customHeight="1" s="1">
      <c r="A371" s="124" t="n"/>
      <c r="B371" s="126" t="n"/>
      <c r="C371" s="124" t="n"/>
      <c r="D371" s="124" t="n"/>
      <c r="E371" s="124" t="n"/>
      <c r="F371" s="124" t="n"/>
      <c r="G371" s="124" t="n"/>
      <c r="H371" s="124" t="n"/>
      <c r="I371" s="124" t="n"/>
      <c r="J371" s="172" t="n"/>
    </row>
    <row r="372" ht="24.75" customFormat="1" customHeight="1" s="1">
      <c r="A372" s="124" t="n"/>
      <c r="B372" s="126" t="n"/>
      <c r="C372" s="124" t="n"/>
      <c r="D372" s="124" t="n"/>
      <c r="E372" s="124" t="n"/>
      <c r="F372" s="124" t="n"/>
      <c r="G372" s="124" t="n"/>
      <c r="H372" s="124" t="n"/>
      <c r="I372" s="124" t="n"/>
      <c r="J372" s="172" t="n"/>
    </row>
    <row r="373" ht="24.75" customFormat="1" customHeight="1" s="1">
      <c r="A373" s="124" t="n"/>
      <c r="B373" s="126" t="n"/>
      <c r="C373" s="124" t="n"/>
      <c r="D373" s="124" t="n"/>
      <c r="E373" s="124" t="n"/>
      <c r="F373" s="124" t="n"/>
      <c r="G373" s="124" t="n"/>
      <c r="H373" s="124" t="n"/>
      <c r="I373" s="124" t="n"/>
      <c r="J373" s="172" t="n"/>
    </row>
    <row r="374" ht="24.75" customFormat="1" customHeight="1" s="1">
      <c r="A374" s="124" t="n"/>
      <c r="B374" s="126" t="n"/>
      <c r="C374" s="124" t="n"/>
      <c r="D374" s="124" t="n"/>
      <c r="E374" s="124" t="n"/>
      <c r="F374" s="124" t="n"/>
      <c r="G374" s="124" t="n"/>
      <c r="H374" s="124" t="n"/>
      <c r="I374" s="124" t="n"/>
      <c r="J374" s="172" t="n"/>
    </row>
    <row r="375" ht="24.75" customFormat="1" customHeight="1" s="1">
      <c r="A375" s="124" t="n"/>
      <c r="B375" s="126" t="n"/>
      <c r="C375" s="124" t="n"/>
      <c r="D375" s="124" t="n"/>
      <c r="E375" s="124" t="n"/>
      <c r="F375" s="124" t="n"/>
      <c r="G375" s="124" t="n"/>
      <c r="H375" s="124" t="n"/>
      <c r="I375" s="124" t="n"/>
      <c r="J375" s="172" t="n"/>
    </row>
    <row r="376" ht="24.75" customFormat="1" customHeight="1" s="1">
      <c r="A376" s="124" t="n"/>
      <c r="B376" s="126" t="n"/>
      <c r="C376" s="124" t="n"/>
      <c r="D376" s="124" t="n"/>
      <c r="E376" s="124" t="n"/>
      <c r="F376" s="124" t="n"/>
      <c r="G376" s="124" t="n"/>
      <c r="H376" s="124" t="n"/>
      <c r="I376" s="124" t="n"/>
      <c r="J376" s="172" t="n"/>
    </row>
    <row r="377" ht="24.75" customFormat="1" customHeight="1" s="1">
      <c r="A377" s="124" t="n"/>
      <c r="B377" s="126" t="n"/>
      <c r="C377" s="124" t="n"/>
      <c r="D377" s="124" t="n"/>
      <c r="E377" s="124" t="n"/>
      <c r="F377" s="124" t="n"/>
      <c r="G377" s="124" t="n"/>
      <c r="H377" s="124" t="n"/>
      <c r="I377" s="124" t="n"/>
      <c r="J377" s="172" t="n"/>
    </row>
    <row r="378" ht="24.75" customFormat="1" customHeight="1" s="1">
      <c r="A378" s="124" t="n"/>
      <c r="B378" s="126" t="n"/>
      <c r="C378" s="124" t="n"/>
      <c r="D378" s="124" t="n"/>
      <c r="E378" s="124" t="n"/>
      <c r="F378" s="124" t="n"/>
      <c r="G378" s="124" t="n"/>
      <c r="H378" s="124" t="n"/>
      <c r="I378" s="124" t="n"/>
      <c r="J378" s="172" t="n"/>
    </row>
    <row r="379" ht="24.75" customFormat="1" customHeight="1" s="1">
      <c r="A379" s="124" t="n"/>
      <c r="B379" s="126" t="n"/>
      <c r="C379" s="124" t="n"/>
      <c r="D379" s="124" t="n"/>
      <c r="E379" s="124" t="n"/>
      <c r="F379" s="124" t="n"/>
      <c r="G379" s="124" t="n"/>
      <c r="H379" s="124" t="n"/>
      <c r="I379" s="124" t="n"/>
      <c r="J379" s="172" t="n"/>
    </row>
    <row r="380" ht="24.75" customFormat="1" customHeight="1" s="1">
      <c r="A380" s="124" t="n"/>
      <c r="B380" s="126" t="n"/>
      <c r="C380" s="124" t="n"/>
      <c r="D380" s="124" t="n"/>
      <c r="E380" s="124" t="n"/>
      <c r="F380" s="124" t="n"/>
      <c r="G380" s="124" t="n"/>
      <c r="H380" s="124" t="n"/>
      <c r="I380" s="124" t="n"/>
      <c r="J380" s="172" t="n"/>
    </row>
    <row r="381" ht="24.75" customFormat="1" customHeight="1" s="1">
      <c r="A381" s="124" t="n"/>
      <c r="B381" s="126" t="n"/>
      <c r="C381" s="124" t="n"/>
      <c r="D381" s="124" t="n"/>
      <c r="E381" s="124" t="n"/>
      <c r="F381" s="124" t="n"/>
      <c r="G381" s="124" t="n"/>
      <c r="H381" s="124" t="n"/>
      <c r="I381" s="124" t="n"/>
      <c r="J381" s="172" t="n"/>
    </row>
    <row r="382" ht="24.75" customFormat="1" customHeight="1" s="1">
      <c r="A382" s="124" t="n"/>
      <c r="B382" s="126" t="n"/>
      <c r="C382" s="124" t="n"/>
      <c r="D382" s="124" t="n"/>
      <c r="E382" s="124" t="n"/>
      <c r="F382" s="124" t="n"/>
      <c r="G382" s="124" t="n"/>
      <c r="H382" s="124" t="n"/>
      <c r="I382" s="124" t="n"/>
      <c r="J382" s="172" t="n"/>
    </row>
    <row r="383" ht="24.75" customFormat="1" customHeight="1" s="1">
      <c r="A383" s="124" t="n"/>
      <c r="B383" s="126" t="n"/>
      <c r="C383" s="124" t="n"/>
      <c r="D383" s="124" t="n"/>
      <c r="E383" s="124" t="n"/>
      <c r="F383" s="124" t="n"/>
      <c r="G383" s="124" t="n"/>
      <c r="H383" s="124" t="n"/>
      <c r="I383" s="124" t="n"/>
      <c r="J383" s="172" t="n"/>
    </row>
    <row r="384" ht="24.75" customFormat="1" customHeight="1" s="1">
      <c r="A384" s="124" t="n"/>
      <c r="B384" s="126" t="n"/>
      <c r="C384" s="124" t="n"/>
      <c r="D384" s="124" t="n"/>
      <c r="E384" s="124" t="n"/>
      <c r="F384" s="124" t="n"/>
      <c r="G384" s="124" t="n"/>
      <c r="H384" s="124" t="n"/>
      <c r="I384" s="124" t="n"/>
      <c r="J384" s="172" t="n"/>
    </row>
    <row r="385" ht="24.75" customFormat="1" customHeight="1" s="1">
      <c r="A385" s="124" t="n"/>
      <c r="B385" s="126" t="n"/>
      <c r="C385" s="124" t="n"/>
      <c r="D385" s="124" t="n"/>
      <c r="E385" s="124" t="n"/>
      <c r="F385" s="124" t="n"/>
      <c r="G385" s="124" t="n"/>
      <c r="H385" s="124" t="n"/>
      <c r="I385" s="124" t="n"/>
      <c r="J385" s="172" t="n"/>
    </row>
    <row r="386" ht="24.75" customFormat="1" customHeight="1" s="1">
      <c r="A386" s="124" t="n"/>
      <c r="B386" s="126" t="n"/>
      <c r="C386" s="124" t="n"/>
      <c r="D386" s="124" t="n"/>
      <c r="E386" s="124" t="n"/>
      <c r="F386" s="124" t="n"/>
      <c r="G386" s="124" t="n"/>
      <c r="H386" s="124" t="n"/>
      <c r="I386" s="124" t="n"/>
      <c r="J386" s="172" t="n"/>
    </row>
    <row r="387" ht="24.75" customFormat="1" customHeight="1" s="1">
      <c r="A387" s="124" t="n"/>
      <c r="B387" s="126" t="n"/>
      <c r="C387" s="124" t="n"/>
      <c r="D387" s="124" t="n"/>
      <c r="E387" s="124" t="n"/>
      <c r="F387" s="124" t="n"/>
      <c r="G387" s="124" t="n"/>
      <c r="H387" s="124" t="n"/>
      <c r="I387" s="124" t="n"/>
      <c r="J387" s="172" t="n"/>
    </row>
    <row r="388" ht="24.75" customFormat="1" customHeight="1" s="1">
      <c r="A388" s="124" t="n"/>
      <c r="B388" s="126" t="n"/>
      <c r="C388" s="124" t="n"/>
      <c r="D388" s="124" t="n"/>
      <c r="E388" s="124" t="n"/>
      <c r="F388" s="124" t="n"/>
      <c r="G388" s="124" t="n"/>
      <c r="H388" s="124" t="n"/>
      <c r="I388" s="124" t="n"/>
      <c r="J388" s="172" t="n"/>
    </row>
    <row r="389" ht="24.75" customFormat="1" customHeight="1" s="1">
      <c r="A389" s="124" t="n"/>
      <c r="B389" s="126" t="n"/>
      <c r="C389" s="124" t="n"/>
      <c r="D389" s="124" t="n"/>
      <c r="E389" s="124" t="n"/>
      <c r="F389" s="124" t="n"/>
      <c r="G389" s="124" t="n"/>
      <c r="H389" s="124" t="n"/>
      <c r="I389" s="124" t="n"/>
      <c r="J389" s="172" t="n"/>
    </row>
    <row r="390" ht="24.75" customFormat="1" customHeight="1" s="1">
      <c r="A390" s="124" t="n"/>
      <c r="B390" s="126" t="n"/>
      <c r="C390" s="124" t="n"/>
      <c r="D390" s="124" t="n"/>
      <c r="E390" s="124" t="n"/>
      <c r="F390" s="124" t="n"/>
      <c r="G390" s="124" t="n"/>
      <c r="H390" s="124" t="n"/>
      <c r="I390" s="124" t="n"/>
      <c r="J390" s="172" t="n"/>
    </row>
    <row r="391" ht="24.75" customFormat="1" customHeight="1" s="1">
      <c r="A391" s="124" t="n"/>
      <c r="B391" s="126" t="n"/>
      <c r="C391" s="124" t="n"/>
      <c r="D391" s="124" t="n"/>
      <c r="E391" s="124" t="n"/>
      <c r="F391" s="124" t="n"/>
      <c r="G391" s="124" t="n"/>
      <c r="H391" s="124" t="n"/>
      <c r="I391" s="124" t="n"/>
      <c r="J391" s="172" t="n"/>
    </row>
    <row r="392" ht="24.75" customFormat="1" customHeight="1" s="1">
      <c r="A392" s="124" t="n"/>
      <c r="B392" s="126" t="n"/>
      <c r="C392" s="124" t="n"/>
      <c r="D392" s="124" t="n"/>
      <c r="E392" s="124" t="n"/>
      <c r="F392" s="124" t="n"/>
      <c r="G392" s="124" t="n"/>
      <c r="H392" s="124" t="n"/>
      <c r="I392" s="124" t="n"/>
      <c r="J392" s="172" t="n"/>
    </row>
    <row r="393" ht="24.75" customFormat="1" customHeight="1" s="1">
      <c r="A393" s="124" t="n"/>
      <c r="B393" s="126" t="n"/>
      <c r="C393" s="124" t="n"/>
      <c r="D393" s="124" t="n"/>
      <c r="E393" s="124" t="n"/>
      <c r="F393" s="124" t="n"/>
      <c r="G393" s="124" t="n"/>
      <c r="H393" s="124" t="n"/>
      <c r="I393" s="124" t="n"/>
      <c r="J393" s="172" t="n"/>
    </row>
    <row r="394" ht="24.75" customFormat="1" customHeight="1" s="1">
      <c r="A394" s="124" t="n"/>
      <c r="B394" s="126" t="n"/>
      <c r="C394" s="124" t="n"/>
      <c r="D394" s="124" t="n"/>
      <c r="E394" s="124" t="n"/>
      <c r="F394" s="124" t="n"/>
      <c r="G394" s="124" t="n"/>
      <c r="H394" s="124" t="n"/>
      <c r="I394" s="124" t="n"/>
      <c r="J394" s="172" t="n"/>
    </row>
    <row r="395" ht="24.75" customFormat="1" customHeight="1" s="1">
      <c r="A395" s="124" t="n"/>
      <c r="B395" s="126" t="n"/>
      <c r="C395" s="124" t="n"/>
      <c r="D395" s="124" t="n"/>
      <c r="E395" s="124" t="n"/>
      <c r="F395" s="124" t="n"/>
      <c r="G395" s="124" t="n"/>
      <c r="H395" s="124" t="n"/>
      <c r="I395" s="124" t="n"/>
      <c r="J395" s="172" t="n"/>
    </row>
  </sheetData>
  <mergeCells count="14">
    <mergeCell ref="A4:B4"/>
    <mergeCell ref="A341:B341"/>
    <mergeCell ref="A1:J1"/>
    <mergeCell ref="F341:G341"/>
    <mergeCell ref="H338:I338"/>
    <mergeCell ref="A73:B73"/>
    <mergeCell ref="A142:B142"/>
    <mergeCell ref="A226:B226"/>
    <mergeCell ref="A340:B340"/>
    <mergeCell ref="H340:I340"/>
    <mergeCell ref="A339:B339"/>
    <mergeCell ref="H339:I339"/>
    <mergeCell ref="A2:J2"/>
    <mergeCell ref="A338:B33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2026-01-19T00:36:00Z</dcterms:created>
  <dcterms:modified xmlns:dcterms="http://purl.org/dc/terms/" xmlns:xsi="http://www.w3.org/2001/XMLSchema-instance" xsi:type="dcterms:W3CDTF">2026-05-17T14:22:30Z</dcterms:modified>
  <cp:lastModifiedBy>木鹊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2A6CBC7182354D328C033B4DFF1F0B51_11</vt:lpwstr>
  </property>
  <property name="KSOReadingLayout" fmtid="{D5CDD505-2E9C-101B-9397-08002B2CF9AE}" pid="3">
    <vt:bool xmlns:vt="http://schemas.openxmlformats.org/officeDocument/2006/docPropsVTypes">1</vt:bool>
  </property>
  <property name="KSOProductBuildVer" fmtid="{D5CDD505-2E9C-101B-9397-08002B2CF9AE}" pid="4">
    <vt:lpwstr xmlns:vt="http://schemas.openxmlformats.org/officeDocument/2006/docPropsVTypes">2052-12.1.0.26375</vt:lpwstr>
  </property>
  <property name="CalculationRule" fmtid="{D5CDD505-2E9C-101B-9397-08002B2CF9AE}" pid="5">
    <vt:i4 xmlns:vt="http://schemas.openxmlformats.org/officeDocument/2006/docPropsVTypes">1</vt:i4>
  </property>
</Properties>
</file>