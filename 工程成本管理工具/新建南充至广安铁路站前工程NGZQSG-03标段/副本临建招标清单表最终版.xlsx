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40" windowHeight="22240"/>
  </bookViews>
  <sheets>
    <sheet name="不含材料土方 (2)" sheetId="3" r:id="rId1"/>
  </sheets>
  <definedNames>
    <definedName name="_xlnm._FilterDatabase" localSheetId="0" hidden="1">'不含材料土方 (2)'!$A$1:$I$154</definedName>
    <definedName name="_xlnm.Print_Area" localSheetId="0">'不含材料土方 (2)'!$A$1:$J$154</definedName>
    <definedName name="_xlnm.Print_Titles" localSheetId="0">'不含材料土方 (2)'!$1:$2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<sst xmlns="http://schemas.openxmlformats.org/spreadsheetml/2006/main" count="737" uniqueCount="265">
  <si>
    <t>临时工程招标清单表（不含税）</t>
  </si>
  <si>
    <t>序号</t>
  </si>
  <si>
    <t>项目名称</t>
  </si>
  <si>
    <t>标准</t>
  </si>
  <si>
    <t>单位</t>
  </si>
  <si>
    <t>数量</t>
  </si>
  <si>
    <t>综合单价</t>
  </si>
  <si>
    <t>合价</t>
  </si>
  <si>
    <t>计量规则</t>
  </si>
  <si>
    <t>费用组成</t>
  </si>
  <si>
    <t>工作内容</t>
  </si>
  <si>
    <t>备注</t>
  </si>
  <si>
    <t>生活服务</t>
  </si>
  <si>
    <t>一</t>
  </si>
  <si>
    <t>项目部驻地及装修</t>
  </si>
  <si>
    <t>平方米</t>
  </si>
  <si>
    <t>（一）</t>
  </si>
  <si>
    <t>房屋基础</t>
  </si>
  <si>
    <t>1</t>
  </si>
  <si>
    <t>混凝土基础</t>
  </si>
  <si>
    <t>条形基础（宽0.3*高0.3m）</t>
  </si>
  <si>
    <t>立方米</t>
  </si>
  <si>
    <t>按施工图计算圬工体积计算</t>
  </si>
  <si>
    <t>除混凝土外全部费用，含模板费用</t>
  </si>
  <si>
    <t>模板安拆、混凝土浇筑、振捣及养护、接口凿毛</t>
  </si>
  <si>
    <t>2</t>
  </si>
  <si>
    <t>基础钢筋</t>
  </si>
  <si>
    <t>吨</t>
  </si>
  <si>
    <t>按现场实际完成的施工图内的数量计算</t>
  </si>
  <si>
    <t>除主材外全部费用</t>
  </si>
  <si>
    <t>钢筋调直、下料、制作、运输、挂网安装、点焊、加固</t>
  </si>
  <si>
    <t>3</t>
  </si>
  <si>
    <t>基础回填（碎石）</t>
  </si>
  <si>
    <t>按实际完成的施工图数量计算</t>
  </si>
  <si>
    <t>挖、装、运、卸20m，填筑、整平、夯实</t>
  </si>
  <si>
    <t>4</t>
  </si>
  <si>
    <t>原土回填</t>
  </si>
  <si>
    <t>按施工方案图示尺寸，以现场实际完成的合格数量计算</t>
  </si>
  <si>
    <t>全部费用</t>
  </si>
  <si>
    <t>碎土、分层回填、夯实，场地清理等</t>
  </si>
  <si>
    <t>5</t>
  </si>
  <si>
    <t>换填普通土</t>
  </si>
  <si>
    <t>6</t>
  </si>
  <si>
    <t>土方开挖</t>
  </si>
  <si>
    <t>挖土、装车、清理、修理边坡、人工清槽，运输等</t>
  </si>
  <si>
    <t>7</t>
  </si>
  <si>
    <t xml:space="preserve">自卸汽车运土  </t>
  </si>
  <si>
    <t>土、砂类土，运距≤1Km</t>
  </si>
  <si>
    <t>按技术交底断面尺寸计算</t>
  </si>
  <si>
    <t xml:space="preserve">包含全部费用  </t>
  </si>
  <si>
    <t>施工准备、等待装车、运、空回等</t>
  </si>
  <si>
    <t>8</t>
  </si>
  <si>
    <t xml:space="preserve">自卸汽车运土 </t>
  </si>
  <si>
    <t>土、砂类土，运距每增运1Km</t>
  </si>
  <si>
    <t>按技术断面尺寸和现场实际测量运距计算</t>
  </si>
  <si>
    <t xml:space="preserve">包含全部费用 </t>
  </si>
  <si>
    <t xml:space="preserve"> 运距每增运1Km</t>
  </si>
  <si>
    <t>（二）</t>
  </si>
  <si>
    <t>装修</t>
  </si>
  <si>
    <t>办公及住宿</t>
  </si>
  <si>
    <t>综合指标</t>
  </si>
  <si>
    <t>按实际完成量</t>
  </si>
  <si>
    <t>铺砖、墙面抹灰、吊顶、水电、五金件安装等满足入住条件</t>
  </si>
  <si>
    <t>其中主要装修项目</t>
  </si>
  <si>
    <t>（1）</t>
  </si>
  <si>
    <t>铺瓷砖</t>
  </si>
  <si>
    <t>按设计图所示，以现场实际完成的合格数量计算</t>
  </si>
  <si>
    <t>清理基层,调运水泥砂浆、浸砖,砖边切割、磨细,贴砖、擦缝、清理净面、刷浆、成品保护等</t>
  </si>
  <si>
    <t>（2）</t>
  </si>
  <si>
    <t>复合地板</t>
  </si>
  <si>
    <t>拼接</t>
  </si>
  <si>
    <t>（3）</t>
  </si>
  <si>
    <t>矿棉板吊顶</t>
  </si>
  <si>
    <t>下料裁板,安装面层板清理基层,定位、弹线、打眼、安膨胀螺栓,选料、下料,定位杆安装,龙骨安装并预留孔洞,临时加固,封边龙骨设置、整体调整、校正等</t>
  </si>
  <si>
    <t>（4）</t>
  </si>
  <si>
    <t>铺设电线及灯具</t>
  </si>
  <si>
    <t>敷设、校线、接线、测位、画线、打眼、埋螺栓、上底台、支架安装、灯具安装、接线、焊接包头、试亮，包括开关、插座</t>
  </si>
  <si>
    <t>（5）</t>
  </si>
  <si>
    <t>普通墙面</t>
  </si>
  <si>
    <t>墙面：乳胶漆、腻子(含材料费)</t>
  </si>
  <si>
    <t>会议室接待室</t>
  </si>
  <si>
    <t>会议室吊顶(矿棉板)</t>
  </si>
  <si>
    <t>厨房</t>
  </si>
  <si>
    <t>厨房吊顶</t>
  </si>
  <si>
    <t>铝扣板</t>
  </si>
  <si>
    <t>食堂</t>
  </si>
  <si>
    <t>pvc吊顶</t>
  </si>
  <si>
    <t>洗簌室及卫生间</t>
  </si>
  <si>
    <t>（三）</t>
  </si>
  <si>
    <t>民工宿舍装修</t>
  </si>
  <si>
    <t>二</t>
  </si>
  <si>
    <t>驻地硬化</t>
  </si>
  <si>
    <t>混凝土硬化</t>
  </si>
  <si>
    <t>10cm</t>
  </si>
  <si>
    <t>按技术交底示意图，以成型顶面积计算</t>
  </si>
  <si>
    <t>除混凝土外包含全部费用</t>
  </si>
  <si>
    <t>施工准备、模板安装及拆除、混凝土浇筑、捣固；真空吸水、抹平、养生，施工缝施工</t>
  </si>
  <si>
    <t>三</t>
  </si>
  <si>
    <t>围墙及大门</t>
  </si>
  <si>
    <t>延米</t>
  </si>
  <si>
    <t>砖砌围墙</t>
  </si>
  <si>
    <t>24砖墙</t>
  </si>
  <si>
    <t>按现场实际围墙长度与设计墙厚之积计算</t>
  </si>
  <si>
    <t>单价包含除砖、砂浆材料费之外的全部费用</t>
  </si>
  <si>
    <t>施工准备，测量、放线，基础开挖、砌筑、回填，砖洒水、场内运输、墙身砌筑、勾缝、抹面及基坑回填，清理现场等</t>
  </si>
  <si>
    <t>大门（电动折叠门）</t>
  </si>
  <si>
    <t>米</t>
  </si>
  <si>
    <t>准备、搬运、开箱检验、安装固定、连接、调试等</t>
  </si>
  <si>
    <t>铁艺门</t>
  </si>
  <si>
    <t>准备、搬运、开箱检验、安装固定等</t>
  </si>
  <si>
    <t>四</t>
  </si>
  <si>
    <t>化粪池</t>
  </si>
  <si>
    <t>项</t>
  </si>
  <si>
    <t>基坑开挖、PE管铺设、砖砌、水泥砂浆抹面等</t>
  </si>
  <si>
    <t>五</t>
  </si>
  <si>
    <t>隔油沉淀池</t>
  </si>
  <si>
    <t>六</t>
  </si>
  <si>
    <t>旗台</t>
  </si>
  <si>
    <t>座</t>
  </si>
  <si>
    <t>砖砌底座，铺设瓷砖，水泥砂浆抹面、旗杆等</t>
  </si>
  <si>
    <t>七</t>
  </si>
  <si>
    <t>给排水管铺设</t>
  </si>
  <si>
    <t>排水PVC-U</t>
  </si>
  <si>
    <t>DN100</t>
  </si>
  <si>
    <t>管线敷设含其他配件</t>
  </si>
  <si>
    <t>给水管</t>
  </si>
  <si>
    <t>PPR50</t>
  </si>
  <si>
    <t>PVC阻燃管</t>
  </si>
  <si>
    <t>生产服务</t>
  </si>
  <si>
    <t>钢筋加工场</t>
  </si>
  <si>
    <t>地基处理、场地平整</t>
  </si>
  <si>
    <t>按设计图示路基断面宽度及清表长度之乘积计算</t>
  </si>
  <si>
    <t>单价包含全部费用</t>
  </si>
  <si>
    <t>场地清理，放边界线，推土机(挖掘机）推/挖表土，将表土移出路基范围以外或汇集，原地面平整、压路机压实原地面至设计要求</t>
  </si>
  <si>
    <t>场地混凝土硬化</t>
  </si>
  <si>
    <t>C25厚度20cm</t>
  </si>
  <si>
    <t>基础钢筋砼</t>
  </si>
  <si>
    <t>铺设碎石垫层</t>
  </si>
  <si>
    <t>除碎石外全部费用</t>
  </si>
  <si>
    <t>龙门吊轨道基础砼</t>
  </si>
  <si>
    <t>C30</t>
  </si>
  <si>
    <t>砂石料加工厂</t>
  </si>
  <si>
    <t>场地平整</t>
  </si>
  <si>
    <t>3100</t>
  </si>
  <si>
    <t>设备基础混凝土</t>
  </si>
  <si>
    <t>150</t>
  </si>
  <si>
    <t>除混凝土外全部费用，辅材和模板费用含在工机单价内。</t>
  </si>
  <si>
    <t>设备基础钢筋</t>
  </si>
  <si>
    <t>公路预制梁场</t>
  </si>
  <si>
    <t>22000</t>
  </si>
  <si>
    <t>基础换填（砖头土）</t>
  </si>
  <si>
    <t>11000</t>
  </si>
  <si>
    <t>按技术交底断面压实方计算</t>
  </si>
  <si>
    <t>分层匀平、压实、修整边坡及路面</t>
  </si>
  <si>
    <t>三七灰土</t>
  </si>
  <si>
    <t>2200</t>
  </si>
  <si>
    <t>按施工图内实际压实断面方计算</t>
  </si>
  <si>
    <t>拌合、装车、含3公里内运输、机械整平、碾压、洒水养生、修整路堤边坡及路面</t>
  </si>
  <si>
    <t>10</t>
  </si>
  <si>
    <t>500</t>
  </si>
  <si>
    <t>龙门吊轨道基础混凝土</t>
  </si>
  <si>
    <t>龙门吊轨道基础钢筋</t>
  </si>
  <si>
    <t>1123</t>
  </si>
  <si>
    <t>270</t>
  </si>
  <si>
    <t>铁栅栏</t>
  </si>
  <si>
    <t>1.8米</t>
  </si>
  <si>
    <t>准备、搬运、开箱检验、安装固定等，含基础</t>
  </si>
  <si>
    <t>制存梁台座基础混凝土（C30）</t>
  </si>
  <si>
    <t>m3</t>
  </si>
  <si>
    <t>按技术交底圬工体积计算</t>
  </si>
  <si>
    <t>除混凝土外全部费用</t>
  </si>
  <si>
    <t>施工准备；模板安装、拆除、修理、堆放；混凝土浇筑、振捣及养生</t>
  </si>
  <si>
    <t>制存梁台座钢筋（HPB400）</t>
  </si>
  <si>
    <t>t</t>
  </si>
  <si>
    <t>按技术交底数量计算，不计搭接及损耗</t>
  </si>
  <si>
    <t>除钢筋外全部费用</t>
  </si>
  <si>
    <t>钢筋制作及绑扎、安放、定位、校正</t>
  </si>
  <si>
    <t>制存梁台座5#槽钢</t>
  </si>
  <si>
    <t>按设计图示尺寸以质量计算</t>
  </si>
  <si>
    <t>平台搭拆、焊接、拼装、吊装</t>
  </si>
  <si>
    <t>制存梁台座底模钢板安装</t>
  </si>
  <si>
    <t>按设计图示接触面积，以现场实际完成的合格数量不计损耗计算</t>
  </si>
  <si>
    <t>除钢板外全部费用</t>
  </si>
  <si>
    <t>搭拆简易架,钢模安装、拆除,模板清理、刷隔离剂、嵌缝、整理堆放及场内外运输</t>
  </si>
  <si>
    <t>小型预制构件场</t>
  </si>
  <si>
    <t>拌合站</t>
  </si>
  <si>
    <t>场地回填</t>
  </si>
  <si>
    <t>运距1km</t>
  </si>
  <si>
    <t>按施工图断面尺寸计算</t>
  </si>
  <si>
    <t xml:space="preserve">全部劳务费用 </t>
  </si>
  <si>
    <t>施工准备、辅助及清理工作面</t>
  </si>
  <si>
    <t>粉料罐、主楼垫层混凝土</t>
  </si>
  <si>
    <t>除钢筋、混凝土外全部费用</t>
  </si>
  <si>
    <t>模板安拆、混凝土浇筑、振捣及养护、接口凿毛、钢筋除锈、制作、绑扎、安装、定位、校正、现场运输</t>
  </si>
  <si>
    <t>粉料罐、主楼基础混凝土</t>
  </si>
  <si>
    <t>粉料罐、主楼立柱混凝土</t>
  </si>
  <si>
    <t>粉料罐、主楼立柱钢筋</t>
  </si>
  <si>
    <t>斜皮带、配料机垫层混凝土</t>
  </si>
  <si>
    <t>斜皮带、配料机混凝土</t>
  </si>
  <si>
    <t>斜皮带、配料机立柱混凝土</t>
  </si>
  <si>
    <t>斜皮带、配料机钢筋</t>
  </si>
  <si>
    <t>斜皮带、配料机立柱钢筋</t>
  </si>
  <si>
    <t>清水池开挖</t>
  </si>
  <si>
    <t>清水池混凝土垫层</t>
  </si>
  <si>
    <t>清水池侧墙</t>
  </si>
  <si>
    <t>按施工图尺寸计算实际圬工体积</t>
  </si>
  <si>
    <t>除砼、模板、排水管材料费外全部费用</t>
  </si>
  <si>
    <t>开挖基坑，模板安拆、安装排水管、浇筑、沉降缝制施工、养护、搭拆脚手架，清理工作场地</t>
  </si>
  <si>
    <t>清水池钢筋</t>
  </si>
  <si>
    <t>按照钢筋设计重量计算，不含架立钢筋及冷却管重量</t>
  </si>
  <si>
    <t>除钢筋、吊车外全部费用</t>
  </si>
  <si>
    <t>钢筋卸车、堆放、调直、除锈、切断、弯制，钢筋加工半成品装运卸，现场焊接及绑扎、安放、定位、校正、安装等全部工作内容</t>
  </si>
  <si>
    <t>搅拌池开挖</t>
  </si>
  <si>
    <t>搅拌池混凝土垫层</t>
  </si>
  <si>
    <t>除混凝土、钢筋外全部费用</t>
  </si>
  <si>
    <t>模板安拆、混凝土浇筑、振捣及养护、钢筋除锈、焊接及绑扎、安放、定位、校正、安装等全部工作内容</t>
  </si>
  <si>
    <t>搅拌池底板、侧墙</t>
  </si>
  <si>
    <t>搅拌池钢筋</t>
  </si>
  <si>
    <t>压滤机底板、侧墙混凝土</t>
  </si>
  <si>
    <t>斜坡池底板、侧墙混凝土</t>
  </si>
  <si>
    <t>斜坡池钢筋</t>
  </si>
  <si>
    <t>砂石分离机底板、侧墙混凝土</t>
  </si>
  <si>
    <t>蓄水池底板、侧墙混凝土</t>
  </si>
  <si>
    <t>蓄水池钢筋</t>
  </si>
  <si>
    <t>地面硬化混凝土</t>
  </si>
  <si>
    <t>料仓条形基础垫层</t>
  </si>
  <si>
    <t>料仓条形基础</t>
  </si>
  <si>
    <t>料仓顶棚立柱混凝土</t>
  </si>
  <si>
    <t>料仓砌砖</t>
  </si>
  <si>
    <t>除混凝土、钢筋、砖外全部费用</t>
  </si>
  <si>
    <t>模板安拆、混凝土浇筑、振捣及养护、砌砖、勾缝、材料运输</t>
  </si>
  <si>
    <t>料仓钢筋</t>
  </si>
  <si>
    <t>院墙封闭砌砖</t>
  </si>
  <si>
    <t>排水沟开挖</t>
  </si>
  <si>
    <t>宽30cm，深40cm</t>
  </si>
  <si>
    <t>排水沟站内沟盖板预制、安装</t>
  </si>
  <si>
    <t>排水沟砌砖</t>
  </si>
  <si>
    <t>除砖、砂浆外全部费用</t>
  </si>
  <si>
    <t>调、运、铺砂浆、运砖和砌砖、勾缝、材料运输、脚手架搭拆等</t>
  </si>
  <si>
    <t>雨水沉淀池混凝土</t>
  </si>
  <si>
    <t>挖土，装土，清理，修整边坡，人工清槽，运输等</t>
  </si>
  <si>
    <t>雨水沉淀池钢筋</t>
  </si>
  <si>
    <t>除主要材料外全部费用</t>
  </si>
  <si>
    <t>预制场地整理，模板制安拆、混凝土拌制、浇筑、振捣及养护、场内运输、成品块堆放，清理工作场地</t>
  </si>
  <si>
    <t>雨水沉淀池砌砖</t>
  </si>
  <si>
    <t>洗车池混凝土</t>
  </si>
  <si>
    <t>蓄水池混凝土</t>
  </si>
  <si>
    <t>站内板房混凝土</t>
  </si>
  <si>
    <t>模板安拆、混凝土浇筑、振捣及养护</t>
  </si>
  <si>
    <t>站内板房钢筋</t>
  </si>
  <si>
    <t>大门砌砖</t>
  </si>
  <si>
    <t>大门混凝土</t>
  </si>
  <si>
    <t>其他</t>
  </si>
  <si>
    <t>排水沟</t>
  </si>
  <si>
    <t>m</t>
  </si>
  <si>
    <t>开挖尺寸，0.88*0.8*1000</t>
  </si>
  <si>
    <t>排水沟现浇</t>
  </si>
  <si>
    <t>挖基、模板制安拆，混凝土拌制、浇筑、振捣及养护、回填，清理工作场地</t>
  </si>
  <si>
    <t>沟壁采用240砌砖，0.24*0.7*1000*2</t>
  </si>
  <si>
    <t>砖砌排水沟抹面（M10)水泥砂浆</t>
  </si>
  <si>
    <t>0.7*1000*2</t>
  </si>
  <si>
    <t>m2</t>
  </si>
  <si>
    <t>除砂浆外全部费用</t>
  </si>
  <si>
    <t xml:space="preserve">清理、修补、湿润基层表面、堵墙眼,调运砂浆、分层抹灰找平、刷浆、洒水湿润、罩面压光(包括门窗洞口侧壁及护角线抹灰),清扫落地灰等 </t>
  </si>
  <si>
    <t>合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</si>
</sst>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"/>
  </numFmts>
  <fonts count="32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16"/>
      <name val="宋体"/>
      <charset val="134"/>
    </font>
    <font>
      <b/>
      <sz val="9"/>
      <color theme="1"/>
      <name val="宋体"/>
      <charset val="134"/>
    </font>
    <font>
      <b/>
      <sz val="9"/>
      <color rgb="FF000000"/>
      <name val="宋体"/>
      <charset val="134"/>
    </font>
    <font>
      <sz val="9"/>
      <color theme="1"/>
      <name val="宋体"/>
      <charset val="134"/>
    </font>
    <font>
      <sz val="9"/>
      <color rgb="FF000000"/>
      <name val="宋体"/>
      <charset val="134"/>
    </font>
    <font>
      <sz val="9"/>
      <name val="宋体"/>
      <charset val="134"/>
      <scheme val="minor"/>
    </font>
    <font>
      <sz val="10"/>
      <color rgb="FF000000"/>
      <name val="宋体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0" fillId="0" borderId="0" applyBorder="0"/>
    <xf numFmtId="0" fontId="0" fillId="0" borderId="0">
      <alignment vertical="center"/>
    </xf>
    <xf numFmtId="0" fontId="31" fillId="0" borderId="0"/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30" fillId="0" borderId="0">
      <alignment vertical="top"/>
    </xf>
    <xf numFmtId="0" fontId="31" fillId="0" borderId="0"/>
    <xf numFmtId="0" fontId="30" fillId="0" borderId="0"/>
  </cellStyleXfs>
  <cellXfs count="78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55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1" fillId="0" borderId="1" xfId="55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55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/>
    <xf numFmtId="49" fontId="4" fillId="0" borderId="1" xfId="52" applyNumberFormat="1" applyFont="1" applyFill="1" applyBorder="1" applyAlignment="1">
      <alignment horizontal="center" vertical="center" wrapText="1"/>
    </xf>
    <xf numFmtId="49" fontId="4" fillId="0" borderId="1" xfId="52" applyNumberFormat="1" applyFont="1" applyFill="1" applyBorder="1" applyAlignment="1">
      <alignment horizontal="left" vertical="center" wrapText="1"/>
    </xf>
    <xf numFmtId="49" fontId="6" fillId="0" borderId="1" xfId="52" applyNumberFormat="1" applyFont="1" applyFill="1" applyBorder="1" applyAlignment="1">
      <alignment horizontal="center" vertical="center" wrapText="1"/>
    </xf>
    <xf numFmtId="49" fontId="6" fillId="0" borderId="1" xfId="52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55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/>
    <xf numFmtId="49" fontId="2" fillId="0" borderId="1" xfId="52" applyNumberFormat="1" applyFont="1" applyFill="1" applyBorder="1" applyAlignment="1">
      <alignment horizontal="left" vertical="center" wrapText="1"/>
    </xf>
    <xf numFmtId="49" fontId="2" fillId="0" borderId="1" xfId="5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>
      <alignment vertical="center"/>
    </xf>
    <xf numFmtId="176" fontId="2" fillId="0" borderId="1" xfId="53" applyNumberFormat="1" applyFont="1" applyFill="1" applyBorder="1" applyAlignment="1">
      <alignment horizontal="center" vertical="center"/>
    </xf>
    <xf numFmtId="176" fontId="2" fillId="0" borderId="1" xfId="53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49" fontId="7" fillId="0" borderId="1" xfId="52" applyNumberFormat="1" applyFont="1" applyFill="1" applyBorder="1" applyAlignment="1">
      <alignment horizontal="left" vertical="center" wrapText="1"/>
    </xf>
    <xf numFmtId="49" fontId="1" fillId="0" borderId="1" xfId="49" applyNumberFormat="1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wrapText="1"/>
    </xf>
    <xf numFmtId="49" fontId="5" fillId="0" borderId="1" xfId="52" applyNumberFormat="1" applyFont="1" applyFill="1" applyBorder="1" applyAlignment="1">
      <alignment vertical="center" wrapText="1"/>
    </xf>
    <xf numFmtId="0" fontId="8" fillId="0" borderId="1" xfId="5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7" fillId="0" borderId="1" xfId="52" applyNumberFormat="1" applyFont="1" applyFill="1" applyBorder="1" applyAlignment="1">
      <alignment vertical="center" wrapText="1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53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6" fillId="0" borderId="1" xfId="52" applyNumberFormat="1" applyFont="1" applyFill="1" applyBorder="1" applyAlignment="1">
      <alignment horizontal="center" vertical="center" wrapText="1"/>
    </xf>
    <xf numFmtId="49" fontId="6" fillId="2" borderId="1" xfId="49" applyNumberFormat="1" applyFont="1" applyFill="1" applyBorder="1" applyAlignment="1">
      <alignment horizontal="left" vertical="center" wrapText="1"/>
    </xf>
    <xf numFmtId="49" fontId="6" fillId="2" borderId="1" xfId="49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52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7" fillId="0" borderId="1" xfId="49" applyNumberFormat="1" applyFont="1" applyFill="1" applyBorder="1" applyAlignment="1">
      <alignment horizontal="left" vertical="center" wrapText="1"/>
    </xf>
    <xf numFmtId="176" fontId="6" fillId="0" borderId="1" xfId="52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0" fontId="2" fillId="0" borderId="1" xfId="56" applyFont="1" applyFill="1" applyBorder="1" applyAlignment="1">
      <alignment horizontal="center" vertical="center" wrapText="1"/>
    </xf>
    <xf numFmtId="49" fontId="6" fillId="2" borderId="1" xfId="52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1" xfId="49" applyFont="1" applyFill="1" applyBorder="1" applyAlignment="1">
      <alignment horizontal="left" vertical="center" wrapText="1"/>
    </xf>
    <xf numFmtId="177" fontId="8" fillId="0" borderId="1" xfId="0" applyNumberFormat="1" applyFont="1" applyFill="1" applyBorder="1" applyAlignment="1">
      <alignment horizontal="center" vertical="center"/>
    </xf>
    <xf numFmtId="0" fontId="1" fillId="0" borderId="1" xfId="53" applyFont="1" applyFill="1" applyBorder="1" applyAlignment="1">
      <alignment horizontal="left"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调整表（轨道）  附件：中铁六局集团劳务分包指导价汇总（印刷版）" xfId="49"/>
    <cellStyle name="常规 102" xfId="50"/>
    <cellStyle name="常规 3 2" xfId="51"/>
    <cellStyle name="常规 14" xfId="52"/>
    <cellStyle name="常规 15" xfId="53"/>
    <cellStyle name="常规 2" xfId="54"/>
    <cellStyle name="常规 22" xfId="55"/>
    <cellStyle name="常规 3" xfId="56"/>
    <cellStyle name="常规 5" xfId="57"/>
  </cellStyles>
  <tableStyles count="0" defaultTableStyle="TableStyleMedium2" defaultPivotStyle="PivotStyleLight16"/>
  <colors>
    <mruColors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4"/>
  <sheetViews>
    <sheetView showZeros="0" tabSelected="1" workbookViewId="0">
      <pane xSplit="2" ySplit="2" topLeftCell="C74" activePane="bottomRight" state="frozen"/>
      <selection/>
      <selection pane="topRight"/>
      <selection pane="bottomLeft"/>
      <selection pane="bottomRight" activeCell="P81" sqref="P81"/>
    </sheetView>
  </sheetViews>
  <sheetFormatPr defaultColWidth="9" defaultRowHeight="13.6"/>
  <cols>
    <col min="1" max="1" width="7.5" style="2" customWidth="1"/>
    <col min="2" max="2" width="19.1346153846154" style="3" customWidth="1"/>
    <col min="3" max="3" width="8.375" style="3" customWidth="1"/>
    <col min="4" max="4" width="7.13461538461539" style="4" customWidth="1"/>
    <col min="5" max="5" width="8.38461538461539" style="2" customWidth="1"/>
    <col min="6" max="7" width="10.6346153846154" style="4" customWidth="1"/>
    <col min="8" max="8" width="24.125" style="5" customWidth="1"/>
    <col min="9" max="9" width="8.5" style="5" customWidth="1"/>
    <col min="10" max="10" width="24.75" style="5" customWidth="1"/>
    <col min="11" max="11" width="4.25" style="5" customWidth="1"/>
    <col min="12" max="16384" width="9" style="5"/>
  </cols>
  <sheetData>
    <row r="1" ht="34.5" customHeight="1" spans="1:1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ht="21.95" customHeight="1" spans="1:11">
      <c r="A2" s="7" t="s">
        <v>1</v>
      </c>
      <c r="B2" s="8" t="s">
        <v>2</v>
      </c>
      <c r="C2" s="8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s="1" customFormat="1" ht="21.95" customHeight="1" spans="1:11">
      <c r="A3" s="7" t="s">
        <v>12</v>
      </c>
      <c r="B3" s="8"/>
      <c r="C3" s="8"/>
      <c r="D3" s="9"/>
      <c r="E3" s="10"/>
      <c r="F3" s="11"/>
      <c r="G3" s="11"/>
      <c r="H3" s="12"/>
      <c r="I3" s="12"/>
      <c r="J3" s="13"/>
      <c r="K3" s="13"/>
    </row>
    <row r="4" s="1" customFormat="1" ht="21.95" customHeight="1" spans="1:11">
      <c r="A4" s="14" t="s">
        <v>13</v>
      </c>
      <c r="B4" s="15" t="s">
        <v>14</v>
      </c>
      <c r="C4" s="15"/>
      <c r="D4" s="14" t="s">
        <v>15</v>
      </c>
      <c r="E4" s="10"/>
      <c r="F4" s="11"/>
      <c r="G4" s="11"/>
      <c r="H4" s="13"/>
      <c r="I4" s="13"/>
      <c r="J4" s="13"/>
      <c r="K4" s="13"/>
    </row>
    <row r="5" s="1" customFormat="1" ht="21.95" customHeight="1" spans="1:11">
      <c r="A5" s="14" t="s">
        <v>16</v>
      </c>
      <c r="B5" s="15" t="s">
        <v>17</v>
      </c>
      <c r="C5" s="15"/>
      <c r="D5" s="14" t="s">
        <v>15</v>
      </c>
      <c r="E5" s="10"/>
      <c r="F5" s="11"/>
      <c r="G5" s="11"/>
      <c r="H5" s="13"/>
      <c r="I5" s="13"/>
      <c r="J5" s="13"/>
      <c r="K5" s="13"/>
    </row>
    <row r="6" ht="21.95" customHeight="1" spans="1:11">
      <c r="A6" s="16" t="s">
        <v>18</v>
      </c>
      <c r="B6" s="17" t="s">
        <v>19</v>
      </c>
      <c r="C6" s="17" t="s">
        <v>20</v>
      </c>
      <c r="D6" s="16" t="s">
        <v>21</v>
      </c>
      <c r="E6" s="18">
        <v>91.79</v>
      </c>
      <c r="F6" s="19"/>
      <c r="G6" s="19"/>
      <c r="H6" s="20" t="s">
        <v>22</v>
      </c>
      <c r="I6" s="20" t="s">
        <v>23</v>
      </c>
      <c r="J6" s="20" t="s">
        <v>24</v>
      </c>
      <c r="K6" s="21"/>
    </row>
    <row r="7" ht="21.95" customHeight="1" spans="1:11">
      <c r="A7" s="16" t="s">
        <v>25</v>
      </c>
      <c r="B7" s="22" t="s">
        <v>26</v>
      </c>
      <c r="C7" s="22"/>
      <c r="D7" s="23" t="s">
        <v>27</v>
      </c>
      <c r="E7" s="18">
        <v>1.309</v>
      </c>
      <c r="F7" s="19"/>
      <c r="G7" s="19"/>
      <c r="H7" s="24" t="s">
        <v>28</v>
      </c>
      <c r="I7" s="24" t="s">
        <v>29</v>
      </c>
      <c r="J7" s="24" t="s">
        <v>30</v>
      </c>
      <c r="K7" s="21"/>
    </row>
    <row r="8" ht="21.95" customHeight="1" spans="1:11">
      <c r="A8" s="16" t="s">
        <v>31</v>
      </c>
      <c r="B8" s="22" t="s">
        <v>32</v>
      </c>
      <c r="C8" s="22"/>
      <c r="D8" s="23" t="s">
        <v>21</v>
      </c>
      <c r="E8" s="18">
        <v>115</v>
      </c>
      <c r="F8" s="19"/>
      <c r="G8" s="19"/>
      <c r="H8" s="20" t="s">
        <v>33</v>
      </c>
      <c r="I8" s="24" t="s">
        <v>29</v>
      </c>
      <c r="J8" s="20" t="s">
        <v>34</v>
      </c>
      <c r="K8" s="21"/>
    </row>
    <row r="9" ht="21.95" customHeight="1" spans="1:11">
      <c r="A9" s="16" t="s">
        <v>35</v>
      </c>
      <c r="B9" s="22" t="s">
        <v>36</v>
      </c>
      <c r="C9" s="22"/>
      <c r="D9" s="23" t="s">
        <v>21</v>
      </c>
      <c r="E9" s="18">
        <v>415</v>
      </c>
      <c r="F9" s="19"/>
      <c r="G9" s="19"/>
      <c r="H9" s="20" t="s">
        <v>37</v>
      </c>
      <c r="I9" s="20" t="s">
        <v>38</v>
      </c>
      <c r="J9" s="20" t="s">
        <v>39</v>
      </c>
      <c r="K9" s="21"/>
    </row>
    <row r="10" ht="21.95" customHeight="1" spans="1:11">
      <c r="A10" s="16" t="s">
        <v>40</v>
      </c>
      <c r="B10" s="22" t="s">
        <v>41</v>
      </c>
      <c r="C10" s="22"/>
      <c r="D10" s="23" t="s">
        <v>21</v>
      </c>
      <c r="E10" s="18">
        <v>321.83</v>
      </c>
      <c r="F10" s="19"/>
      <c r="G10" s="19"/>
      <c r="H10" s="20" t="s">
        <v>37</v>
      </c>
      <c r="I10" s="24" t="s">
        <v>29</v>
      </c>
      <c r="J10" s="20" t="s">
        <v>39</v>
      </c>
      <c r="K10" s="21"/>
    </row>
    <row r="11" ht="21.95" customHeight="1" spans="1:11">
      <c r="A11" s="16" t="s">
        <v>42</v>
      </c>
      <c r="B11" s="25" t="s">
        <v>43</v>
      </c>
      <c r="C11" s="26"/>
      <c r="D11" s="16" t="s">
        <v>21</v>
      </c>
      <c r="E11" s="18">
        <v>15.3</v>
      </c>
      <c r="F11" s="27"/>
      <c r="G11" s="19"/>
      <c r="H11" s="28" t="s">
        <v>37</v>
      </c>
      <c r="I11" s="27" t="s">
        <v>38</v>
      </c>
      <c r="J11" s="20" t="s">
        <v>44</v>
      </c>
      <c r="K11" s="21"/>
    </row>
    <row r="12" ht="21.95" customHeight="1" spans="1:11">
      <c r="A12" s="16" t="s">
        <v>45</v>
      </c>
      <c r="B12" s="25" t="s">
        <v>46</v>
      </c>
      <c r="C12" s="29" t="s">
        <v>47</v>
      </c>
      <c r="D12" s="16" t="s">
        <v>21</v>
      </c>
      <c r="E12" s="18">
        <v>15.3</v>
      </c>
      <c r="F12" s="19"/>
      <c r="G12" s="19"/>
      <c r="H12" s="20" t="s">
        <v>48</v>
      </c>
      <c r="I12" s="20" t="s">
        <v>49</v>
      </c>
      <c r="J12" s="20" t="s">
        <v>50</v>
      </c>
      <c r="K12" s="21"/>
    </row>
    <row r="13" ht="21.95" customHeight="1" spans="1:11">
      <c r="A13" s="16" t="s">
        <v>51</v>
      </c>
      <c r="B13" s="25" t="s">
        <v>52</v>
      </c>
      <c r="C13" s="29" t="s">
        <v>53</v>
      </c>
      <c r="D13" s="16" t="s">
        <v>21</v>
      </c>
      <c r="E13" s="18">
        <v>15.3</v>
      </c>
      <c r="F13" s="19"/>
      <c r="G13" s="19"/>
      <c r="H13" s="20" t="s">
        <v>54</v>
      </c>
      <c r="I13" s="20" t="s">
        <v>55</v>
      </c>
      <c r="J13" s="20" t="s">
        <v>56</v>
      </c>
      <c r="K13" s="21"/>
    </row>
    <row r="14" s="1" customFormat="1" ht="21.95" customHeight="1" spans="1:11">
      <c r="A14" s="14" t="s">
        <v>57</v>
      </c>
      <c r="B14" s="15" t="s">
        <v>58</v>
      </c>
      <c r="C14" s="15"/>
      <c r="D14" s="14" t="s">
        <v>15</v>
      </c>
      <c r="E14" s="10"/>
      <c r="F14" s="11"/>
      <c r="G14" s="11">
        <f>G15+G22+G29+G36+G43</f>
        <v>0</v>
      </c>
      <c r="H14" s="13"/>
      <c r="I14" s="13"/>
      <c r="J14" s="13"/>
      <c r="K14" s="13"/>
    </row>
    <row r="15" ht="21.95" customHeight="1" spans="1:11">
      <c r="A15" s="14" t="s">
        <v>18</v>
      </c>
      <c r="B15" s="15" t="s">
        <v>59</v>
      </c>
      <c r="C15" s="15" t="s">
        <v>60</v>
      </c>
      <c r="D15" s="16" t="s">
        <v>15</v>
      </c>
      <c r="E15" s="18">
        <v>880</v>
      </c>
      <c r="F15" s="19"/>
      <c r="G15" s="19">
        <f t="shared" ref="G15:G55" si="0">ROUND(F15*E15,0)</f>
        <v>0</v>
      </c>
      <c r="H15" s="20" t="s">
        <v>61</v>
      </c>
      <c r="I15" s="20" t="s">
        <v>38</v>
      </c>
      <c r="J15" s="30" t="s">
        <v>62</v>
      </c>
      <c r="K15" s="21"/>
    </row>
    <row r="16" ht="21.95" customHeight="1" spans="1:11">
      <c r="A16" s="14"/>
      <c r="B16" s="15" t="s">
        <v>63</v>
      </c>
      <c r="C16" s="15"/>
      <c r="D16" s="16"/>
      <c r="E16" s="18"/>
      <c r="F16" s="19"/>
      <c r="G16" s="19">
        <f t="shared" si="0"/>
        <v>0</v>
      </c>
      <c r="H16" s="21"/>
      <c r="I16" s="21"/>
      <c r="J16" s="21"/>
      <c r="K16" s="21"/>
    </row>
    <row r="17" ht="21.95" customHeight="1" spans="1:11">
      <c r="A17" s="16" t="s">
        <v>64</v>
      </c>
      <c r="B17" s="17" t="s">
        <v>65</v>
      </c>
      <c r="C17" s="17"/>
      <c r="D17" s="16" t="s">
        <v>15</v>
      </c>
      <c r="E17" s="18">
        <v>552</v>
      </c>
      <c r="F17" s="19"/>
      <c r="G17" s="19">
        <f t="shared" si="0"/>
        <v>0</v>
      </c>
      <c r="H17" s="20" t="s">
        <v>66</v>
      </c>
      <c r="I17" s="20" t="s">
        <v>38</v>
      </c>
      <c r="J17" s="20" t="s">
        <v>67</v>
      </c>
      <c r="K17" s="21"/>
    </row>
    <row r="18" ht="21.95" customHeight="1" spans="1:11">
      <c r="A18" s="16" t="s">
        <v>68</v>
      </c>
      <c r="B18" s="31" t="s">
        <v>69</v>
      </c>
      <c r="C18" s="31"/>
      <c r="D18" s="16" t="s">
        <v>15</v>
      </c>
      <c r="E18" s="18">
        <v>552</v>
      </c>
      <c r="F18" s="16"/>
      <c r="G18" s="19">
        <f t="shared" si="0"/>
        <v>0</v>
      </c>
      <c r="H18" s="20" t="s">
        <v>66</v>
      </c>
      <c r="I18" s="20" t="s">
        <v>38</v>
      </c>
      <c r="J18" s="20" t="s">
        <v>70</v>
      </c>
      <c r="K18" s="21"/>
    </row>
    <row r="19" ht="21.95" customHeight="1" spans="1:11">
      <c r="A19" s="16" t="s">
        <v>71</v>
      </c>
      <c r="B19" s="31" t="s">
        <v>72</v>
      </c>
      <c r="C19" s="31"/>
      <c r="D19" s="16" t="s">
        <v>15</v>
      </c>
      <c r="E19" s="18">
        <v>552</v>
      </c>
      <c r="F19" s="19"/>
      <c r="G19" s="19">
        <f t="shared" si="0"/>
        <v>0</v>
      </c>
      <c r="H19" s="20" t="s">
        <v>66</v>
      </c>
      <c r="I19" s="20" t="s">
        <v>38</v>
      </c>
      <c r="J19" s="20" t="s">
        <v>73</v>
      </c>
      <c r="K19" s="21"/>
    </row>
    <row r="20" ht="21.95" customHeight="1" spans="1:11">
      <c r="A20" s="16" t="s">
        <v>74</v>
      </c>
      <c r="B20" s="17" t="s">
        <v>75</v>
      </c>
      <c r="C20" s="17"/>
      <c r="D20" s="16" t="s">
        <v>15</v>
      </c>
      <c r="E20" s="18">
        <v>384</v>
      </c>
      <c r="F20" s="19"/>
      <c r="G20" s="19">
        <f t="shared" si="0"/>
        <v>0</v>
      </c>
      <c r="H20" s="20" t="s">
        <v>66</v>
      </c>
      <c r="I20" s="20" t="s">
        <v>38</v>
      </c>
      <c r="J20" s="20" t="s">
        <v>76</v>
      </c>
      <c r="K20" s="21"/>
    </row>
    <row r="21" ht="21.95" customHeight="1" spans="1:11">
      <c r="A21" s="16" t="s">
        <v>77</v>
      </c>
      <c r="B21" s="31" t="s">
        <v>78</v>
      </c>
      <c r="C21" s="31"/>
      <c r="D21" s="16" t="s">
        <v>15</v>
      </c>
      <c r="E21" s="18">
        <v>5477</v>
      </c>
      <c r="F21" s="19"/>
      <c r="G21" s="19">
        <f t="shared" si="0"/>
        <v>0</v>
      </c>
      <c r="H21" s="20" t="s">
        <v>66</v>
      </c>
      <c r="I21" s="20" t="s">
        <v>38</v>
      </c>
      <c r="J21" s="20" t="s">
        <v>79</v>
      </c>
      <c r="K21" s="21"/>
    </row>
    <row r="22" ht="21.95" customHeight="1" spans="1:11">
      <c r="A22" s="14" t="s">
        <v>25</v>
      </c>
      <c r="B22" s="15" t="s">
        <v>80</v>
      </c>
      <c r="C22" s="15" t="s">
        <v>60</v>
      </c>
      <c r="D22" s="16" t="s">
        <v>15</v>
      </c>
      <c r="E22" s="18">
        <v>300</v>
      </c>
      <c r="F22" s="19"/>
      <c r="G22" s="19">
        <f t="shared" si="0"/>
        <v>0</v>
      </c>
      <c r="H22" s="20" t="s">
        <v>61</v>
      </c>
      <c r="I22" s="20" t="s">
        <v>38</v>
      </c>
      <c r="J22" s="30" t="s">
        <v>62</v>
      </c>
      <c r="K22" s="21"/>
    </row>
    <row r="23" ht="21.95" customHeight="1" spans="1:11">
      <c r="A23" s="14"/>
      <c r="B23" s="15" t="s">
        <v>63</v>
      </c>
      <c r="C23" s="15"/>
      <c r="D23" s="16"/>
      <c r="E23" s="18"/>
      <c r="F23" s="19"/>
      <c r="G23" s="19">
        <f t="shared" si="0"/>
        <v>0</v>
      </c>
      <c r="H23" s="21"/>
      <c r="I23" s="21"/>
      <c r="J23" s="21"/>
      <c r="K23" s="21"/>
    </row>
    <row r="24" ht="21.95" customHeight="1" spans="1:11">
      <c r="A24" s="16" t="s">
        <v>64</v>
      </c>
      <c r="B24" s="17" t="s">
        <v>65</v>
      </c>
      <c r="C24" s="17"/>
      <c r="D24" s="16" t="s">
        <v>15</v>
      </c>
      <c r="E24" s="18">
        <v>156</v>
      </c>
      <c r="F24" s="19"/>
      <c r="G24" s="19">
        <f t="shared" si="0"/>
        <v>0</v>
      </c>
      <c r="H24" s="20" t="s">
        <v>66</v>
      </c>
      <c r="I24" s="20" t="s">
        <v>38</v>
      </c>
      <c r="J24" s="20" t="s">
        <v>67</v>
      </c>
      <c r="K24" s="21"/>
    </row>
    <row r="25" ht="21.95" customHeight="1" spans="1:11">
      <c r="A25" s="16" t="s">
        <v>68</v>
      </c>
      <c r="B25" s="31" t="s">
        <v>69</v>
      </c>
      <c r="C25" s="31"/>
      <c r="D25" s="16" t="s">
        <v>15</v>
      </c>
      <c r="E25" s="18">
        <v>156</v>
      </c>
      <c r="F25" s="16"/>
      <c r="G25" s="19">
        <f t="shared" si="0"/>
        <v>0</v>
      </c>
      <c r="H25" s="20" t="s">
        <v>66</v>
      </c>
      <c r="I25" s="20" t="s">
        <v>38</v>
      </c>
      <c r="J25" s="20" t="s">
        <v>70</v>
      </c>
      <c r="K25" s="21"/>
    </row>
    <row r="26" ht="21.95" customHeight="1" spans="1:11">
      <c r="A26" s="16" t="s">
        <v>71</v>
      </c>
      <c r="B26" s="31" t="s">
        <v>81</v>
      </c>
      <c r="C26" s="31"/>
      <c r="D26" s="16" t="s">
        <v>15</v>
      </c>
      <c r="E26" s="18">
        <v>156</v>
      </c>
      <c r="F26" s="19"/>
      <c r="G26" s="19">
        <f t="shared" si="0"/>
        <v>0</v>
      </c>
      <c r="H26" s="20" t="s">
        <v>66</v>
      </c>
      <c r="I26" s="20" t="s">
        <v>38</v>
      </c>
      <c r="J26" s="20" t="s">
        <v>73</v>
      </c>
      <c r="K26" s="21"/>
    </row>
    <row r="27" ht="21.95" customHeight="1" spans="1:11">
      <c r="A27" s="16" t="s">
        <v>74</v>
      </c>
      <c r="B27" s="17" t="s">
        <v>75</v>
      </c>
      <c r="C27" s="17"/>
      <c r="D27" s="16" t="s">
        <v>15</v>
      </c>
      <c r="E27" s="18">
        <v>119</v>
      </c>
      <c r="F27" s="19"/>
      <c r="G27" s="19">
        <f t="shared" si="0"/>
        <v>0</v>
      </c>
      <c r="H27" s="20" t="s">
        <v>66</v>
      </c>
      <c r="I27" s="20" t="s">
        <v>38</v>
      </c>
      <c r="J27" s="20" t="s">
        <v>76</v>
      </c>
      <c r="K27" s="21"/>
    </row>
    <row r="28" ht="21.95" customHeight="1" spans="1:11">
      <c r="A28" s="16" t="s">
        <v>77</v>
      </c>
      <c r="B28" s="31" t="s">
        <v>78</v>
      </c>
      <c r="C28" s="31"/>
      <c r="D28" s="16" t="s">
        <v>15</v>
      </c>
      <c r="E28" s="18">
        <v>95</v>
      </c>
      <c r="F28" s="19"/>
      <c r="G28" s="19">
        <f t="shared" si="0"/>
        <v>0</v>
      </c>
      <c r="H28" s="20" t="s">
        <v>66</v>
      </c>
      <c r="I28" s="20" t="s">
        <v>38</v>
      </c>
      <c r="J28" s="20" t="s">
        <v>79</v>
      </c>
      <c r="K28" s="21"/>
    </row>
    <row r="29" ht="21.95" customHeight="1" spans="1:11">
      <c r="A29" s="14" t="s">
        <v>31</v>
      </c>
      <c r="B29" s="15" t="s">
        <v>82</v>
      </c>
      <c r="C29" s="15" t="s">
        <v>60</v>
      </c>
      <c r="D29" s="16" t="s">
        <v>15</v>
      </c>
      <c r="E29" s="18">
        <v>180</v>
      </c>
      <c r="F29" s="19"/>
      <c r="G29" s="19">
        <f t="shared" si="0"/>
        <v>0</v>
      </c>
      <c r="H29" s="20" t="s">
        <v>61</v>
      </c>
      <c r="I29" s="20" t="s">
        <v>38</v>
      </c>
      <c r="J29" s="30" t="s">
        <v>62</v>
      </c>
      <c r="K29" s="21"/>
    </row>
    <row r="30" ht="21.95" customHeight="1" spans="1:11">
      <c r="A30" s="14"/>
      <c r="B30" s="15" t="s">
        <v>63</v>
      </c>
      <c r="C30" s="15"/>
      <c r="D30" s="16"/>
      <c r="E30" s="18"/>
      <c r="F30" s="19"/>
      <c r="G30" s="19">
        <f t="shared" si="0"/>
        <v>0</v>
      </c>
      <c r="H30" s="21"/>
      <c r="I30" s="21"/>
      <c r="J30" s="21"/>
      <c r="K30" s="21"/>
    </row>
    <row r="31" ht="21.95" customHeight="1" spans="1:11">
      <c r="A31" s="16" t="s">
        <v>64</v>
      </c>
      <c r="B31" s="17" t="s">
        <v>65</v>
      </c>
      <c r="C31" s="17"/>
      <c r="D31" s="16" t="s">
        <v>15</v>
      </c>
      <c r="E31" s="18">
        <v>177</v>
      </c>
      <c r="F31" s="16"/>
      <c r="G31" s="19">
        <f t="shared" si="0"/>
        <v>0</v>
      </c>
      <c r="H31" s="20" t="s">
        <v>66</v>
      </c>
      <c r="I31" s="20" t="s">
        <v>38</v>
      </c>
      <c r="J31" s="20" t="s">
        <v>67</v>
      </c>
      <c r="K31" s="21"/>
    </row>
    <row r="32" ht="21.95" customHeight="1" spans="1:11">
      <c r="A32" s="16" t="s">
        <v>68</v>
      </c>
      <c r="B32" s="31" t="s">
        <v>69</v>
      </c>
      <c r="C32" s="31"/>
      <c r="D32" s="16" t="s">
        <v>15</v>
      </c>
      <c r="E32" s="18">
        <v>177</v>
      </c>
      <c r="F32" s="16"/>
      <c r="G32" s="19">
        <f t="shared" si="0"/>
        <v>0</v>
      </c>
      <c r="H32" s="20" t="s">
        <v>66</v>
      </c>
      <c r="I32" s="20" t="s">
        <v>38</v>
      </c>
      <c r="J32" s="20" t="s">
        <v>70</v>
      </c>
      <c r="K32" s="21"/>
    </row>
    <row r="33" ht="21.95" customHeight="1" spans="1:11">
      <c r="A33" s="16" t="s">
        <v>71</v>
      </c>
      <c r="B33" s="31" t="s">
        <v>83</v>
      </c>
      <c r="C33" s="31" t="s">
        <v>84</v>
      </c>
      <c r="D33" s="16" t="s">
        <v>15</v>
      </c>
      <c r="E33" s="18">
        <v>177</v>
      </c>
      <c r="F33" s="16"/>
      <c r="G33" s="19">
        <f t="shared" si="0"/>
        <v>0</v>
      </c>
      <c r="H33" s="20" t="s">
        <v>66</v>
      </c>
      <c r="I33" s="20" t="s">
        <v>38</v>
      </c>
      <c r="J33" s="20" t="s">
        <v>73</v>
      </c>
      <c r="K33" s="21"/>
    </row>
    <row r="34" ht="21.95" customHeight="1" spans="1:11">
      <c r="A34" s="16" t="s">
        <v>74</v>
      </c>
      <c r="B34" s="17" t="s">
        <v>75</v>
      </c>
      <c r="C34" s="17"/>
      <c r="D34" s="16" t="s">
        <v>15</v>
      </c>
      <c r="E34" s="18">
        <v>50</v>
      </c>
      <c r="F34" s="19"/>
      <c r="G34" s="19">
        <f t="shared" si="0"/>
        <v>0</v>
      </c>
      <c r="H34" s="20" t="s">
        <v>66</v>
      </c>
      <c r="I34" s="20" t="s">
        <v>38</v>
      </c>
      <c r="J34" s="20" t="s">
        <v>76</v>
      </c>
      <c r="K34" s="21"/>
    </row>
    <row r="35" ht="21.95" customHeight="1" spans="1:11">
      <c r="A35" s="16" t="s">
        <v>77</v>
      </c>
      <c r="B35" s="31" t="s">
        <v>78</v>
      </c>
      <c r="C35" s="31"/>
      <c r="D35" s="16" t="s">
        <v>15</v>
      </c>
      <c r="E35" s="18">
        <v>125</v>
      </c>
      <c r="F35" s="16"/>
      <c r="G35" s="19">
        <f t="shared" si="0"/>
        <v>0</v>
      </c>
      <c r="H35" s="20" t="s">
        <v>66</v>
      </c>
      <c r="I35" s="20" t="s">
        <v>38</v>
      </c>
      <c r="J35" s="20" t="s">
        <v>79</v>
      </c>
      <c r="K35" s="21"/>
    </row>
    <row r="36" ht="21.95" customHeight="1" spans="1:11">
      <c r="A36" s="14" t="s">
        <v>35</v>
      </c>
      <c r="B36" s="15" t="s">
        <v>85</v>
      </c>
      <c r="C36" s="15" t="s">
        <v>60</v>
      </c>
      <c r="D36" s="16" t="s">
        <v>15</v>
      </c>
      <c r="E36" s="18">
        <v>355</v>
      </c>
      <c r="F36" s="19"/>
      <c r="G36" s="19">
        <f t="shared" si="0"/>
        <v>0</v>
      </c>
      <c r="H36" s="20" t="s">
        <v>61</v>
      </c>
      <c r="I36" s="20" t="s">
        <v>38</v>
      </c>
      <c r="J36" s="30" t="s">
        <v>62</v>
      </c>
      <c r="K36" s="21"/>
    </row>
    <row r="37" ht="21.95" customHeight="1" spans="1:11">
      <c r="A37" s="14"/>
      <c r="B37" s="15" t="s">
        <v>63</v>
      </c>
      <c r="C37" s="15"/>
      <c r="D37" s="16"/>
      <c r="E37" s="18"/>
      <c r="F37" s="19"/>
      <c r="G37" s="19">
        <f t="shared" si="0"/>
        <v>0</v>
      </c>
      <c r="H37" s="21"/>
      <c r="I37" s="21"/>
      <c r="J37" s="21"/>
      <c r="K37" s="21"/>
    </row>
    <row r="38" ht="21.95" customHeight="1" spans="1:11">
      <c r="A38" s="16" t="s">
        <v>64</v>
      </c>
      <c r="B38" s="17" t="s">
        <v>65</v>
      </c>
      <c r="C38" s="17"/>
      <c r="D38" s="16" t="s">
        <v>15</v>
      </c>
      <c r="E38" s="18">
        <v>321</v>
      </c>
      <c r="F38" s="19"/>
      <c r="G38" s="19">
        <f t="shared" si="0"/>
        <v>0</v>
      </c>
      <c r="H38" s="20" t="s">
        <v>66</v>
      </c>
      <c r="I38" s="20" t="s">
        <v>38</v>
      </c>
      <c r="J38" s="20" t="s">
        <v>67</v>
      </c>
      <c r="K38" s="21"/>
    </row>
    <row r="39" ht="21.95" customHeight="1" spans="1:11">
      <c r="A39" s="16" t="s">
        <v>68</v>
      </c>
      <c r="B39" s="31" t="s">
        <v>69</v>
      </c>
      <c r="C39" s="31"/>
      <c r="D39" s="16" t="s">
        <v>15</v>
      </c>
      <c r="E39" s="18">
        <v>321</v>
      </c>
      <c r="F39" s="16"/>
      <c r="G39" s="19">
        <f t="shared" si="0"/>
        <v>0</v>
      </c>
      <c r="H39" s="20" t="s">
        <v>66</v>
      </c>
      <c r="I39" s="20" t="s">
        <v>38</v>
      </c>
      <c r="J39" s="20" t="s">
        <v>70</v>
      </c>
      <c r="K39" s="21"/>
    </row>
    <row r="40" ht="21.95" customHeight="1" spans="1:11">
      <c r="A40" s="16" t="s">
        <v>71</v>
      </c>
      <c r="B40" s="31" t="s">
        <v>86</v>
      </c>
      <c r="C40" s="31"/>
      <c r="D40" s="16" t="s">
        <v>15</v>
      </c>
      <c r="E40" s="18">
        <v>321</v>
      </c>
      <c r="F40" s="16"/>
      <c r="G40" s="19">
        <f t="shared" si="0"/>
        <v>0</v>
      </c>
      <c r="H40" s="20" t="s">
        <v>66</v>
      </c>
      <c r="I40" s="20" t="s">
        <v>38</v>
      </c>
      <c r="J40" s="20" t="s">
        <v>73</v>
      </c>
      <c r="K40" s="21"/>
    </row>
    <row r="41" ht="21.95" customHeight="1" spans="1:11">
      <c r="A41" s="16" t="s">
        <v>74</v>
      </c>
      <c r="B41" s="17" t="s">
        <v>75</v>
      </c>
      <c r="C41" s="17"/>
      <c r="D41" s="16" t="s">
        <v>15</v>
      </c>
      <c r="E41" s="18">
        <v>50</v>
      </c>
      <c r="F41" s="19"/>
      <c r="G41" s="19">
        <f t="shared" si="0"/>
        <v>0</v>
      </c>
      <c r="H41" s="20" t="s">
        <v>66</v>
      </c>
      <c r="I41" s="20" t="s">
        <v>38</v>
      </c>
      <c r="J41" s="20" t="s">
        <v>76</v>
      </c>
      <c r="K41" s="21"/>
    </row>
    <row r="42" ht="21.95" customHeight="1" spans="1:11">
      <c r="A42" s="16" t="s">
        <v>77</v>
      </c>
      <c r="B42" s="31" t="s">
        <v>78</v>
      </c>
      <c r="C42" s="31"/>
      <c r="D42" s="16" t="s">
        <v>15</v>
      </c>
      <c r="E42" s="18">
        <v>144</v>
      </c>
      <c r="F42" s="19"/>
      <c r="G42" s="19">
        <f t="shared" si="0"/>
        <v>0</v>
      </c>
      <c r="H42" s="20" t="s">
        <v>66</v>
      </c>
      <c r="I42" s="20" t="s">
        <v>38</v>
      </c>
      <c r="J42" s="20" t="s">
        <v>79</v>
      </c>
      <c r="K42" s="21"/>
    </row>
    <row r="43" ht="21.95" customHeight="1" spans="1:11">
      <c r="A43" s="14" t="s">
        <v>40</v>
      </c>
      <c r="B43" s="15" t="s">
        <v>87</v>
      </c>
      <c r="C43" s="15" t="s">
        <v>60</v>
      </c>
      <c r="D43" s="16" t="s">
        <v>15</v>
      </c>
      <c r="E43" s="18">
        <v>100</v>
      </c>
      <c r="F43" s="19"/>
      <c r="G43" s="19">
        <f t="shared" si="0"/>
        <v>0</v>
      </c>
      <c r="H43" s="20" t="s">
        <v>61</v>
      </c>
      <c r="I43" s="20" t="s">
        <v>38</v>
      </c>
      <c r="J43" s="30" t="s">
        <v>62</v>
      </c>
      <c r="K43" s="21"/>
    </row>
    <row r="44" ht="21.95" customHeight="1" spans="1:11">
      <c r="A44" s="14"/>
      <c r="B44" s="15" t="s">
        <v>63</v>
      </c>
      <c r="C44" s="15"/>
      <c r="D44" s="16"/>
      <c r="E44" s="18"/>
      <c r="F44" s="19"/>
      <c r="G44" s="19">
        <f t="shared" si="0"/>
        <v>0</v>
      </c>
      <c r="H44" s="21"/>
      <c r="I44" s="21"/>
      <c r="J44" s="21"/>
      <c r="K44" s="21"/>
    </row>
    <row r="45" ht="21.95" customHeight="1" spans="1:11">
      <c r="A45" s="16" t="s">
        <v>64</v>
      </c>
      <c r="B45" s="17" t="s">
        <v>65</v>
      </c>
      <c r="C45" s="17"/>
      <c r="D45" s="16" t="s">
        <v>15</v>
      </c>
      <c r="E45" s="18">
        <v>86</v>
      </c>
      <c r="F45" s="19"/>
      <c r="G45" s="19">
        <f t="shared" si="0"/>
        <v>0</v>
      </c>
      <c r="H45" s="20" t="s">
        <v>66</v>
      </c>
      <c r="I45" s="20" t="s">
        <v>38</v>
      </c>
      <c r="J45" s="20" t="s">
        <v>67</v>
      </c>
      <c r="K45" s="21"/>
    </row>
    <row r="46" ht="21.95" customHeight="1" spans="1:11">
      <c r="A46" s="16" t="s">
        <v>68</v>
      </c>
      <c r="B46" s="31" t="s">
        <v>69</v>
      </c>
      <c r="C46" s="31"/>
      <c r="D46" s="16" t="s">
        <v>15</v>
      </c>
      <c r="E46" s="18">
        <v>86</v>
      </c>
      <c r="F46" s="16"/>
      <c r="G46" s="19">
        <f t="shared" si="0"/>
        <v>0</v>
      </c>
      <c r="H46" s="20" t="s">
        <v>66</v>
      </c>
      <c r="I46" s="20" t="s">
        <v>38</v>
      </c>
      <c r="J46" s="20" t="s">
        <v>70</v>
      </c>
      <c r="K46" s="21"/>
    </row>
    <row r="47" ht="21.95" customHeight="1" spans="1:11">
      <c r="A47" s="16" t="s">
        <v>71</v>
      </c>
      <c r="B47" s="31" t="s">
        <v>86</v>
      </c>
      <c r="C47" s="31"/>
      <c r="D47" s="16" t="s">
        <v>15</v>
      </c>
      <c r="E47" s="18">
        <v>145</v>
      </c>
      <c r="F47" s="16"/>
      <c r="G47" s="19">
        <f t="shared" si="0"/>
        <v>0</v>
      </c>
      <c r="H47" s="20" t="s">
        <v>66</v>
      </c>
      <c r="I47" s="20" t="s">
        <v>38</v>
      </c>
      <c r="J47" s="20" t="s">
        <v>73</v>
      </c>
      <c r="K47" s="21"/>
    </row>
    <row r="48" ht="21.95" customHeight="1" spans="1:11">
      <c r="A48" s="16" t="s">
        <v>74</v>
      </c>
      <c r="B48" s="17" t="s">
        <v>75</v>
      </c>
      <c r="C48" s="17"/>
      <c r="D48" s="16" t="s">
        <v>15</v>
      </c>
      <c r="E48" s="18">
        <v>14</v>
      </c>
      <c r="F48" s="19"/>
      <c r="G48" s="19">
        <f t="shared" si="0"/>
        <v>0</v>
      </c>
      <c r="H48" s="20" t="s">
        <v>66</v>
      </c>
      <c r="I48" s="20" t="s">
        <v>38</v>
      </c>
      <c r="J48" s="20" t="s">
        <v>76</v>
      </c>
      <c r="K48" s="21"/>
    </row>
    <row r="49" ht="21.95" customHeight="1" spans="1:11">
      <c r="A49" s="16" t="s">
        <v>77</v>
      </c>
      <c r="B49" s="31" t="s">
        <v>78</v>
      </c>
      <c r="C49" s="31"/>
      <c r="D49" s="16" t="s">
        <v>15</v>
      </c>
      <c r="E49" s="18">
        <v>95</v>
      </c>
      <c r="F49" s="19"/>
      <c r="G49" s="19">
        <f t="shared" si="0"/>
        <v>0</v>
      </c>
      <c r="H49" s="20" t="s">
        <v>66</v>
      </c>
      <c r="I49" s="20" t="s">
        <v>38</v>
      </c>
      <c r="J49" s="20" t="s">
        <v>79</v>
      </c>
      <c r="K49" s="21"/>
    </row>
    <row r="50" s="1" customFormat="1" ht="21.95" customHeight="1" spans="1:11">
      <c r="A50" s="14" t="s">
        <v>88</v>
      </c>
      <c r="B50" s="15" t="s">
        <v>89</v>
      </c>
      <c r="C50" s="15" t="s">
        <v>60</v>
      </c>
      <c r="D50" s="14" t="s">
        <v>15</v>
      </c>
      <c r="E50" s="10">
        <v>800</v>
      </c>
      <c r="F50" s="11"/>
      <c r="G50" s="11">
        <f t="shared" si="0"/>
        <v>0</v>
      </c>
      <c r="H50" s="32" t="s">
        <v>61</v>
      </c>
      <c r="I50" s="32" t="s">
        <v>38</v>
      </c>
      <c r="J50" s="33" t="s">
        <v>62</v>
      </c>
      <c r="K50" s="13"/>
    </row>
    <row r="51" ht="21.95" customHeight="1" spans="1:11">
      <c r="A51" s="14"/>
      <c r="B51" s="15" t="s">
        <v>63</v>
      </c>
      <c r="C51" s="15"/>
      <c r="D51" s="16"/>
      <c r="E51" s="18"/>
      <c r="F51" s="19"/>
      <c r="G51" s="19">
        <f t="shared" si="0"/>
        <v>0</v>
      </c>
      <c r="H51" s="21"/>
      <c r="I51" s="21"/>
      <c r="J51" s="21"/>
      <c r="K51" s="21"/>
    </row>
    <row r="52" ht="21.95" customHeight="1" spans="1:11">
      <c r="A52" s="16" t="s">
        <v>64</v>
      </c>
      <c r="B52" s="31" t="s">
        <v>69</v>
      </c>
      <c r="C52" s="31"/>
      <c r="D52" s="16" t="s">
        <v>15</v>
      </c>
      <c r="E52" s="18">
        <v>794.98</v>
      </c>
      <c r="F52" s="16"/>
      <c r="G52" s="19">
        <f t="shared" si="0"/>
        <v>0</v>
      </c>
      <c r="H52" s="20" t="s">
        <v>66</v>
      </c>
      <c r="I52" s="20" t="s">
        <v>38</v>
      </c>
      <c r="J52" s="20" t="s">
        <v>70</v>
      </c>
      <c r="K52" s="21"/>
    </row>
    <row r="53" ht="21.95" customHeight="1" spans="1:11">
      <c r="A53" s="16" t="s">
        <v>68</v>
      </c>
      <c r="B53" s="31" t="s">
        <v>72</v>
      </c>
      <c r="C53" s="31"/>
      <c r="D53" s="16" t="s">
        <v>15</v>
      </c>
      <c r="E53" s="18">
        <v>794.98</v>
      </c>
      <c r="F53" s="19"/>
      <c r="G53" s="19">
        <f t="shared" si="0"/>
        <v>0</v>
      </c>
      <c r="H53" s="20" t="s">
        <v>66</v>
      </c>
      <c r="I53" s="20" t="s">
        <v>38</v>
      </c>
      <c r="J53" s="20" t="s">
        <v>73</v>
      </c>
      <c r="K53" s="21"/>
    </row>
    <row r="54" ht="21.95" customHeight="1" spans="1:11">
      <c r="A54" s="16" t="s">
        <v>71</v>
      </c>
      <c r="B54" s="17" t="s">
        <v>75</v>
      </c>
      <c r="C54" s="17"/>
      <c r="D54" s="16" t="s">
        <v>15</v>
      </c>
      <c r="E54" s="18">
        <v>1269</v>
      </c>
      <c r="F54" s="19"/>
      <c r="G54" s="19">
        <f t="shared" si="0"/>
        <v>0</v>
      </c>
      <c r="H54" s="20" t="s">
        <v>66</v>
      </c>
      <c r="I54" s="20" t="s">
        <v>38</v>
      </c>
      <c r="J54" s="20" t="s">
        <v>76</v>
      </c>
      <c r="K54" s="21"/>
    </row>
    <row r="55" ht="21.95" customHeight="1" spans="1:11">
      <c r="A55" s="16" t="s">
        <v>74</v>
      </c>
      <c r="B55" s="31" t="s">
        <v>78</v>
      </c>
      <c r="C55" s="31"/>
      <c r="D55" s="16" t="s">
        <v>15</v>
      </c>
      <c r="E55" s="18">
        <v>95</v>
      </c>
      <c r="F55" s="19"/>
      <c r="G55" s="19">
        <f t="shared" si="0"/>
        <v>0</v>
      </c>
      <c r="H55" s="20" t="s">
        <v>66</v>
      </c>
      <c r="I55" s="20" t="s">
        <v>38</v>
      </c>
      <c r="J55" s="20" t="s">
        <v>79</v>
      </c>
      <c r="K55" s="21"/>
    </row>
    <row r="56" s="1" customFormat="1" ht="21.95" customHeight="1" spans="1:11">
      <c r="A56" s="14" t="s">
        <v>90</v>
      </c>
      <c r="B56" s="15" t="s">
        <v>91</v>
      </c>
      <c r="C56" s="15"/>
      <c r="D56" s="14" t="s">
        <v>15</v>
      </c>
      <c r="E56" s="10"/>
      <c r="F56" s="14"/>
      <c r="G56" s="11">
        <f>G57</f>
        <v>0</v>
      </c>
      <c r="H56" s="13"/>
      <c r="I56" s="13"/>
      <c r="J56" s="34"/>
      <c r="K56" s="13"/>
    </row>
    <row r="57" ht="21.95" customHeight="1" spans="1:11">
      <c r="A57" s="16" t="s">
        <v>18</v>
      </c>
      <c r="B57" s="17" t="s">
        <v>92</v>
      </c>
      <c r="C57" s="17" t="s">
        <v>93</v>
      </c>
      <c r="D57" s="16" t="s">
        <v>21</v>
      </c>
      <c r="E57" s="18">
        <v>5569.98</v>
      </c>
      <c r="F57" s="19"/>
      <c r="G57" s="19">
        <f t="shared" ref="G57:G67" si="1">ROUND(F57*E57,0)</f>
        <v>0</v>
      </c>
      <c r="H57" s="24" t="s">
        <v>94</v>
      </c>
      <c r="I57" s="24" t="s">
        <v>95</v>
      </c>
      <c r="J57" s="24" t="s">
        <v>96</v>
      </c>
      <c r="K57" s="21"/>
    </row>
    <row r="58" s="1" customFormat="1" ht="21.95" customHeight="1" spans="1:11">
      <c r="A58" s="14" t="s">
        <v>97</v>
      </c>
      <c r="B58" s="15" t="s">
        <v>98</v>
      </c>
      <c r="C58" s="15"/>
      <c r="D58" s="14" t="s">
        <v>99</v>
      </c>
      <c r="E58" s="10"/>
      <c r="F58" s="14"/>
      <c r="G58" s="11">
        <f>SUM(G59:G63)</f>
        <v>0</v>
      </c>
      <c r="H58" s="13"/>
      <c r="I58" s="13"/>
      <c r="J58" s="34"/>
      <c r="K58" s="13"/>
    </row>
    <row r="59" ht="21.95" customHeight="1" spans="1:11">
      <c r="A59" s="16" t="s">
        <v>18</v>
      </c>
      <c r="B59" s="17" t="s">
        <v>100</v>
      </c>
      <c r="C59" s="17" t="s">
        <v>101</v>
      </c>
      <c r="D59" s="16" t="s">
        <v>21</v>
      </c>
      <c r="E59" s="18">
        <v>183.36</v>
      </c>
      <c r="F59" s="19"/>
      <c r="G59" s="19">
        <f t="shared" si="1"/>
        <v>0</v>
      </c>
      <c r="H59" s="35" t="s">
        <v>102</v>
      </c>
      <c r="I59" s="35" t="s">
        <v>103</v>
      </c>
      <c r="J59" s="35" t="s">
        <v>104</v>
      </c>
      <c r="K59" s="21"/>
    </row>
    <row r="60" ht="21.95" customHeight="1" spans="1:11">
      <c r="A60" s="16" t="s">
        <v>25</v>
      </c>
      <c r="B60" s="17" t="s">
        <v>19</v>
      </c>
      <c r="C60" s="17"/>
      <c r="D60" s="16" t="s">
        <v>21</v>
      </c>
      <c r="E60" s="18">
        <v>52</v>
      </c>
      <c r="F60" s="19"/>
      <c r="G60" s="19">
        <f t="shared" si="1"/>
        <v>0</v>
      </c>
      <c r="H60" s="20" t="s">
        <v>22</v>
      </c>
      <c r="I60" s="20" t="s">
        <v>23</v>
      </c>
      <c r="J60" s="20" t="s">
        <v>24</v>
      </c>
      <c r="K60" s="21"/>
    </row>
    <row r="61" ht="21.95" customHeight="1" spans="1:11">
      <c r="A61" s="16" t="s">
        <v>31</v>
      </c>
      <c r="B61" s="22" t="s">
        <v>26</v>
      </c>
      <c r="C61" s="22"/>
      <c r="D61" s="23" t="s">
        <v>27</v>
      </c>
      <c r="E61" s="18">
        <v>1.167</v>
      </c>
      <c r="F61" s="19"/>
      <c r="G61" s="19">
        <f t="shared" si="1"/>
        <v>0</v>
      </c>
      <c r="H61" s="24" t="s">
        <v>28</v>
      </c>
      <c r="I61" s="24" t="s">
        <v>29</v>
      </c>
      <c r="J61" s="24" t="s">
        <v>30</v>
      </c>
      <c r="K61" s="21"/>
    </row>
    <row r="62" ht="21.95" customHeight="1" spans="1:11">
      <c r="A62" s="16" t="s">
        <v>35</v>
      </c>
      <c r="B62" s="36" t="s">
        <v>105</v>
      </c>
      <c r="C62" s="36"/>
      <c r="D62" s="37" t="s">
        <v>106</v>
      </c>
      <c r="E62" s="18">
        <v>2</v>
      </c>
      <c r="F62" s="19"/>
      <c r="G62" s="19">
        <f t="shared" si="1"/>
        <v>0</v>
      </c>
      <c r="H62" s="20" t="s">
        <v>61</v>
      </c>
      <c r="I62" s="20" t="s">
        <v>38</v>
      </c>
      <c r="J62" s="38" t="s">
        <v>107</v>
      </c>
      <c r="K62" s="21"/>
    </row>
    <row r="63" ht="21.95" customHeight="1" spans="1:11">
      <c r="A63" s="16" t="s">
        <v>40</v>
      </c>
      <c r="B63" s="36" t="s">
        <v>108</v>
      </c>
      <c r="C63" s="36"/>
      <c r="D63" s="37" t="s">
        <v>106</v>
      </c>
      <c r="E63" s="18">
        <v>2</v>
      </c>
      <c r="F63" s="19"/>
      <c r="G63" s="19">
        <f t="shared" si="1"/>
        <v>0</v>
      </c>
      <c r="H63" s="20" t="s">
        <v>61</v>
      </c>
      <c r="I63" s="20" t="s">
        <v>38</v>
      </c>
      <c r="J63" s="38" t="s">
        <v>109</v>
      </c>
      <c r="K63" s="21"/>
    </row>
    <row r="64" s="1" customFormat="1" ht="21.95" customHeight="1" spans="1:11">
      <c r="A64" s="14" t="s">
        <v>110</v>
      </c>
      <c r="B64" s="15" t="s">
        <v>111</v>
      </c>
      <c r="C64" s="15"/>
      <c r="D64" s="14" t="s">
        <v>112</v>
      </c>
      <c r="E64" s="10">
        <v>2</v>
      </c>
      <c r="F64" s="14"/>
      <c r="G64" s="11">
        <f t="shared" si="1"/>
        <v>0</v>
      </c>
      <c r="H64" s="32" t="s">
        <v>61</v>
      </c>
      <c r="I64" s="32" t="s">
        <v>38</v>
      </c>
      <c r="J64" s="34" t="s">
        <v>113</v>
      </c>
      <c r="K64" s="13"/>
    </row>
    <row r="65" s="1" customFormat="1" ht="21.95" customHeight="1" spans="1:11">
      <c r="A65" s="14" t="s">
        <v>114</v>
      </c>
      <c r="B65" s="15" t="s">
        <v>115</v>
      </c>
      <c r="C65" s="15"/>
      <c r="D65" s="14" t="s">
        <v>112</v>
      </c>
      <c r="E65" s="10">
        <v>4</v>
      </c>
      <c r="F65" s="14"/>
      <c r="G65" s="11">
        <f t="shared" si="1"/>
        <v>0</v>
      </c>
      <c r="H65" s="32" t="s">
        <v>61</v>
      </c>
      <c r="I65" s="32" t="s">
        <v>38</v>
      </c>
      <c r="J65" s="34" t="s">
        <v>113</v>
      </c>
      <c r="K65" s="13"/>
    </row>
    <row r="66" s="1" customFormat="1" ht="21.95" customHeight="1" spans="1:11">
      <c r="A66" s="14" t="s">
        <v>116</v>
      </c>
      <c r="B66" s="15" t="s">
        <v>117</v>
      </c>
      <c r="C66" s="15"/>
      <c r="D66" s="14" t="s">
        <v>118</v>
      </c>
      <c r="E66" s="10">
        <v>1</v>
      </c>
      <c r="F66" s="14"/>
      <c r="G66" s="11">
        <f t="shared" si="1"/>
        <v>0</v>
      </c>
      <c r="H66" s="32" t="s">
        <v>61</v>
      </c>
      <c r="I66" s="32" t="s">
        <v>38</v>
      </c>
      <c r="J66" s="34" t="s">
        <v>119</v>
      </c>
      <c r="K66" s="13"/>
    </row>
    <row r="67" s="1" customFormat="1" ht="21.95" customHeight="1" spans="1:11">
      <c r="A67" s="14" t="s">
        <v>120</v>
      </c>
      <c r="B67" s="15" t="s">
        <v>121</v>
      </c>
      <c r="C67" s="14"/>
      <c r="D67" s="14"/>
      <c r="E67" s="10"/>
      <c r="F67" s="14"/>
      <c r="G67" s="11">
        <f>SUM(G68:G70)</f>
        <v>0</v>
      </c>
      <c r="H67" s="32"/>
      <c r="I67" s="32"/>
      <c r="J67" s="34"/>
      <c r="K67" s="13"/>
    </row>
    <row r="68" ht="21.95" customHeight="1" spans="1:11">
      <c r="A68" s="14"/>
      <c r="B68" s="39" t="s">
        <v>122</v>
      </c>
      <c r="C68" s="39" t="s">
        <v>123</v>
      </c>
      <c r="D68" s="40" t="s">
        <v>106</v>
      </c>
      <c r="E68" s="18">
        <v>857.6</v>
      </c>
      <c r="F68" s="19"/>
      <c r="G68" s="19">
        <f t="shared" ref="G68:G70" si="2">ROUND(F68*E68,0)</f>
        <v>0</v>
      </c>
      <c r="H68" s="20" t="s">
        <v>61</v>
      </c>
      <c r="I68" s="20" t="s">
        <v>38</v>
      </c>
      <c r="J68" s="20" t="s">
        <v>124</v>
      </c>
      <c r="K68" s="21"/>
    </row>
    <row r="69" ht="21.95" customHeight="1" spans="1:11">
      <c r="A69" s="14"/>
      <c r="B69" s="39" t="s">
        <v>125</v>
      </c>
      <c r="C69" s="39" t="s">
        <v>126</v>
      </c>
      <c r="D69" s="40" t="s">
        <v>106</v>
      </c>
      <c r="E69" s="18">
        <v>925.3</v>
      </c>
      <c r="F69" s="19"/>
      <c r="G69" s="19">
        <f t="shared" si="2"/>
        <v>0</v>
      </c>
      <c r="H69" s="20" t="s">
        <v>61</v>
      </c>
      <c r="I69" s="20" t="s">
        <v>38</v>
      </c>
      <c r="J69" s="20" t="s">
        <v>124</v>
      </c>
      <c r="K69" s="21"/>
    </row>
    <row r="70" ht="21.95" customHeight="1" spans="1:11">
      <c r="A70" s="14"/>
      <c r="B70" s="39" t="s">
        <v>127</v>
      </c>
      <c r="C70" s="39">
        <v>20</v>
      </c>
      <c r="D70" s="40" t="s">
        <v>106</v>
      </c>
      <c r="E70" s="18">
        <v>857.6</v>
      </c>
      <c r="F70" s="19"/>
      <c r="G70" s="19">
        <f t="shared" si="2"/>
        <v>0</v>
      </c>
      <c r="H70" s="20" t="s">
        <v>61</v>
      </c>
      <c r="I70" s="20" t="s">
        <v>38</v>
      </c>
      <c r="J70" s="20" t="s">
        <v>124</v>
      </c>
      <c r="K70" s="21"/>
    </row>
    <row r="71" s="1" customFormat="1" ht="21.95" customHeight="1" spans="1:11">
      <c r="A71" s="7" t="s">
        <v>128</v>
      </c>
      <c r="B71" s="8"/>
      <c r="C71" s="8"/>
      <c r="D71" s="9"/>
      <c r="E71" s="10"/>
      <c r="F71" s="11"/>
      <c r="G71" s="11" t="e">
        <f>G72+G78+G83+G100+#REF!+#REF!+G103+G148</f>
        <v>#REF!</v>
      </c>
      <c r="H71" s="13"/>
      <c r="I71" s="41"/>
      <c r="J71" s="13"/>
      <c r="K71" s="13"/>
    </row>
    <row r="72" s="1" customFormat="1" ht="21.95" customHeight="1" spans="1:11">
      <c r="A72" s="41" t="s">
        <v>13</v>
      </c>
      <c r="B72" s="42" t="s">
        <v>129</v>
      </c>
      <c r="C72" s="42"/>
      <c r="D72" s="43"/>
      <c r="E72" s="10"/>
      <c r="F72" s="43"/>
      <c r="G72" s="11">
        <f>SUM(G73:G77)</f>
        <v>0</v>
      </c>
      <c r="H72" s="13"/>
      <c r="I72" s="41"/>
      <c r="J72" s="13"/>
      <c r="K72" s="13"/>
    </row>
    <row r="73" ht="21.95" customHeight="1" spans="1:11">
      <c r="A73" s="37" t="s">
        <v>18</v>
      </c>
      <c r="B73" s="39" t="s">
        <v>130</v>
      </c>
      <c r="C73" s="42"/>
      <c r="D73" s="16" t="s">
        <v>15</v>
      </c>
      <c r="E73" s="18">
        <v>3582.6</v>
      </c>
      <c r="F73" s="19"/>
      <c r="G73" s="19">
        <f t="shared" ref="G73:G77" si="3">ROUND(F73*E73,0)</f>
        <v>0</v>
      </c>
      <c r="H73" s="44" t="s">
        <v>131</v>
      </c>
      <c r="I73" s="44" t="s">
        <v>132</v>
      </c>
      <c r="J73" s="44" t="s">
        <v>133</v>
      </c>
      <c r="K73" s="21"/>
    </row>
    <row r="74" ht="21.95" customHeight="1" spans="1:11">
      <c r="A74" s="37">
        <v>2</v>
      </c>
      <c r="B74" s="39" t="s">
        <v>134</v>
      </c>
      <c r="C74" s="39" t="s">
        <v>135</v>
      </c>
      <c r="D74" s="16" t="s">
        <v>21</v>
      </c>
      <c r="E74" s="18">
        <v>2816</v>
      </c>
      <c r="F74" s="19"/>
      <c r="G74" s="19">
        <f t="shared" si="3"/>
        <v>0</v>
      </c>
      <c r="H74" s="24" t="s">
        <v>94</v>
      </c>
      <c r="I74" s="24" t="s">
        <v>95</v>
      </c>
      <c r="J74" s="24" t="s">
        <v>96</v>
      </c>
      <c r="K74" s="21"/>
    </row>
    <row r="75" ht="21.95" customHeight="1" spans="1:11">
      <c r="A75" s="37">
        <v>3</v>
      </c>
      <c r="B75" s="45" t="s">
        <v>136</v>
      </c>
      <c r="C75" s="45"/>
      <c r="D75" s="16" t="s">
        <v>21</v>
      </c>
      <c r="E75" s="18">
        <v>28.8115</v>
      </c>
      <c r="F75" s="19"/>
      <c r="G75" s="19">
        <f t="shared" si="3"/>
        <v>0</v>
      </c>
      <c r="H75" s="24" t="s">
        <v>28</v>
      </c>
      <c r="I75" s="24" t="s">
        <v>29</v>
      </c>
      <c r="J75" s="24" t="s">
        <v>30</v>
      </c>
      <c r="K75" s="21"/>
    </row>
    <row r="76" ht="21.95" customHeight="1" spans="1:11">
      <c r="A76" s="37">
        <v>4</v>
      </c>
      <c r="B76" s="45" t="s">
        <v>137</v>
      </c>
      <c r="C76" s="45"/>
      <c r="D76" s="16" t="s">
        <v>21</v>
      </c>
      <c r="E76" s="46">
        <f>E74*0.1</f>
        <v>281.6</v>
      </c>
      <c r="F76" s="19"/>
      <c r="G76" s="19">
        <f t="shared" si="3"/>
        <v>0</v>
      </c>
      <c r="H76" s="20" t="s">
        <v>33</v>
      </c>
      <c r="I76" s="20" t="s">
        <v>138</v>
      </c>
      <c r="J76" s="20" t="s">
        <v>34</v>
      </c>
      <c r="K76" s="21"/>
    </row>
    <row r="77" ht="21.95" customHeight="1" spans="1:11">
      <c r="A77" s="37">
        <v>5</v>
      </c>
      <c r="B77" s="45" t="s">
        <v>139</v>
      </c>
      <c r="C77" s="45" t="s">
        <v>140</v>
      </c>
      <c r="D77" s="16" t="s">
        <v>21</v>
      </c>
      <c r="E77" s="46">
        <f>400*1.2*0.2*2</f>
        <v>192</v>
      </c>
      <c r="F77" s="19"/>
      <c r="G77" s="19">
        <f t="shared" si="3"/>
        <v>0</v>
      </c>
      <c r="H77" s="20" t="s">
        <v>22</v>
      </c>
      <c r="I77" s="20" t="s">
        <v>23</v>
      </c>
      <c r="J77" s="20" t="s">
        <v>24</v>
      </c>
      <c r="K77" s="21"/>
    </row>
    <row r="78" s="1" customFormat="1" ht="21.95" customHeight="1" spans="1:11">
      <c r="A78" s="41" t="s">
        <v>90</v>
      </c>
      <c r="B78" s="42" t="s">
        <v>141</v>
      </c>
      <c r="C78" s="47"/>
      <c r="D78" s="14"/>
      <c r="E78" s="10"/>
      <c r="F78" s="11"/>
      <c r="G78" s="11">
        <f>SUM(G79:G82)</f>
        <v>0</v>
      </c>
      <c r="H78" s="32"/>
      <c r="I78" s="32"/>
      <c r="J78" s="32"/>
      <c r="K78" s="13"/>
    </row>
    <row r="79" ht="21.95" customHeight="1" spans="1:11">
      <c r="A79" s="37">
        <v>1</v>
      </c>
      <c r="B79" s="39" t="s">
        <v>142</v>
      </c>
      <c r="C79" s="45"/>
      <c r="D79" s="16" t="s">
        <v>15</v>
      </c>
      <c r="E79" s="16" t="s">
        <v>143</v>
      </c>
      <c r="F79" s="27"/>
      <c r="G79" s="19">
        <f>ROUND(F79*E79,0)</f>
        <v>0</v>
      </c>
      <c r="H79" s="44" t="s">
        <v>131</v>
      </c>
      <c r="I79" s="44" t="s">
        <v>132</v>
      </c>
      <c r="J79" s="44" t="s">
        <v>133</v>
      </c>
      <c r="K79" s="21"/>
    </row>
    <row r="80" ht="21.95" customHeight="1" spans="1:11">
      <c r="A80" s="37">
        <v>2</v>
      </c>
      <c r="B80" s="39" t="s">
        <v>134</v>
      </c>
      <c r="C80" s="45"/>
      <c r="D80" s="16" t="s">
        <v>21</v>
      </c>
      <c r="E80" s="48">
        <v>400</v>
      </c>
      <c r="F80" s="27"/>
      <c r="G80" s="19">
        <f>ROUND(F80*E80,0)</f>
        <v>0</v>
      </c>
      <c r="H80" s="24" t="s">
        <v>94</v>
      </c>
      <c r="I80" s="24" t="s">
        <v>95</v>
      </c>
      <c r="J80" s="24" t="s">
        <v>96</v>
      </c>
      <c r="K80" s="21"/>
    </row>
    <row r="81" ht="21.95" customHeight="1" spans="1:11">
      <c r="A81" s="37">
        <v>3</v>
      </c>
      <c r="B81" s="45" t="s">
        <v>144</v>
      </c>
      <c r="C81" s="45"/>
      <c r="D81" s="16" t="s">
        <v>21</v>
      </c>
      <c r="E81" s="16" t="s">
        <v>145</v>
      </c>
      <c r="F81" s="27"/>
      <c r="G81" s="19"/>
      <c r="H81" s="49" t="s">
        <v>22</v>
      </c>
      <c r="I81" s="50" t="s">
        <v>146</v>
      </c>
      <c r="J81" s="49" t="s">
        <v>24</v>
      </c>
      <c r="K81" s="21"/>
    </row>
    <row r="82" ht="21.95" customHeight="1" spans="1:11">
      <c r="A82" s="2">
        <v>4</v>
      </c>
      <c r="B82" s="51" t="s">
        <v>147</v>
      </c>
      <c r="C82" s="51"/>
      <c r="D82" s="52" t="s">
        <v>27</v>
      </c>
      <c r="E82" s="53">
        <v>2.7</v>
      </c>
      <c r="F82" s="27"/>
      <c r="G82" s="19">
        <f>ROUND(F82*E81,0)</f>
        <v>0</v>
      </c>
      <c r="H82" s="24" t="s">
        <v>28</v>
      </c>
      <c r="I82" s="24" t="s">
        <v>29</v>
      </c>
      <c r="J82" s="24" t="s">
        <v>30</v>
      </c>
      <c r="K82" s="21"/>
    </row>
    <row r="83" s="1" customFormat="1" ht="21.95" customHeight="1" spans="1:11">
      <c r="A83" s="54" t="s">
        <v>97</v>
      </c>
      <c r="B83" s="47" t="s">
        <v>148</v>
      </c>
      <c r="C83" s="47"/>
      <c r="D83" s="14"/>
      <c r="E83" s="14"/>
      <c r="F83" s="11"/>
      <c r="G83" s="11">
        <f>SUM(G84:G99)</f>
        <v>0</v>
      </c>
      <c r="H83" s="32"/>
      <c r="I83" s="32"/>
      <c r="J83" s="32"/>
      <c r="K83" s="13"/>
    </row>
    <row r="84" ht="21.95" customHeight="1" spans="1:11">
      <c r="A84" s="37">
        <v>1</v>
      </c>
      <c r="B84" s="39" t="s">
        <v>142</v>
      </c>
      <c r="C84" s="45"/>
      <c r="D84" s="16" t="s">
        <v>15</v>
      </c>
      <c r="E84" s="16" t="s">
        <v>149</v>
      </c>
      <c r="F84" s="27"/>
      <c r="G84" s="19">
        <f t="shared" ref="G84:G100" si="4">ROUND(F84*E84,0)</f>
        <v>0</v>
      </c>
      <c r="H84" s="44" t="s">
        <v>131</v>
      </c>
      <c r="I84" s="44" t="s">
        <v>132</v>
      </c>
      <c r="J84" s="44" t="s">
        <v>133</v>
      </c>
      <c r="K84" s="21"/>
    </row>
    <row r="85" ht="21.95" customHeight="1" spans="1:11">
      <c r="A85" s="37">
        <v>2</v>
      </c>
      <c r="B85" s="39" t="s">
        <v>150</v>
      </c>
      <c r="C85" s="45"/>
      <c r="D85" s="16" t="s">
        <v>21</v>
      </c>
      <c r="E85" s="16" t="s">
        <v>151</v>
      </c>
      <c r="F85" s="19"/>
      <c r="G85" s="19">
        <f t="shared" si="4"/>
        <v>0</v>
      </c>
      <c r="H85" s="20" t="s">
        <v>152</v>
      </c>
      <c r="I85" s="24" t="s">
        <v>29</v>
      </c>
      <c r="J85" s="20" t="s">
        <v>153</v>
      </c>
      <c r="K85" s="21"/>
    </row>
    <row r="86" ht="21.95" customHeight="1" spans="1:11">
      <c r="A86" s="37">
        <v>3</v>
      </c>
      <c r="B86" s="39" t="s">
        <v>154</v>
      </c>
      <c r="C86" s="45"/>
      <c r="D86" s="16" t="s">
        <v>21</v>
      </c>
      <c r="E86" s="16" t="s">
        <v>155</v>
      </c>
      <c r="F86" s="19"/>
      <c r="G86" s="19">
        <f t="shared" si="4"/>
        <v>0</v>
      </c>
      <c r="H86" s="55" t="s">
        <v>156</v>
      </c>
      <c r="I86" s="24" t="s">
        <v>29</v>
      </c>
      <c r="J86" s="55" t="s">
        <v>157</v>
      </c>
      <c r="K86" s="21"/>
    </row>
    <row r="87" ht="21.95" customHeight="1" spans="1:11">
      <c r="A87" s="37">
        <v>4</v>
      </c>
      <c r="B87" s="39" t="s">
        <v>134</v>
      </c>
      <c r="C87" s="45"/>
      <c r="D87" s="16" t="s">
        <v>21</v>
      </c>
      <c r="E87" s="56">
        <v>172.8</v>
      </c>
      <c r="F87" s="19"/>
      <c r="G87" s="19">
        <f t="shared" si="4"/>
        <v>0</v>
      </c>
      <c r="H87" s="24" t="s">
        <v>94</v>
      </c>
      <c r="I87" s="24" t="s">
        <v>95</v>
      </c>
      <c r="J87" s="24" t="s">
        <v>96</v>
      </c>
      <c r="K87" s="21"/>
    </row>
    <row r="88" ht="21.95" customHeight="1" spans="1:11">
      <c r="A88" s="37">
        <v>5</v>
      </c>
      <c r="B88" s="45" t="s">
        <v>26</v>
      </c>
      <c r="C88" s="45"/>
      <c r="D88" s="16" t="s">
        <v>21</v>
      </c>
      <c r="E88" s="16" t="s">
        <v>158</v>
      </c>
      <c r="F88" s="19"/>
      <c r="G88" s="19">
        <f t="shared" si="4"/>
        <v>0</v>
      </c>
      <c r="H88" s="24" t="s">
        <v>28</v>
      </c>
      <c r="I88" s="24" t="s">
        <v>29</v>
      </c>
      <c r="J88" s="24" t="s">
        <v>30</v>
      </c>
      <c r="K88" s="21"/>
    </row>
    <row r="89" ht="21.95" customHeight="1" spans="1:11">
      <c r="A89" s="37">
        <v>6</v>
      </c>
      <c r="B89" s="45" t="s">
        <v>137</v>
      </c>
      <c r="C89" s="45"/>
      <c r="D89" s="16" t="s">
        <v>21</v>
      </c>
      <c r="E89" s="16" t="s">
        <v>159</v>
      </c>
      <c r="F89" s="19"/>
      <c r="G89" s="19">
        <f t="shared" si="4"/>
        <v>0</v>
      </c>
      <c r="H89" s="20" t="s">
        <v>33</v>
      </c>
      <c r="I89" s="20" t="s">
        <v>138</v>
      </c>
      <c r="J89" s="20" t="s">
        <v>34</v>
      </c>
      <c r="K89" s="21"/>
    </row>
    <row r="90" ht="21.95" customHeight="1" spans="1:11">
      <c r="A90" s="37">
        <v>7</v>
      </c>
      <c r="B90" s="45" t="s">
        <v>160</v>
      </c>
      <c r="C90" s="45"/>
      <c r="D90" s="16" t="s">
        <v>21</v>
      </c>
      <c r="E90" s="56">
        <v>704</v>
      </c>
      <c r="F90" s="19"/>
      <c r="G90" s="19">
        <f t="shared" si="4"/>
        <v>0</v>
      </c>
      <c r="H90" s="20" t="s">
        <v>22</v>
      </c>
      <c r="I90" s="20" t="s">
        <v>23</v>
      </c>
      <c r="J90" s="20" t="s">
        <v>24</v>
      </c>
      <c r="K90" s="21"/>
    </row>
    <row r="91" ht="21.95" customHeight="1" spans="1:11">
      <c r="A91" s="37">
        <v>8</v>
      </c>
      <c r="B91" s="45" t="s">
        <v>161</v>
      </c>
      <c r="C91" s="45"/>
      <c r="D91" s="16" t="s">
        <v>27</v>
      </c>
      <c r="E91" s="56">
        <v>47.386</v>
      </c>
      <c r="F91" s="27"/>
      <c r="G91" s="19">
        <f t="shared" si="4"/>
        <v>0</v>
      </c>
      <c r="H91" s="24" t="s">
        <v>28</v>
      </c>
      <c r="I91" s="24" t="s">
        <v>29</v>
      </c>
      <c r="J91" s="24" t="s">
        <v>30</v>
      </c>
      <c r="K91" s="21"/>
    </row>
    <row r="92" ht="21.95" customHeight="1" spans="1:11">
      <c r="A92" s="37">
        <v>9</v>
      </c>
      <c r="B92" s="17" t="s">
        <v>100</v>
      </c>
      <c r="C92" s="17" t="s">
        <v>101</v>
      </c>
      <c r="D92" s="16" t="s">
        <v>21</v>
      </c>
      <c r="E92" s="16" t="s">
        <v>162</v>
      </c>
      <c r="F92" s="19"/>
      <c r="G92" s="19">
        <f t="shared" si="4"/>
        <v>0</v>
      </c>
      <c r="H92" s="35" t="s">
        <v>102</v>
      </c>
      <c r="I92" s="35" t="s">
        <v>103</v>
      </c>
      <c r="J92" s="35" t="s">
        <v>104</v>
      </c>
      <c r="K92" s="21"/>
    </row>
    <row r="93" ht="21.95" customHeight="1" spans="1:11">
      <c r="A93" s="37">
        <v>10</v>
      </c>
      <c r="B93" s="17" t="s">
        <v>19</v>
      </c>
      <c r="C93" s="17"/>
      <c r="D93" s="16" t="s">
        <v>21</v>
      </c>
      <c r="E93" s="16" t="s">
        <v>163</v>
      </c>
      <c r="F93" s="19"/>
      <c r="G93" s="19">
        <f t="shared" si="4"/>
        <v>0</v>
      </c>
      <c r="H93" s="20" t="s">
        <v>22</v>
      </c>
      <c r="I93" s="20" t="s">
        <v>23</v>
      </c>
      <c r="J93" s="20" t="s">
        <v>24</v>
      </c>
      <c r="K93" s="21"/>
    </row>
    <row r="94" ht="21.95" customHeight="1" spans="1:11">
      <c r="A94" s="37">
        <v>11</v>
      </c>
      <c r="B94" s="45" t="s">
        <v>26</v>
      </c>
      <c r="C94" s="45"/>
      <c r="D94" s="16" t="s">
        <v>21</v>
      </c>
      <c r="E94" s="16" t="s">
        <v>40</v>
      </c>
      <c r="F94" s="19"/>
      <c r="G94" s="19">
        <f t="shared" si="4"/>
        <v>0</v>
      </c>
      <c r="H94" s="24" t="s">
        <v>28</v>
      </c>
      <c r="I94" s="24" t="s">
        <v>29</v>
      </c>
      <c r="J94" s="24" t="s">
        <v>30</v>
      </c>
      <c r="K94" s="21"/>
    </row>
    <row r="95" ht="21.95" customHeight="1" spans="1:11">
      <c r="A95" s="37">
        <v>12</v>
      </c>
      <c r="B95" s="36" t="s">
        <v>164</v>
      </c>
      <c r="C95" s="36" t="s">
        <v>165</v>
      </c>
      <c r="D95" s="37" t="s">
        <v>106</v>
      </c>
      <c r="E95" s="37">
        <v>1800</v>
      </c>
      <c r="F95" s="19"/>
      <c r="G95" s="19">
        <f t="shared" si="4"/>
        <v>0</v>
      </c>
      <c r="H95" s="20" t="s">
        <v>61</v>
      </c>
      <c r="I95" s="20" t="s">
        <v>38</v>
      </c>
      <c r="J95" s="38" t="s">
        <v>166</v>
      </c>
      <c r="K95" s="21"/>
    </row>
    <row r="96" ht="21.95" customHeight="1" spans="1:11">
      <c r="A96" s="37">
        <v>13</v>
      </c>
      <c r="B96" s="36" t="s">
        <v>167</v>
      </c>
      <c r="C96" s="36"/>
      <c r="D96" s="24" t="s">
        <v>168</v>
      </c>
      <c r="E96" s="57">
        <v>1349.4</v>
      </c>
      <c r="F96" s="19"/>
      <c r="G96" s="19">
        <f t="shared" si="4"/>
        <v>0</v>
      </c>
      <c r="H96" s="55" t="s">
        <v>169</v>
      </c>
      <c r="I96" s="55" t="s">
        <v>170</v>
      </c>
      <c r="J96" s="55" t="s">
        <v>171</v>
      </c>
      <c r="K96" s="21"/>
    </row>
    <row r="97" ht="21.95" customHeight="1" spans="1:11">
      <c r="A97" s="37">
        <v>14</v>
      </c>
      <c r="B97" s="36" t="s">
        <v>172</v>
      </c>
      <c r="C97" s="36"/>
      <c r="D97" s="24" t="s">
        <v>173</v>
      </c>
      <c r="E97" s="57">
        <v>44.538</v>
      </c>
      <c r="F97" s="19"/>
      <c r="G97" s="19"/>
      <c r="H97" s="55" t="s">
        <v>174</v>
      </c>
      <c r="I97" s="55" t="s">
        <v>175</v>
      </c>
      <c r="J97" s="55" t="s">
        <v>176</v>
      </c>
      <c r="K97" s="21"/>
    </row>
    <row r="98" ht="21.95" customHeight="1" spans="1:11">
      <c r="A98" s="37">
        <v>15</v>
      </c>
      <c r="B98" s="36" t="s">
        <v>177</v>
      </c>
      <c r="C98" s="36"/>
      <c r="D98" s="24" t="s">
        <v>173</v>
      </c>
      <c r="E98" s="57">
        <v>9.8319</v>
      </c>
      <c r="F98" s="19"/>
      <c r="G98" s="19"/>
      <c r="H98" s="55" t="s">
        <v>178</v>
      </c>
      <c r="I98" s="55" t="s">
        <v>38</v>
      </c>
      <c r="J98" s="55" t="s">
        <v>179</v>
      </c>
      <c r="K98" s="21"/>
    </row>
    <row r="99" ht="21.95" customHeight="1" spans="1:11">
      <c r="A99" s="37">
        <v>16</v>
      </c>
      <c r="B99" s="36" t="s">
        <v>180</v>
      </c>
      <c r="C99" s="36"/>
      <c r="D99" s="24" t="s">
        <v>173</v>
      </c>
      <c r="E99" s="24">
        <v>411.59</v>
      </c>
      <c r="F99" s="19"/>
      <c r="G99" s="19"/>
      <c r="H99" s="55" t="s">
        <v>181</v>
      </c>
      <c r="I99" s="55" t="s">
        <v>182</v>
      </c>
      <c r="J99" s="55" t="s">
        <v>183</v>
      </c>
      <c r="K99" s="21"/>
    </row>
    <row r="100" s="1" customFormat="1" ht="21.95" customHeight="1" spans="1:11">
      <c r="A100" s="54" t="s">
        <v>110</v>
      </c>
      <c r="B100" s="47" t="s">
        <v>184</v>
      </c>
      <c r="C100" s="47"/>
      <c r="D100" s="14"/>
      <c r="E100" s="10"/>
      <c r="F100" s="11"/>
      <c r="G100" s="11"/>
      <c r="H100" s="32"/>
      <c r="I100" s="32"/>
      <c r="J100" s="32"/>
      <c r="K100" s="13"/>
    </row>
    <row r="101" ht="21.95" customHeight="1" spans="1:11">
      <c r="A101" s="37">
        <v>1</v>
      </c>
      <c r="B101" s="39" t="s">
        <v>142</v>
      </c>
      <c r="C101" s="45"/>
      <c r="D101" s="16" t="s">
        <v>15</v>
      </c>
      <c r="E101" s="58">
        <f>36*40+36*12</f>
        <v>1872</v>
      </c>
      <c r="F101" s="27"/>
      <c r="G101" s="19"/>
      <c r="H101" s="44" t="s">
        <v>131</v>
      </c>
      <c r="I101" s="44" t="s">
        <v>132</v>
      </c>
      <c r="J101" s="44" t="s">
        <v>133</v>
      </c>
      <c r="K101" s="21"/>
    </row>
    <row r="102" ht="21.95" customHeight="1" spans="1:11">
      <c r="A102" s="37">
        <v>2</v>
      </c>
      <c r="B102" s="39" t="s">
        <v>134</v>
      </c>
      <c r="C102" s="45"/>
      <c r="D102" s="16" t="s">
        <v>21</v>
      </c>
      <c r="E102" s="58">
        <f>E101*0.2</f>
        <v>374.4</v>
      </c>
      <c r="F102" s="27"/>
      <c r="G102" s="19"/>
      <c r="H102" s="24" t="s">
        <v>94</v>
      </c>
      <c r="I102" s="24" t="s">
        <v>95</v>
      </c>
      <c r="J102" s="24" t="s">
        <v>96</v>
      </c>
      <c r="K102" s="21"/>
    </row>
    <row r="103" s="1" customFormat="1" ht="21.95" customHeight="1" spans="1:11">
      <c r="A103" s="41" t="s">
        <v>114</v>
      </c>
      <c r="B103" s="59" t="s">
        <v>185</v>
      </c>
      <c r="C103" s="60"/>
      <c r="D103" s="61"/>
      <c r="E103" s="10"/>
      <c r="F103" s="10"/>
      <c r="G103" s="11"/>
      <c r="H103" s="13"/>
      <c r="I103" s="41"/>
      <c r="J103" s="42"/>
      <c r="K103" s="13"/>
    </row>
    <row r="104" ht="21.95" customHeight="1" spans="1:11">
      <c r="A104" s="37">
        <v>1</v>
      </c>
      <c r="B104" s="62" t="s">
        <v>186</v>
      </c>
      <c r="C104" s="62" t="s">
        <v>187</v>
      </c>
      <c r="D104" s="63" t="s">
        <v>21</v>
      </c>
      <c r="E104" s="64">
        <v>21400</v>
      </c>
      <c r="F104" s="19"/>
      <c r="G104" s="19"/>
      <c r="H104" s="65" t="s">
        <v>188</v>
      </c>
      <c r="I104" s="65" t="s">
        <v>189</v>
      </c>
      <c r="J104" s="65" t="s">
        <v>190</v>
      </c>
      <c r="K104" s="21"/>
    </row>
    <row r="105" ht="21.95" customHeight="1" spans="1:11">
      <c r="A105" s="37">
        <v>2</v>
      </c>
      <c r="B105" s="66" t="s">
        <v>191</v>
      </c>
      <c r="C105" s="67"/>
      <c r="D105" s="68" t="s">
        <v>21</v>
      </c>
      <c r="E105" s="69">
        <v>37.1607</v>
      </c>
      <c r="F105" s="19"/>
      <c r="G105" s="19"/>
      <c r="H105" s="37" t="s">
        <v>28</v>
      </c>
      <c r="I105" s="37" t="s">
        <v>192</v>
      </c>
      <c r="J105" s="37" t="s">
        <v>193</v>
      </c>
      <c r="K105" s="21"/>
    </row>
    <row r="106" ht="21.95" customHeight="1" spans="1:11">
      <c r="A106" s="37">
        <v>3</v>
      </c>
      <c r="B106" s="66" t="s">
        <v>194</v>
      </c>
      <c r="C106" s="67"/>
      <c r="D106" s="68" t="s">
        <v>21</v>
      </c>
      <c r="E106" s="69">
        <v>1033.2284</v>
      </c>
      <c r="F106" s="19"/>
      <c r="G106" s="19"/>
      <c r="H106" s="37"/>
      <c r="I106" s="37"/>
      <c r="J106" s="37"/>
      <c r="K106" s="21"/>
    </row>
    <row r="107" ht="21.95" customHeight="1" spans="1:11">
      <c r="A107" s="37">
        <v>4</v>
      </c>
      <c r="B107" s="66" t="s">
        <v>195</v>
      </c>
      <c r="C107" s="67"/>
      <c r="D107" s="68" t="s">
        <v>21</v>
      </c>
      <c r="E107" s="69">
        <v>92.53384</v>
      </c>
      <c r="F107" s="19"/>
      <c r="G107" s="19"/>
      <c r="H107" s="37"/>
      <c r="I107" s="37"/>
      <c r="J107" s="37"/>
      <c r="K107" s="21"/>
    </row>
    <row r="108" ht="21.95" customHeight="1" spans="1:11">
      <c r="A108" s="37">
        <v>5</v>
      </c>
      <c r="B108" s="66" t="s">
        <v>196</v>
      </c>
      <c r="C108" s="67"/>
      <c r="D108" s="68" t="s">
        <v>27</v>
      </c>
      <c r="E108" s="69">
        <v>27.703</v>
      </c>
      <c r="F108" s="19"/>
      <c r="G108" s="19"/>
      <c r="H108" s="37"/>
      <c r="I108" s="37"/>
      <c r="J108" s="37"/>
      <c r="K108" s="21"/>
    </row>
    <row r="109" ht="21.95" customHeight="1" spans="1:11">
      <c r="A109" s="37">
        <v>6</v>
      </c>
      <c r="B109" s="66" t="s">
        <v>197</v>
      </c>
      <c r="C109" s="67"/>
      <c r="D109" s="68" t="s">
        <v>21</v>
      </c>
      <c r="E109" s="69">
        <v>31.9332</v>
      </c>
      <c r="F109" s="19"/>
      <c r="G109" s="19"/>
      <c r="H109" s="37"/>
      <c r="I109" s="37"/>
      <c r="J109" s="37"/>
      <c r="K109" s="21"/>
    </row>
    <row r="110" ht="21.95" customHeight="1" spans="1:11">
      <c r="A110" s="37">
        <v>7</v>
      </c>
      <c r="B110" s="66" t="s">
        <v>198</v>
      </c>
      <c r="C110" s="67"/>
      <c r="D110" s="68" t="s">
        <v>21</v>
      </c>
      <c r="E110" s="69">
        <v>258.1083</v>
      </c>
      <c r="F110" s="19"/>
      <c r="G110" s="19"/>
      <c r="H110" s="37"/>
      <c r="I110" s="37"/>
      <c r="J110" s="37"/>
      <c r="K110" s="21"/>
    </row>
    <row r="111" ht="21.95" customHeight="1" spans="1:11">
      <c r="A111" s="37">
        <v>8</v>
      </c>
      <c r="B111" s="66" t="s">
        <v>199</v>
      </c>
      <c r="C111" s="67"/>
      <c r="D111" s="68" t="s">
        <v>21</v>
      </c>
      <c r="E111" s="69">
        <v>30.876</v>
      </c>
      <c r="F111" s="19"/>
      <c r="G111" s="19"/>
      <c r="H111" s="37"/>
      <c r="I111" s="37"/>
      <c r="J111" s="37"/>
      <c r="K111" s="21"/>
    </row>
    <row r="112" ht="21.95" customHeight="1" spans="1:11">
      <c r="A112" s="37">
        <v>9</v>
      </c>
      <c r="B112" s="66" t="s">
        <v>200</v>
      </c>
      <c r="C112" s="67"/>
      <c r="D112" s="68" t="s">
        <v>27</v>
      </c>
      <c r="E112" s="69">
        <v>67.0407834</v>
      </c>
      <c r="F112" s="19"/>
      <c r="G112" s="19"/>
      <c r="H112" s="37"/>
      <c r="I112" s="37"/>
      <c r="J112" s="37"/>
      <c r="K112" s="21"/>
    </row>
    <row r="113" ht="21.95" customHeight="1" spans="1:11">
      <c r="A113" s="37">
        <v>10</v>
      </c>
      <c r="B113" s="66" t="s">
        <v>201</v>
      </c>
      <c r="C113" s="67"/>
      <c r="D113" s="68" t="s">
        <v>27</v>
      </c>
      <c r="E113" s="69">
        <v>33.0042368</v>
      </c>
      <c r="F113" s="19"/>
      <c r="G113" s="19"/>
      <c r="H113" s="37"/>
      <c r="I113" s="37"/>
      <c r="J113" s="37"/>
      <c r="K113" s="21"/>
    </row>
    <row r="114" ht="21.95" customHeight="1" spans="1:11">
      <c r="A114" s="37">
        <v>11</v>
      </c>
      <c r="B114" s="66" t="s">
        <v>202</v>
      </c>
      <c r="C114" s="67"/>
      <c r="D114" s="68" t="s">
        <v>21</v>
      </c>
      <c r="E114" s="69">
        <v>5</v>
      </c>
      <c r="F114" s="19"/>
      <c r="G114" s="19"/>
      <c r="H114" s="65" t="s">
        <v>37</v>
      </c>
      <c r="I114" s="65" t="s">
        <v>38</v>
      </c>
      <c r="J114" s="65" t="s">
        <v>44</v>
      </c>
      <c r="K114" s="21"/>
    </row>
    <row r="115" ht="21.95" customHeight="1" spans="1:11">
      <c r="A115" s="37">
        <v>12</v>
      </c>
      <c r="B115" s="66" t="s">
        <v>203</v>
      </c>
      <c r="C115" s="52"/>
      <c r="D115" s="68" t="s">
        <v>21</v>
      </c>
      <c r="E115" s="69">
        <v>2.584</v>
      </c>
      <c r="F115" s="19"/>
      <c r="G115" s="19"/>
      <c r="H115" s="65" t="s">
        <v>22</v>
      </c>
      <c r="I115" s="65" t="s">
        <v>23</v>
      </c>
      <c r="J115" s="65" t="s">
        <v>24</v>
      </c>
      <c r="K115" s="21"/>
    </row>
    <row r="116" ht="21.95" customHeight="1" spans="1:11">
      <c r="A116" s="37">
        <v>13</v>
      </c>
      <c r="B116" s="66" t="s">
        <v>204</v>
      </c>
      <c r="C116" s="52"/>
      <c r="D116" s="68" t="s">
        <v>21</v>
      </c>
      <c r="E116" s="69">
        <v>22.572</v>
      </c>
      <c r="F116" s="19"/>
      <c r="G116" s="19"/>
      <c r="H116" s="65" t="s">
        <v>205</v>
      </c>
      <c r="I116" s="65" t="s">
        <v>206</v>
      </c>
      <c r="J116" s="65" t="s">
        <v>207</v>
      </c>
      <c r="K116" s="21"/>
    </row>
    <row r="117" ht="21.95" customHeight="1" spans="1:11">
      <c r="A117" s="37">
        <v>14</v>
      </c>
      <c r="B117" s="66" t="s">
        <v>208</v>
      </c>
      <c r="C117" s="52"/>
      <c r="D117" s="68" t="s">
        <v>27</v>
      </c>
      <c r="E117" s="69">
        <v>1.0465554</v>
      </c>
      <c r="F117" s="19"/>
      <c r="G117" s="19"/>
      <c r="H117" s="65" t="s">
        <v>209</v>
      </c>
      <c r="I117" s="65" t="s">
        <v>210</v>
      </c>
      <c r="J117" s="65" t="s">
        <v>211</v>
      </c>
      <c r="K117" s="21"/>
    </row>
    <row r="118" ht="21.95" customHeight="1" spans="1:11">
      <c r="A118" s="37">
        <v>15</v>
      </c>
      <c r="B118" s="66" t="s">
        <v>212</v>
      </c>
      <c r="C118" s="52"/>
      <c r="D118" s="68" t="s">
        <v>21</v>
      </c>
      <c r="E118" s="69">
        <v>5</v>
      </c>
      <c r="F118" s="19"/>
      <c r="G118" s="19"/>
      <c r="H118" s="65" t="s">
        <v>37</v>
      </c>
      <c r="I118" s="65" t="s">
        <v>38</v>
      </c>
      <c r="J118" s="65" t="s">
        <v>44</v>
      </c>
      <c r="K118" s="21"/>
    </row>
    <row r="119" ht="21.95" customHeight="1" spans="1:11">
      <c r="A119" s="37">
        <v>16</v>
      </c>
      <c r="B119" s="66" t="s">
        <v>213</v>
      </c>
      <c r="C119" s="52"/>
      <c r="D119" s="68" t="s">
        <v>21</v>
      </c>
      <c r="E119" s="69">
        <v>2.376</v>
      </c>
      <c r="F119" s="19"/>
      <c r="G119" s="19"/>
      <c r="H119" s="37" t="s">
        <v>22</v>
      </c>
      <c r="I119" s="37" t="s">
        <v>214</v>
      </c>
      <c r="J119" s="37" t="s">
        <v>215</v>
      </c>
      <c r="K119" s="21"/>
    </row>
    <row r="120" ht="21.95" customHeight="1" spans="1:11">
      <c r="A120" s="37">
        <v>17</v>
      </c>
      <c r="B120" s="66" t="s">
        <v>216</v>
      </c>
      <c r="C120" s="52"/>
      <c r="D120" s="68" t="s">
        <v>21</v>
      </c>
      <c r="E120" s="69">
        <v>22.032</v>
      </c>
      <c r="F120" s="19"/>
      <c r="G120" s="19"/>
      <c r="H120" s="37"/>
      <c r="I120" s="37"/>
      <c r="J120" s="37"/>
      <c r="K120" s="21"/>
    </row>
    <row r="121" ht="21.95" customHeight="1" spans="1:11">
      <c r="A121" s="37">
        <v>18</v>
      </c>
      <c r="B121" s="66" t="s">
        <v>217</v>
      </c>
      <c r="C121" s="52"/>
      <c r="D121" s="68" t="s">
        <v>27</v>
      </c>
      <c r="E121" s="69">
        <v>1.0239732</v>
      </c>
      <c r="F121" s="19"/>
      <c r="G121" s="19"/>
      <c r="H121" s="37"/>
      <c r="I121" s="37"/>
      <c r="J121" s="37"/>
      <c r="K121" s="21"/>
    </row>
    <row r="122" ht="21.95" customHeight="1" spans="1:11">
      <c r="A122" s="37">
        <v>19</v>
      </c>
      <c r="B122" s="66" t="s">
        <v>218</v>
      </c>
      <c r="C122" s="52"/>
      <c r="D122" s="68" t="s">
        <v>21</v>
      </c>
      <c r="E122" s="69">
        <v>16.56</v>
      </c>
      <c r="F122" s="19"/>
      <c r="G122" s="19"/>
      <c r="H122" s="65" t="s">
        <v>205</v>
      </c>
      <c r="I122" s="70" t="s">
        <v>206</v>
      </c>
      <c r="J122" s="65" t="s">
        <v>207</v>
      </c>
      <c r="K122" s="21"/>
    </row>
    <row r="123" ht="21.95" customHeight="1" spans="1:11">
      <c r="A123" s="37">
        <v>20</v>
      </c>
      <c r="B123" s="66" t="s">
        <v>219</v>
      </c>
      <c r="C123" s="52"/>
      <c r="D123" s="68" t="s">
        <v>21</v>
      </c>
      <c r="E123" s="69">
        <v>27.278</v>
      </c>
      <c r="F123" s="19"/>
      <c r="G123" s="19"/>
      <c r="H123" s="65" t="s">
        <v>205</v>
      </c>
      <c r="I123" s="70" t="s">
        <v>206</v>
      </c>
      <c r="J123" s="65" t="s">
        <v>207</v>
      </c>
      <c r="K123" s="21"/>
    </row>
    <row r="124" ht="21.95" customHeight="1" spans="1:11">
      <c r="A124" s="37">
        <v>21</v>
      </c>
      <c r="B124" s="66" t="s">
        <v>220</v>
      </c>
      <c r="C124" s="52"/>
      <c r="D124" s="68" t="s">
        <v>27</v>
      </c>
      <c r="E124" s="69">
        <v>1.5586654</v>
      </c>
      <c r="F124" s="19"/>
      <c r="G124" s="19"/>
      <c r="H124" s="70" t="s">
        <v>209</v>
      </c>
      <c r="I124" s="65" t="s">
        <v>210</v>
      </c>
      <c r="J124" s="70" t="s">
        <v>211</v>
      </c>
      <c r="K124" s="21"/>
    </row>
    <row r="125" ht="21.95" customHeight="1" spans="1:11">
      <c r="A125" s="37">
        <v>22</v>
      </c>
      <c r="B125" s="66" t="s">
        <v>221</v>
      </c>
      <c r="C125" s="52"/>
      <c r="D125" s="68" t="s">
        <v>21</v>
      </c>
      <c r="E125" s="69">
        <v>15</v>
      </c>
      <c r="F125" s="19"/>
      <c r="G125" s="19"/>
      <c r="H125" s="65" t="s">
        <v>205</v>
      </c>
      <c r="I125" s="70" t="s">
        <v>206</v>
      </c>
      <c r="J125" s="65" t="s">
        <v>207</v>
      </c>
      <c r="K125" s="21"/>
    </row>
    <row r="126" ht="21.95" customHeight="1" spans="1:11">
      <c r="A126" s="37">
        <v>23</v>
      </c>
      <c r="B126" s="66" t="s">
        <v>222</v>
      </c>
      <c r="C126" s="52"/>
      <c r="D126" s="68" t="s">
        <v>21</v>
      </c>
      <c r="E126" s="69">
        <v>36.032</v>
      </c>
      <c r="F126" s="19"/>
      <c r="G126" s="19"/>
      <c r="H126" s="37" t="s">
        <v>22</v>
      </c>
      <c r="I126" s="37" t="s">
        <v>214</v>
      </c>
      <c r="J126" s="37" t="s">
        <v>215</v>
      </c>
      <c r="K126" s="21"/>
    </row>
    <row r="127" ht="21.95" customHeight="1" spans="1:11">
      <c r="A127" s="37">
        <v>24</v>
      </c>
      <c r="B127" s="66" t="s">
        <v>223</v>
      </c>
      <c r="C127" s="52"/>
      <c r="D127" s="68" t="s">
        <v>27</v>
      </c>
      <c r="E127" s="69">
        <v>3.357266</v>
      </c>
      <c r="F127" s="19"/>
      <c r="G127" s="19"/>
      <c r="H127" s="37"/>
      <c r="I127" s="37"/>
      <c r="J127" s="37"/>
      <c r="K127" s="21"/>
    </row>
    <row r="128" ht="21.95" customHeight="1" spans="1:11">
      <c r="A128" s="37">
        <v>25</v>
      </c>
      <c r="B128" s="66" t="s">
        <v>224</v>
      </c>
      <c r="C128" s="52"/>
      <c r="D128" s="68" t="s">
        <v>21</v>
      </c>
      <c r="E128" s="69">
        <v>3307.34668</v>
      </c>
      <c r="F128" s="19"/>
      <c r="G128" s="19"/>
      <c r="H128" s="65" t="s">
        <v>22</v>
      </c>
      <c r="I128" s="65" t="s">
        <v>23</v>
      </c>
      <c r="J128" s="65" t="s">
        <v>24</v>
      </c>
      <c r="K128" s="21"/>
    </row>
    <row r="129" ht="21.95" customHeight="1" spans="1:11">
      <c r="A129" s="37">
        <v>26</v>
      </c>
      <c r="B129" s="66" t="s">
        <v>225</v>
      </c>
      <c r="C129" s="52"/>
      <c r="D129" s="68" t="s">
        <v>21</v>
      </c>
      <c r="E129" s="69">
        <v>26.916</v>
      </c>
      <c r="F129" s="19"/>
      <c r="G129" s="19"/>
      <c r="H129" s="37" t="s">
        <v>22</v>
      </c>
      <c r="I129" s="37" t="s">
        <v>23</v>
      </c>
      <c r="J129" s="37" t="s">
        <v>24</v>
      </c>
      <c r="K129" s="21"/>
    </row>
    <row r="130" ht="21.95" customHeight="1" spans="1:11">
      <c r="A130" s="37">
        <v>27</v>
      </c>
      <c r="B130" s="66" t="s">
        <v>226</v>
      </c>
      <c r="C130" s="52"/>
      <c r="D130" s="68" t="s">
        <v>21</v>
      </c>
      <c r="E130" s="69">
        <v>242.244</v>
      </c>
      <c r="F130" s="19"/>
      <c r="G130" s="19"/>
      <c r="H130" s="70" t="s">
        <v>209</v>
      </c>
      <c r="I130" s="65" t="s">
        <v>210</v>
      </c>
      <c r="J130" s="70" t="s">
        <v>211</v>
      </c>
      <c r="K130" s="21"/>
    </row>
    <row r="131" ht="21.95" customHeight="1" spans="1:11">
      <c r="A131" s="37">
        <v>28</v>
      </c>
      <c r="B131" s="66" t="s">
        <v>227</v>
      </c>
      <c r="C131" s="52"/>
      <c r="D131" s="68" t="s">
        <v>21</v>
      </c>
      <c r="E131" s="69">
        <v>38.5</v>
      </c>
      <c r="F131" s="19"/>
      <c r="G131" s="19"/>
      <c r="H131" s="37" t="s">
        <v>94</v>
      </c>
      <c r="I131" s="37" t="s">
        <v>95</v>
      </c>
      <c r="J131" s="37" t="s">
        <v>96</v>
      </c>
      <c r="K131" s="21"/>
    </row>
    <row r="132" ht="21.95" customHeight="1" spans="1:11">
      <c r="A132" s="37">
        <v>29</v>
      </c>
      <c r="B132" s="66" t="s">
        <v>228</v>
      </c>
      <c r="C132" s="71" t="s">
        <v>101</v>
      </c>
      <c r="D132" s="68" t="s">
        <v>21</v>
      </c>
      <c r="E132" s="69">
        <v>560.191037735849</v>
      </c>
      <c r="F132" s="19"/>
      <c r="G132" s="19"/>
      <c r="H132" s="37" t="s">
        <v>28</v>
      </c>
      <c r="I132" s="37" t="s">
        <v>229</v>
      </c>
      <c r="J132" s="37" t="s">
        <v>230</v>
      </c>
      <c r="K132" s="21"/>
    </row>
    <row r="133" ht="21.95" customHeight="1" spans="1:11">
      <c r="A133" s="37">
        <v>30</v>
      </c>
      <c r="B133" s="66" t="s">
        <v>231</v>
      </c>
      <c r="C133" s="52"/>
      <c r="D133" s="68" t="s">
        <v>27</v>
      </c>
      <c r="E133" s="69">
        <v>1.98</v>
      </c>
      <c r="F133" s="19"/>
      <c r="G133" s="19"/>
      <c r="H133" s="37"/>
      <c r="I133" s="37"/>
      <c r="J133" s="37"/>
      <c r="K133" s="21"/>
    </row>
    <row r="134" ht="21.95" customHeight="1" spans="1:11">
      <c r="A134" s="37">
        <v>31</v>
      </c>
      <c r="B134" s="66" t="s">
        <v>232</v>
      </c>
      <c r="C134" s="71" t="s">
        <v>101</v>
      </c>
      <c r="D134" s="68" t="s">
        <v>21</v>
      </c>
      <c r="E134" s="69">
        <v>32.4825962264151</v>
      </c>
      <c r="F134" s="19"/>
      <c r="G134" s="19"/>
      <c r="H134" s="37"/>
      <c r="I134" s="37"/>
      <c r="J134" s="37"/>
      <c r="K134" s="21"/>
    </row>
    <row r="135" ht="21.95" customHeight="1" spans="1:11">
      <c r="A135" s="37">
        <v>32</v>
      </c>
      <c r="B135" s="29" t="s">
        <v>233</v>
      </c>
      <c r="C135" s="17" t="s">
        <v>234</v>
      </c>
      <c r="D135" s="63" t="s">
        <v>21</v>
      </c>
      <c r="E135" s="64">
        <f>0.3*0.4*E136</f>
        <v>41.22</v>
      </c>
      <c r="F135" s="19"/>
      <c r="G135" s="19"/>
      <c r="H135" s="37"/>
      <c r="I135" s="37"/>
      <c r="J135" s="37"/>
      <c r="K135" s="21"/>
    </row>
    <row r="136" ht="21.95" customHeight="1" spans="1:11">
      <c r="A136" s="37">
        <v>33</v>
      </c>
      <c r="B136" s="66" t="s">
        <v>235</v>
      </c>
      <c r="C136" s="52"/>
      <c r="D136" s="68" t="s">
        <v>106</v>
      </c>
      <c r="E136" s="69">
        <v>343.5</v>
      </c>
      <c r="F136" s="19"/>
      <c r="G136" s="19"/>
      <c r="H136" s="37"/>
      <c r="I136" s="37"/>
      <c r="J136" s="37"/>
      <c r="K136" s="21"/>
    </row>
    <row r="137" ht="21.95" customHeight="1" spans="1:11">
      <c r="A137" s="37">
        <v>34</v>
      </c>
      <c r="B137" s="66" t="s">
        <v>236</v>
      </c>
      <c r="C137" s="52"/>
      <c r="D137" s="68" t="s">
        <v>21</v>
      </c>
      <c r="E137" s="69">
        <v>54</v>
      </c>
      <c r="F137" s="19"/>
      <c r="G137" s="19"/>
      <c r="H137" s="37" t="s">
        <v>28</v>
      </c>
      <c r="I137" s="37" t="s">
        <v>237</v>
      </c>
      <c r="J137" s="37" t="s">
        <v>238</v>
      </c>
      <c r="K137" s="21"/>
    </row>
    <row r="138" ht="21.95" customHeight="1" spans="1:11">
      <c r="A138" s="37">
        <v>35</v>
      </c>
      <c r="B138" s="66" t="s">
        <v>239</v>
      </c>
      <c r="C138" s="52"/>
      <c r="D138" s="68" t="s">
        <v>21</v>
      </c>
      <c r="E138" s="69">
        <v>10.4</v>
      </c>
      <c r="F138" s="72"/>
      <c r="G138" s="19"/>
      <c r="H138" s="37" t="s">
        <v>37</v>
      </c>
      <c r="I138" s="37" t="s">
        <v>38</v>
      </c>
      <c r="J138" s="37" t="s">
        <v>240</v>
      </c>
      <c r="K138" s="21"/>
    </row>
    <row r="139" ht="21.95" customHeight="1" spans="1:11">
      <c r="A139" s="37">
        <v>36</v>
      </c>
      <c r="B139" s="66" t="s">
        <v>241</v>
      </c>
      <c r="C139" s="52"/>
      <c r="D139" s="68" t="s">
        <v>27</v>
      </c>
      <c r="E139" s="69">
        <v>1.98</v>
      </c>
      <c r="F139" s="19"/>
      <c r="G139" s="19"/>
      <c r="H139" s="37" t="s">
        <v>205</v>
      </c>
      <c r="I139" s="37" t="s">
        <v>242</v>
      </c>
      <c r="J139" s="37" t="s">
        <v>243</v>
      </c>
      <c r="K139" s="21"/>
    </row>
    <row r="140" ht="21.95" customHeight="1" spans="1:11">
      <c r="A140" s="37">
        <v>37</v>
      </c>
      <c r="B140" s="66" t="s">
        <v>244</v>
      </c>
      <c r="C140" s="52"/>
      <c r="D140" s="68" t="s">
        <v>21</v>
      </c>
      <c r="E140" s="69">
        <v>37</v>
      </c>
      <c r="F140" s="19"/>
      <c r="G140" s="19"/>
      <c r="H140" s="37" t="s">
        <v>28</v>
      </c>
      <c r="I140" s="37" t="s">
        <v>237</v>
      </c>
      <c r="J140" s="37" t="s">
        <v>238</v>
      </c>
      <c r="K140" s="21"/>
    </row>
    <row r="141" ht="21.95" customHeight="1" spans="1:11">
      <c r="A141" s="37">
        <v>38</v>
      </c>
      <c r="B141" s="66" t="s">
        <v>245</v>
      </c>
      <c r="C141" s="52"/>
      <c r="D141" s="68" t="s">
        <v>21</v>
      </c>
      <c r="E141" s="69">
        <v>14</v>
      </c>
      <c r="F141" s="19"/>
      <c r="G141" s="19"/>
      <c r="H141" s="37" t="s">
        <v>28</v>
      </c>
      <c r="I141" s="37" t="s">
        <v>229</v>
      </c>
      <c r="J141" s="37" t="s">
        <v>230</v>
      </c>
      <c r="K141" s="21"/>
    </row>
    <row r="142" ht="21.95" customHeight="1" spans="1:11">
      <c r="A142" s="37">
        <v>39</v>
      </c>
      <c r="B142" s="67" t="s">
        <v>246</v>
      </c>
      <c r="C142" s="52"/>
      <c r="D142" s="68" t="s">
        <v>21</v>
      </c>
      <c r="E142" s="73">
        <f>26*3*0.25+9.5*4.5*0.25</f>
        <v>30.1875</v>
      </c>
      <c r="F142" s="19"/>
      <c r="G142" s="19"/>
      <c r="H142" s="37"/>
      <c r="I142" s="37"/>
      <c r="J142" s="37"/>
      <c r="K142" s="21"/>
    </row>
    <row r="143" ht="21.95" customHeight="1" spans="1:11">
      <c r="A143" s="37">
        <v>40</v>
      </c>
      <c r="B143" s="67" t="s">
        <v>223</v>
      </c>
      <c r="C143" s="52"/>
      <c r="D143" s="68" t="s">
        <v>27</v>
      </c>
      <c r="E143" s="74">
        <v>2.85</v>
      </c>
      <c r="F143" s="19"/>
      <c r="G143" s="19"/>
      <c r="H143" s="37"/>
      <c r="I143" s="37"/>
      <c r="J143" s="37"/>
      <c r="K143" s="21"/>
    </row>
    <row r="144" ht="21.95" customHeight="1" spans="1:11">
      <c r="A144" s="37">
        <v>41</v>
      </c>
      <c r="B144" s="66" t="s">
        <v>247</v>
      </c>
      <c r="C144" s="52"/>
      <c r="D144" s="68" t="s">
        <v>21</v>
      </c>
      <c r="E144" s="74">
        <f>1400*0.1</f>
        <v>140</v>
      </c>
      <c r="F144" s="19"/>
      <c r="G144" s="19"/>
      <c r="H144" s="37" t="s">
        <v>22</v>
      </c>
      <c r="I144" s="37" t="s">
        <v>170</v>
      </c>
      <c r="J144" s="37" t="s">
        <v>248</v>
      </c>
      <c r="K144" s="21"/>
    </row>
    <row r="145" ht="21.95" customHeight="1" spans="1:11">
      <c r="A145" s="37">
        <v>42</v>
      </c>
      <c r="B145" s="66" t="s">
        <v>249</v>
      </c>
      <c r="C145" s="52"/>
      <c r="D145" s="68" t="s">
        <v>27</v>
      </c>
      <c r="E145" s="74">
        <v>2.85</v>
      </c>
      <c r="F145" s="19"/>
      <c r="G145" s="19"/>
      <c r="H145" s="37" t="s">
        <v>22</v>
      </c>
      <c r="I145" s="37" t="s">
        <v>214</v>
      </c>
      <c r="J145" s="37" t="s">
        <v>215</v>
      </c>
      <c r="K145" s="21"/>
    </row>
    <row r="146" ht="21.95" customHeight="1" spans="1:11">
      <c r="A146" s="37">
        <v>43</v>
      </c>
      <c r="B146" s="66" t="s">
        <v>250</v>
      </c>
      <c r="C146" s="52"/>
      <c r="D146" s="68" t="s">
        <v>21</v>
      </c>
      <c r="E146" s="69">
        <v>13.3679245283019</v>
      </c>
      <c r="F146" s="19"/>
      <c r="G146" s="19"/>
      <c r="H146" s="37"/>
      <c r="I146" s="37"/>
      <c r="J146" s="37"/>
      <c r="K146" s="21"/>
    </row>
    <row r="147" ht="21.95" customHeight="1" spans="1:11">
      <c r="A147" s="37">
        <v>44</v>
      </c>
      <c r="B147" s="66" t="s">
        <v>251</v>
      </c>
      <c r="C147" s="52"/>
      <c r="D147" s="68" t="s">
        <v>21</v>
      </c>
      <c r="E147" s="69">
        <v>0.6</v>
      </c>
      <c r="F147" s="19"/>
      <c r="G147" s="19"/>
      <c r="H147" s="37" t="s">
        <v>22</v>
      </c>
      <c r="I147" s="37" t="s">
        <v>214</v>
      </c>
      <c r="J147" s="37" t="s">
        <v>215</v>
      </c>
      <c r="K147" s="21"/>
    </row>
    <row r="148" s="1" customFormat="1" ht="21.95" customHeight="1" spans="1:11">
      <c r="A148" s="54" t="s">
        <v>116</v>
      </c>
      <c r="B148" s="42" t="s">
        <v>252</v>
      </c>
      <c r="C148" s="42"/>
      <c r="D148" s="42"/>
      <c r="E148" s="10"/>
      <c r="F148" s="11"/>
      <c r="G148" s="11"/>
      <c r="H148" s="54"/>
      <c r="I148" s="54"/>
      <c r="J148" s="54"/>
      <c r="K148" s="13"/>
    </row>
    <row r="149" s="1" customFormat="1" ht="21.95" customHeight="1" spans="1:11">
      <c r="A149" s="54" t="s">
        <v>16</v>
      </c>
      <c r="B149" s="42" t="s">
        <v>253</v>
      </c>
      <c r="C149" s="42"/>
      <c r="D149" s="54" t="s">
        <v>254</v>
      </c>
      <c r="E149" s="10"/>
      <c r="F149" s="11"/>
      <c r="G149" s="11"/>
      <c r="H149" s="54"/>
      <c r="I149" s="54"/>
      <c r="J149" s="54"/>
      <c r="K149" s="13"/>
    </row>
    <row r="150" ht="21.95" customHeight="1" spans="1:11">
      <c r="A150" s="37">
        <v>1</v>
      </c>
      <c r="B150" s="36" t="s">
        <v>233</v>
      </c>
      <c r="C150" s="36" t="s">
        <v>255</v>
      </c>
      <c r="D150" s="37" t="s">
        <v>168</v>
      </c>
      <c r="E150" s="46">
        <f>(284*0.6*0.5)+(80*0.6*0.5)</f>
        <v>109.2</v>
      </c>
      <c r="F150" s="72"/>
      <c r="G150" s="19"/>
      <c r="H150" s="37" t="s">
        <v>37</v>
      </c>
      <c r="I150" s="37" t="s">
        <v>38</v>
      </c>
      <c r="J150" s="37" t="s">
        <v>240</v>
      </c>
      <c r="K150" s="21"/>
    </row>
    <row r="151" ht="21.95" customHeight="1" spans="1:11">
      <c r="A151" s="37">
        <v>2</v>
      </c>
      <c r="B151" s="36" t="s">
        <v>256</v>
      </c>
      <c r="C151" s="36"/>
      <c r="D151" s="37" t="s">
        <v>168</v>
      </c>
      <c r="E151" s="46">
        <v>70</v>
      </c>
      <c r="F151" s="19"/>
      <c r="G151" s="19"/>
      <c r="H151" s="75" t="s">
        <v>205</v>
      </c>
      <c r="I151" s="75" t="s">
        <v>242</v>
      </c>
      <c r="J151" s="75" t="s">
        <v>257</v>
      </c>
      <c r="K151" s="21"/>
    </row>
    <row r="152" ht="21.95" customHeight="1" spans="1:11">
      <c r="A152" s="37">
        <v>3</v>
      </c>
      <c r="B152" s="36" t="s">
        <v>236</v>
      </c>
      <c r="C152" s="36" t="s">
        <v>258</v>
      </c>
      <c r="D152" s="37" t="s">
        <v>168</v>
      </c>
      <c r="E152" s="76">
        <f>(0.24*2*284)+(0.24*80*2)</f>
        <v>174.72</v>
      </c>
      <c r="F152" s="19"/>
      <c r="G152" s="19"/>
      <c r="H152" s="37" t="s">
        <v>28</v>
      </c>
      <c r="I152" s="37" t="s">
        <v>237</v>
      </c>
      <c r="J152" s="37" t="s">
        <v>238</v>
      </c>
      <c r="K152" s="21"/>
    </row>
    <row r="153" ht="21.95" customHeight="1" spans="1:11">
      <c r="A153" s="37">
        <v>4</v>
      </c>
      <c r="B153" s="36" t="s">
        <v>259</v>
      </c>
      <c r="C153" s="36" t="s">
        <v>260</v>
      </c>
      <c r="D153" s="37" t="s">
        <v>261</v>
      </c>
      <c r="E153" s="76">
        <f>(284*0.5*3*0.1)+(80*0.5*3*0.1)</f>
        <v>54.6</v>
      </c>
      <c r="F153" s="19"/>
      <c r="G153" s="19"/>
      <c r="H153" s="37" t="s">
        <v>66</v>
      </c>
      <c r="I153" s="37" t="s">
        <v>262</v>
      </c>
      <c r="J153" s="37" t="s">
        <v>263</v>
      </c>
      <c r="K153" s="21"/>
    </row>
    <row r="154" s="1" customFormat="1" ht="21.95" customHeight="1" spans="1:11">
      <c r="A154" s="43" t="s">
        <v>264</v>
      </c>
      <c r="B154" s="77"/>
      <c r="C154" s="77"/>
      <c r="D154" s="43"/>
      <c r="E154" s="43"/>
      <c r="F154" s="54"/>
      <c r="G154" s="54"/>
      <c r="H154" s="13"/>
      <c r="I154" s="13"/>
      <c r="J154" s="13"/>
      <c r="K154" s="13"/>
    </row>
  </sheetData>
  <autoFilter xmlns:etc="http://www.wps.cn/officeDocument/2017/etCustomData" ref="A1:I154" etc:filterBottomFollowUsedRange="0">
    <extLst/>
  </autoFilter>
  <mergeCells count="22">
    <mergeCell ref="A1:K1"/>
    <mergeCell ref="A3:B3"/>
    <mergeCell ref="A71:B71"/>
    <mergeCell ref="A154:B154"/>
    <mergeCell ref="H105:H113"/>
    <mergeCell ref="H119:H121"/>
    <mergeCell ref="H126:H127"/>
    <mergeCell ref="H132:H136"/>
    <mergeCell ref="H141:H143"/>
    <mergeCell ref="H145:H146"/>
    <mergeCell ref="I105:I113"/>
    <mergeCell ref="I119:I121"/>
    <mergeCell ref="I126:I127"/>
    <mergeCell ref="I132:I136"/>
    <mergeCell ref="I141:I143"/>
    <mergeCell ref="I145:I146"/>
    <mergeCell ref="J105:J113"/>
    <mergeCell ref="J119:J121"/>
    <mergeCell ref="J126:J127"/>
    <mergeCell ref="J132:J136"/>
    <mergeCell ref="J141:J143"/>
    <mergeCell ref="J145:J146"/>
  </mergeCells>
  <pageMargins left="0.156944444444444" right="0.156944444444444" top="0.590277777777778" bottom="0.550694444444444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不含材料土方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scad</cp:lastModifiedBy>
  <dcterms:created xsi:type="dcterms:W3CDTF">2022-09-08T09:56:00Z</dcterms:created>
  <cp:lastPrinted>2023-08-31T15:45:00Z</cp:lastPrinted>
  <dcterms:modified xsi:type="dcterms:W3CDTF">2026-04-19T09:53:28Z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22A002176F14F0E79835E4696C75026A_43</vt:lpwstr>
  </property>
  <property fmtid="{D5CDD505-2E9C-101B-9397-08002B2CF9AE}" pid="3" name="KSOProductBuildVer">
    <vt:lpwstr>2052-12.1.25867.25867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