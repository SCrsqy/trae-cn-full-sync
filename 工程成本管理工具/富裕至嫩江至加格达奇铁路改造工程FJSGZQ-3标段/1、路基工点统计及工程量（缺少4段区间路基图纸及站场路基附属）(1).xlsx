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40" windowHeight="22240"/>
  </bookViews>
  <sheets>
    <sheet name="Sheet1" sheetId="1" r:id="rId1"/>
    <sheet name="Sheet2" sheetId="2" r:id="rId2"/>
  </sheets>
  <definedNames>
    <definedName name="切片器_工点类型">#N/A</definedName>
    <definedName name="切片器_专业">#N/A</definedName>
    <definedName name="切片器_起始里程">#N/A</definedName>
    <definedName name="切片器_终止里程">#N/A</definedName>
  </definedNames>
  <calcPr calcId="191029"/>
  <extLst>
    <ext xmlns:x15="http://schemas.microsoft.com/office/spreadsheetml/2010/11/main" uri="{46BE6895-7355-4a93-B00E-2C351335B9C9}">
      <x15:slicerCaches xmlns:x14="http://schemas.microsoft.com/office/spreadsheetml/2009/9/main">
        <x14:slicerCache r:id="rId6"/>
        <x14:slicerCache r:id="rId5"/>
        <x14:slicerCache r:id="rId4"/>
        <x14:slicerCache r:id="rId3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<sst xmlns="http://schemas.openxmlformats.org/spreadsheetml/2006/main" count="186" uniqueCount="109">
  <si>
    <t>序号</t>
  </si>
  <si>
    <t>专业</t>
  </si>
  <si>
    <t>起始里程</t>
  </si>
  <si>
    <t>终止里程</t>
  </si>
  <si>
    <t>工点长度</t>
  </si>
  <si>
    <t>工点类型</t>
  </si>
  <si>
    <t>工程措施</t>
  </si>
  <si>
    <r>
      <rPr>
        <sz val="11"/>
        <color theme="1"/>
        <rFont val="仿宋"/>
        <charset val="134"/>
      </rPr>
      <t>填方-A组填料（细颗粒含量＜10%）
（m</t>
    </r>
    <r>
      <rPr>
        <sz val="11"/>
        <color theme="1"/>
        <rFont val="Malgun Gothic"/>
        <charset val="129"/>
      </rPr>
      <t>³</t>
    </r>
    <r>
      <rPr>
        <sz val="11"/>
        <color theme="1"/>
        <rFont val="仿宋"/>
        <charset val="134"/>
      </rPr>
      <t>）</t>
    </r>
  </si>
  <si>
    <r>
      <rPr>
        <sz val="11"/>
        <color theme="1"/>
        <rFont val="仿宋"/>
        <charset val="134"/>
      </rPr>
      <t>填方-A、B组填料（细颗粒含量＜10%）
（m</t>
    </r>
    <r>
      <rPr>
        <sz val="11"/>
        <color theme="1"/>
        <rFont val="Malgun Gothic"/>
        <charset val="129"/>
      </rPr>
      <t>³</t>
    </r>
    <r>
      <rPr>
        <sz val="11"/>
        <color theme="1"/>
        <rFont val="仿宋"/>
        <charset val="134"/>
      </rPr>
      <t>）</t>
    </r>
  </si>
  <si>
    <r>
      <rPr>
        <sz val="11"/>
        <color theme="1"/>
        <rFont val="仿宋"/>
        <charset val="134"/>
      </rPr>
      <t>填方-AB组填料
（m</t>
    </r>
    <r>
      <rPr>
        <sz val="11"/>
        <color theme="1"/>
        <rFont val="Malgun Gothic"/>
        <charset val="129"/>
      </rPr>
      <t>³</t>
    </r>
    <r>
      <rPr>
        <sz val="11"/>
        <color theme="1"/>
        <rFont val="仿宋"/>
        <charset val="134"/>
      </rPr>
      <t>）</t>
    </r>
  </si>
  <si>
    <r>
      <rPr>
        <sz val="11"/>
        <color theme="1"/>
        <rFont val="仿宋"/>
        <charset val="134"/>
      </rPr>
      <t>填方-ABC组填料
（m</t>
    </r>
    <r>
      <rPr>
        <sz val="11"/>
        <color theme="1"/>
        <rFont val="Malgun Gothic"/>
        <charset val="129"/>
      </rPr>
      <t>³</t>
    </r>
    <r>
      <rPr>
        <sz val="11"/>
        <color theme="1"/>
        <rFont val="仿宋"/>
        <charset val="134"/>
      </rPr>
      <t>）</t>
    </r>
  </si>
  <si>
    <r>
      <rPr>
        <sz val="11"/>
        <color theme="1"/>
        <rFont val="仿宋"/>
        <charset val="134"/>
      </rPr>
      <t>填方-水泥改良土
（m</t>
    </r>
    <r>
      <rPr>
        <sz val="11"/>
        <color theme="1"/>
        <rFont val="Malgun Gothic"/>
        <charset val="129"/>
      </rPr>
      <t>³）</t>
    </r>
  </si>
  <si>
    <r>
      <rPr>
        <sz val="11"/>
        <color theme="1"/>
        <rFont val="仿宋"/>
        <charset val="134"/>
      </rPr>
      <t>填方-渗水土
（m</t>
    </r>
    <r>
      <rPr>
        <sz val="11"/>
        <color theme="1"/>
        <rFont val="Malgun Gothic"/>
        <charset val="129"/>
      </rPr>
      <t>³）</t>
    </r>
  </si>
  <si>
    <r>
      <rPr>
        <sz val="11"/>
        <color theme="1"/>
        <rFont val="仿宋"/>
        <charset val="134"/>
      </rPr>
      <t>填方-普通土
（m</t>
    </r>
    <r>
      <rPr>
        <sz val="11"/>
        <color theme="1"/>
        <rFont val="Malgun Gothic"/>
        <charset val="129"/>
      </rPr>
      <t>³</t>
    </r>
    <r>
      <rPr>
        <sz val="11"/>
        <color theme="1"/>
        <rFont val="仿宋"/>
        <charset val="134"/>
      </rPr>
      <t>）</t>
    </r>
  </si>
  <si>
    <r>
      <rPr>
        <sz val="11"/>
        <color theme="1"/>
        <rFont val="仿宋"/>
        <charset val="134"/>
      </rPr>
      <t>填方-碎石垫层
（m</t>
    </r>
    <r>
      <rPr>
        <sz val="11"/>
        <color theme="1"/>
        <rFont val="Malgun Gothic"/>
        <charset val="129"/>
      </rPr>
      <t>³）</t>
    </r>
  </si>
  <si>
    <r>
      <rPr>
        <sz val="11"/>
        <color theme="1"/>
        <rFont val="仿宋"/>
        <charset val="134"/>
      </rPr>
      <t>填方-级配碎石
（m</t>
    </r>
    <r>
      <rPr>
        <sz val="11"/>
        <color theme="1"/>
        <rFont val="Malgun Gothic"/>
        <charset val="129"/>
      </rPr>
      <t>³）</t>
    </r>
  </si>
  <si>
    <r>
      <rPr>
        <sz val="11"/>
        <color theme="1"/>
        <rFont val="仿宋"/>
        <charset val="134"/>
      </rPr>
      <t>挖土方
（m</t>
    </r>
    <r>
      <rPr>
        <sz val="11"/>
        <color theme="1"/>
        <rFont val="Malgun Gothic"/>
        <charset val="129"/>
      </rPr>
      <t>³）</t>
    </r>
  </si>
  <si>
    <r>
      <rPr>
        <sz val="11"/>
        <color theme="1"/>
        <rFont val="仿宋"/>
        <charset val="134"/>
      </rPr>
      <t>挖石方
（m</t>
    </r>
    <r>
      <rPr>
        <sz val="11"/>
        <color theme="1"/>
        <rFont val="Malgun Gothic"/>
        <charset val="129"/>
      </rPr>
      <t>³）</t>
    </r>
  </si>
  <si>
    <r>
      <rPr>
        <sz val="11"/>
        <color theme="1"/>
        <rFont val="仿宋"/>
        <charset val="134"/>
      </rPr>
      <t>浅孔爆破石方
（m</t>
    </r>
    <r>
      <rPr>
        <sz val="11"/>
        <color theme="1"/>
        <rFont val="Malgun Gothic"/>
        <charset val="129"/>
      </rPr>
      <t>³）</t>
    </r>
  </si>
  <si>
    <r>
      <rPr>
        <sz val="11"/>
        <color theme="1"/>
        <rFont val="仿宋"/>
        <charset val="134"/>
      </rPr>
      <t>控制爆破石方
（m</t>
    </r>
    <r>
      <rPr>
        <sz val="11"/>
        <color theme="1"/>
        <rFont val="Malgun Gothic"/>
        <charset val="129"/>
      </rPr>
      <t>³）</t>
    </r>
  </si>
  <si>
    <r>
      <rPr>
        <sz val="11"/>
        <color theme="1"/>
        <rFont val="仿宋"/>
        <charset val="134"/>
      </rPr>
      <t>C40混凝土
（m</t>
    </r>
    <r>
      <rPr>
        <sz val="11"/>
        <color theme="1"/>
        <rFont val="Malgun Gothic"/>
        <charset val="129"/>
      </rPr>
      <t>³</t>
    </r>
    <r>
      <rPr>
        <sz val="11"/>
        <color theme="1"/>
        <rFont val="仿宋"/>
        <charset val="134"/>
      </rPr>
      <t>）</t>
    </r>
  </si>
  <si>
    <r>
      <rPr>
        <sz val="11"/>
        <color theme="1"/>
        <rFont val="仿宋"/>
        <charset val="134"/>
      </rPr>
      <t>C35混凝土
（m</t>
    </r>
    <r>
      <rPr>
        <sz val="11"/>
        <color theme="1"/>
        <rFont val="Malgun Gothic"/>
        <charset val="129"/>
      </rPr>
      <t>³）</t>
    </r>
  </si>
  <si>
    <r>
      <rPr>
        <sz val="11"/>
        <color theme="1"/>
        <rFont val="仿宋"/>
        <charset val="134"/>
      </rPr>
      <t>C30混凝土
（m</t>
    </r>
    <r>
      <rPr>
        <sz val="11"/>
        <color theme="1"/>
        <rFont val="Malgun Gothic"/>
        <charset val="129"/>
      </rPr>
      <t>³）</t>
    </r>
  </si>
  <si>
    <r>
      <rPr>
        <sz val="11"/>
        <color theme="1"/>
        <rFont val="仿宋"/>
        <charset val="134"/>
      </rPr>
      <t>C35片石混凝土
（m</t>
    </r>
    <r>
      <rPr>
        <sz val="11"/>
        <color theme="1"/>
        <rFont val="Malgun Gothic"/>
        <charset val="129"/>
      </rPr>
      <t>³</t>
    </r>
    <r>
      <rPr>
        <sz val="11"/>
        <color theme="1"/>
        <rFont val="仿宋"/>
        <charset val="134"/>
      </rPr>
      <t>）</t>
    </r>
  </si>
  <si>
    <r>
      <rPr>
        <sz val="11"/>
        <color theme="1"/>
        <rFont val="仿宋"/>
        <charset val="134"/>
      </rPr>
      <t>C25混凝土
（m</t>
    </r>
    <r>
      <rPr>
        <sz val="11"/>
        <color theme="1"/>
        <rFont val="Malgun Gothic"/>
        <charset val="129"/>
      </rPr>
      <t>³）</t>
    </r>
  </si>
  <si>
    <r>
      <rPr>
        <sz val="11"/>
        <color theme="1"/>
        <rFont val="仿宋"/>
        <charset val="134"/>
      </rPr>
      <t>C20混凝土
（m</t>
    </r>
    <r>
      <rPr>
        <sz val="11"/>
        <color theme="1"/>
        <rFont val="Malgun Gothic"/>
        <charset val="129"/>
      </rPr>
      <t>³）</t>
    </r>
  </si>
  <si>
    <r>
      <rPr>
        <sz val="11"/>
        <color theme="1"/>
        <rFont val="仿宋"/>
        <charset val="134"/>
      </rPr>
      <t>C25混凝土钻孔桩
（m</t>
    </r>
    <r>
      <rPr>
        <sz val="11"/>
        <color theme="1"/>
        <rFont val="Malgun Gothic"/>
        <charset val="129"/>
      </rPr>
      <t>³）</t>
    </r>
  </si>
  <si>
    <r>
      <rPr>
        <sz val="11"/>
        <color theme="1"/>
        <rFont val="仿宋"/>
        <charset val="134"/>
      </rPr>
      <t>C35混凝土钻孔桩
（m</t>
    </r>
    <r>
      <rPr>
        <sz val="11"/>
        <color theme="1"/>
        <rFont val="Malgun Gothic"/>
        <charset val="129"/>
      </rPr>
      <t>³）</t>
    </r>
  </si>
  <si>
    <r>
      <rPr>
        <sz val="11"/>
        <color theme="1"/>
        <rFont val="仿宋"/>
        <charset val="134"/>
      </rPr>
      <t>C35混凝土预制截水槽
（m</t>
    </r>
    <r>
      <rPr>
        <sz val="11"/>
        <color theme="1"/>
        <rFont val="Malgun Gothic"/>
        <charset val="129"/>
      </rPr>
      <t>³）</t>
    </r>
  </si>
  <si>
    <r>
      <rPr>
        <sz val="11"/>
        <color theme="1"/>
        <rFont val="仿宋"/>
        <charset val="134"/>
      </rPr>
      <t>C35混凝土预制空心砖
（m</t>
    </r>
    <r>
      <rPr>
        <sz val="11"/>
        <color theme="1"/>
        <rFont val="Malgun Gothic"/>
        <charset val="129"/>
      </rPr>
      <t>³</t>
    </r>
    <r>
      <rPr>
        <sz val="11"/>
        <color theme="1"/>
        <rFont val="仿宋"/>
        <charset val="134"/>
      </rPr>
      <t>）</t>
    </r>
  </si>
  <si>
    <r>
      <rPr>
        <sz val="11"/>
        <color theme="1"/>
        <rFont val="仿宋"/>
        <charset val="134"/>
      </rPr>
      <t>C30混凝土预制块
（m</t>
    </r>
    <r>
      <rPr>
        <sz val="11"/>
        <color theme="1"/>
        <rFont val="Malgun Gothic"/>
        <charset val="129"/>
      </rPr>
      <t>³）</t>
    </r>
  </si>
  <si>
    <r>
      <rPr>
        <sz val="11"/>
        <color theme="1"/>
        <rFont val="仿宋"/>
        <charset val="134"/>
      </rPr>
      <t>M10浆砌片石
（m</t>
    </r>
    <r>
      <rPr>
        <sz val="11"/>
        <color theme="1"/>
        <rFont val="Malgun Gothic"/>
        <charset val="129"/>
      </rPr>
      <t>³）</t>
    </r>
  </si>
  <si>
    <t>M35水泥砂浆</t>
  </si>
  <si>
    <t>M30水泥砂浆</t>
  </si>
  <si>
    <t>土工格栅
（㎡）</t>
  </si>
  <si>
    <r>
      <rPr>
        <sz val="11"/>
        <color theme="1"/>
        <rFont val="仿宋"/>
        <charset val="134"/>
      </rPr>
      <t>拆除M10浆砌片石
（m</t>
    </r>
    <r>
      <rPr>
        <sz val="11"/>
        <color theme="1"/>
        <rFont val="Malgun Gothic"/>
        <charset val="129"/>
      </rPr>
      <t>³）</t>
    </r>
  </si>
  <si>
    <t>格宾石笼
（个）</t>
  </si>
  <si>
    <r>
      <rPr>
        <sz val="11"/>
        <color theme="1"/>
        <rFont val="仿宋"/>
        <charset val="134"/>
      </rPr>
      <t>干砌片石
（m</t>
    </r>
    <r>
      <rPr>
        <sz val="11"/>
        <color theme="1"/>
        <rFont val="Malgun Gothic"/>
        <charset val="129"/>
      </rPr>
      <t>³）</t>
    </r>
  </si>
  <si>
    <t>复合波形排水垫（㎡）</t>
  </si>
  <si>
    <t>钢花管（m）</t>
  </si>
  <si>
    <r>
      <rPr>
        <sz val="11"/>
        <color theme="1"/>
        <rFont val="仿宋"/>
        <charset val="134"/>
      </rPr>
      <t>注浆（一次+二次）（m</t>
    </r>
    <r>
      <rPr>
        <sz val="11"/>
        <color theme="1"/>
        <rFont val="Malgun Gothic"/>
        <charset val="129"/>
      </rPr>
      <t>³）</t>
    </r>
  </si>
  <si>
    <t>既有线监测
（点）</t>
  </si>
  <si>
    <t>防护隔离网角钢
（t）</t>
  </si>
  <si>
    <t>防护隔离网槽钢
（t）</t>
  </si>
  <si>
    <t>防护网（14#铁丝，网格10cm）
（㎡）</t>
  </si>
  <si>
    <t>防护网（14#铁丝，网格5cm）
（㎡）</t>
  </si>
  <si>
    <t>工字钢
（20a）
（t）</t>
  </si>
  <si>
    <t>HPB300钢筋
（t）</t>
  </si>
  <si>
    <t>HPB335钢筋
（t）</t>
  </si>
  <si>
    <t>HRB400钢筋
（t）</t>
  </si>
  <si>
    <r>
      <rPr>
        <sz val="11"/>
        <color theme="1"/>
        <rFont val="仿宋"/>
        <charset val="134"/>
      </rPr>
      <t>锚杆-</t>
    </r>
    <r>
      <rPr>
        <sz val="11"/>
        <color theme="1"/>
        <rFont val="Calibri"/>
        <charset val="161"/>
      </rPr>
      <t>φ</t>
    </r>
    <r>
      <rPr>
        <sz val="11"/>
        <color theme="1"/>
        <rFont val="仿宋"/>
        <charset val="134"/>
      </rPr>
      <t>32mm HRB400螺纹钢筋
（t）</t>
    </r>
  </si>
  <si>
    <r>
      <rPr>
        <sz val="11"/>
        <color theme="1"/>
        <rFont val="仿宋"/>
        <charset val="134"/>
      </rPr>
      <t>锚杆-</t>
    </r>
    <r>
      <rPr>
        <sz val="11"/>
        <color theme="1"/>
        <rFont val="Calibri"/>
        <charset val="161"/>
      </rPr>
      <t>φ</t>
    </r>
    <r>
      <rPr>
        <sz val="11"/>
        <color theme="1"/>
        <rFont val="仿宋"/>
        <charset val="134"/>
      </rPr>
      <t>28mm HRB400螺纹钢筋
（t）</t>
    </r>
  </si>
  <si>
    <t>锚杆-φ16mm HRB400螺纹钢筋
（t）</t>
  </si>
  <si>
    <r>
      <rPr>
        <sz val="11"/>
        <color theme="1"/>
        <rFont val="仿宋"/>
        <charset val="134"/>
      </rPr>
      <t>锚垫板-</t>
    </r>
    <r>
      <rPr>
        <sz val="11"/>
        <color theme="1"/>
        <rFont val="Calibri"/>
        <charset val="161"/>
      </rPr>
      <t>φ</t>
    </r>
    <r>
      <rPr>
        <sz val="11"/>
        <color theme="1"/>
        <rFont val="仿宋"/>
        <charset val="134"/>
      </rPr>
      <t>0.1m 厚8mm
（t）</t>
    </r>
  </si>
  <si>
    <t>角钢
（t）</t>
  </si>
  <si>
    <r>
      <rPr>
        <sz val="11"/>
        <color theme="1"/>
        <rFont val="仿宋"/>
        <charset val="134"/>
      </rPr>
      <t>小型机具碾压
（㎡</t>
    </r>
    <r>
      <rPr>
        <sz val="11"/>
        <color theme="1"/>
        <rFont val="Malgun Gothic"/>
        <charset val="129"/>
      </rPr>
      <t>）</t>
    </r>
  </si>
  <si>
    <r>
      <rPr>
        <sz val="11"/>
        <color theme="1"/>
        <rFont val="仿宋"/>
        <charset val="134"/>
      </rPr>
      <t>重型机械振动碾压
（㎡</t>
    </r>
    <r>
      <rPr>
        <sz val="11"/>
        <color theme="1"/>
        <rFont val="Malgun Gothic"/>
        <charset val="129"/>
      </rPr>
      <t>）</t>
    </r>
  </si>
  <si>
    <t>水泥搅拌桩（桩径0.5m）
（m）</t>
  </si>
  <si>
    <t>被动拦石网
（㎡）</t>
  </si>
  <si>
    <t>主动拦石网
（㎡）</t>
  </si>
  <si>
    <t>红彦-杨木山
区间路基</t>
  </si>
  <si>
    <t>既有线改建路基</t>
  </si>
  <si>
    <t>①既有线隔离防护、拆除；
②路堑边坡防护；
③排水;
④沉降、变形观测；</t>
  </si>
  <si>
    <t>既有线冻害抬道路基</t>
  </si>
  <si>
    <t>①既有线隔离防护、拆除；
②既有线路基帮宽；
③排水;
④变形观测；</t>
  </si>
  <si>
    <t>①既有线隔离防护、拆除；
②既有线帮宽；
③路堑边坡防护；
④地基加固处理；
⑤排水;
⑥沉降、变形观测；</t>
  </si>
  <si>
    <t>杨木山站站场路基</t>
  </si>
  <si>
    <t>站场路基</t>
  </si>
  <si>
    <t>杨木山-达拉滨
区间路基</t>
  </si>
  <si>
    <t>既有线水害整治</t>
  </si>
  <si>
    <t>①既有线隔离防护、拆除；
②排水;
③变形观测；</t>
  </si>
  <si>
    <t>①既有线隔离防护、拆除；
②路堑边坡防护；
③变形观测；</t>
  </si>
  <si>
    <t>达拉滨站站场路基</t>
  </si>
  <si>
    <t>达拉滨-大杨树东
区间路基</t>
  </si>
  <si>
    <t>①排水;</t>
  </si>
  <si>
    <t>①既有线隔离防护、拆除；
②路堑边坡防护；
③注浆加固;
④变形观测；</t>
  </si>
  <si>
    <t>大杨树东站站场路基</t>
  </si>
  <si>
    <t>大杨树站站场路基</t>
  </si>
  <si>
    <t>大杨树-春庭阁
区间路基</t>
  </si>
  <si>
    <t>春庭阁站站场路基</t>
  </si>
  <si>
    <t>春庭阁-乌鲁布铁
区间路基</t>
  </si>
  <si>
    <t>既有线原位抬道路基（冻害整治）</t>
  </si>
  <si>
    <t>①既有线隔离防护、拆除；
②既有线帮宽；
③排水;
④变形观测；</t>
  </si>
  <si>
    <t>①既有线隔离防护、拆除；
②路堑边坡防护；
③排水;
④变形观测；</t>
  </si>
  <si>
    <t>①既有线隔离防护、拆除；
②路堤边坡防护
③路堑边坡防护；
④排水;
⑤沉降、变形观测；</t>
  </si>
  <si>
    <t>乌鲁布铁站站场路基</t>
  </si>
  <si>
    <t>乌鲁布铁-朝阳村
区间路基</t>
  </si>
  <si>
    <t>①既有线隔离防护、拆除；
②地基表层处理；
③既有线帮宽；
④地基加固处理；
⑤路堤边坡防护；
⑥路堑边坡防护；
⑦排水;
⑧沉降、变形观测；</t>
  </si>
  <si>
    <t>朝阳村站站场路基</t>
  </si>
  <si>
    <t>朝阳村-讷尔克气
区间路基</t>
  </si>
  <si>
    <t>①既有线隔离防护、拆除；
②地基表层处理；
③既有线帮宽；
④地基加固处理；
⑤路堤边坡防护；
⑥路堑边坡防护；
⑦排水;
⑧过渡段：
⑨沉降、变形观测；</t>
  </si>
  <si>
    <t>①既有线隔离防护、拆除；
②地基表层处理；
③既有线帮宽；
④支挡防护工程；
⑤地基加固处理；
⑥路堤边坡防护；
⑦路堑边坡防护；
⑧排水;
⑨过渡段：
⑩沉降、变形观测；</t>
  </si>
  <si>
    <t>①既有线隔离防护、拆除；
②地基表层处理；
③支挡防护工程；
④路堤边坡防护；
⑤排水;
⑥过渡段；
⑦沉降、变形观测；</t>
  </si>
  <si>
    <t>①既有线隔离防护；
②地基表层处理；
③既有线帮宽；
④路堤边坡防护；
⑤浸水路堤；
⑥过渡段：
⑦沉降、变形观测；</t>
  </si>
  <si>
    <t>①既有线隔离防护、拆除；
②地基表层处理；
③既有线帮宽；
④地基加固处理；
⑤支挡防护工程；
⑥路堤边坡防护；
⑦路堑边坡防护；
⑧过渡段;
⑧沉降、变形观测；</t>
  </si>
  <si>
    <t>讷尔克气站站场路基</t>
  </si>
  <si>
    <t>讷尔克气-白桦排
区间路基</t>
  </si>
  <si>
    <t>①既有线隔离防护、拆除；
②地基表层处理；
③既有线帮宽；
④地基加固处理；
⑤路堤边坡防护；
⑥浸水路堤；
⑦排水；
⑧过渡段；
⑨沉降、变形观测；</t>
  </si>
  <si>
    <t>白桦排站站场路基</t>
  </si>
  <si>
    <t>白桦排-加南
区间路基</t>
  </si>
  <si>
    <t>既有线路基冻害整治-基床换填</t>
  </si>
  <si>
    <t>①既有线路基基床；
②沉降、变形观测；</t>
  </si>
  <si>
    <t>①既有线隔离防护、拆除；
②地基表层处理；
③既有线帮宽；
④沉降、变形观测；</t>
  </si>
  <si>
    <t>既有线水害路基</t>
  </si>
  <si>
    <t>加南站站场路基</t>
  </si>
  <si>
    <t>加南-加格达奇
区间路基</t>
  </si>
  <si>
    <t>①既有线隔离防护、拆除；
②地基表层处理；
③路堑边坡防护；
④沉降、变形观测；</t>
  </si>
  <si>
    <t>加格达奇站站场路基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</si>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</sst>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&quot;嫩&quot;&quot;林&quot;\K0\+000"/>
    <numFmt numFmtId="178" formatCode="0.00&quot;m&quot;"/>
  </numFmts>
  <fonts count="25">
    <font>
      <sz val="11"/>
      <color theme="1"/>
      <name val="等线"/>
      <charset val="134"/>
      <scheme val="minor"/>
    </font>
    <font>
      <sz val="11"/>
      <color theme="1"/>
      <name val="仿宋"/>
      <charset val="134"/>
    </font>
    <font>
      <sz val="11"/>
      <name val="仿宋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Malgun Gothic"/>
      <charset val="129"/>
    </font>
    <font>
      <sz val="11"/>
      <color theme="1"/>
      <name val="Calibri"/>
      <charset val="161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 wrapText="1"/>
    </xf>
    <xf numFmtId="177" fontId="1" fillId="0" borderId="5" xfId="0" applyNumberFormat="1" applyFont="1" applyBorder="1" applyAlignment="1">
      <alignment horizontal="center" vertical="center"/>
    </xf>
    <xf numFmtId="178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76" fontId="2" fillId="2" borderId="5" xfId="0" applyNumberFormat="1" applyFont="1" applyFill="1" applyBorder="1" applyAlignment="1">
      <alignment horizontal="center" vertical="center" wrapText="1"/>
    </xf>
    <xf numFmtId="177" fontId="1" fillId="2" borderId="5" xfId="0" applyNumberFormat="1" applyFont="1" applyFill="1" applyBorder="1" applyAlignment="1">
      <alignment horizontal="center" vertical="center"/>
    </xf>
    <xf numFmtId="178" fontId="1" fillId="2" borderId="5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177" fontId="1" fillId="0" borderId="8" xfId="0" applyNumberFormat="1" applyFont="1" applyBorder="1" applyAlignment="1">
      <alignment horizontal="center" vertical="center"/>
    </xf>
    <xf numFmtId="178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76" fontId="2" fillId="2" borderId="8" xfId="0" applyNumberFormat="1" applyFont="1" applyFill="1" applyBorder="1" applyAlignment="1">
      <alignment horizontal="center" vertical="center" wrapText="1"/>
    </xf>
    <xf numFmtId="177" fontId="1" fillId="2" borderId="8" xfId="0" applyNumberFormat="1" applyFont="1" applyFill="1" applyBorder="1" applyAlignment="1">
      <alignment horizontal="center" vertical="center"/>
    </xf>
    <xf numFmtId="178" fontId="1" fillId="2" borderId="8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60"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auto="1"/>
      </font>
      <numFmt numFmtId="176" formatCode="0.0_ 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numFmt numFmtId="177" formatCode="&quot;嫩&quot;&quot;林&quot;\K0\+000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numFmt numFmtId="177" formatCode="&quot;嫩&quot;&quot;林&quot;\K0\+000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numFmt numFmtId="178" formatCode="0.00&quot;m&quot;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lef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microsoft.com/office/2007/relationships/slicerCache" Target="slicerCaches/slicerCache4.xml"/><Relationship Id="rId5" Type="http://schemas.microsoft.com/office/2007/relationships/slicerCache" Target="slicerCaches/slicerCache3.xml"/><Relationship Id="rId4" Type="http://schemas.microsoft.com/office/2007/relationships/slicerCache" Target="slicerCaches/slicerCache2.xml"/><Relationship Id="rId3" Type="http://schemas.microsoft.com/office/2007/relationships/slicerCache" Target="slicerCaches/slicer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2</xdr:col>
      <xdr:colOff>278280</xdr:colOff>
      <xdr:row>0</xdr:row>
      <xdr:rowOff>41275</xdr:rowOff>
    </xdr:from>
    <xdr:to>
      <xdr:col>4</xdr:col>
      <xdr:colOff>0</xdr:colOff>
      <xdr:row>0</xdr:row>
      <xdr:rowOff>2577353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5" name="工点类型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工点类型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62760" y="41275"/>
              <a:ext cx="1695450" cy="25355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0</xdr:colOff>
      <xdr:row>0</xdr:row>
      <xdr:rowOff>24654</xdr:rowOff>
    </xdr:from>
    <xdr:to>
      <xdr:col>2</xdr:col>
      <xdr:colOff>237565</xdr:colOff>
      <xdr:row>0</xdr:row>
      <xdr:rowOff>2566148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6" name="专业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专业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4130"/>
              <a:ext cx="1722120" cy="25419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56029</xdr:colOff>
      <xdr:row>0</xdr:row>
      <xdr:rowOff>30257</xdr:rowOff>
    </xdr:from>
    <xdr:to>
      <xdr:col>44</xdr:col>
      <xdr:colOff>0</xdr:colOff>
      <xdr:row>0</xdr:row>
      <xdr:rowOff>616325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7" name="起始里程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起始里程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14090" y="29845"/>
              <a:ext cx="48110140" cy="5861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44823</xdr:colOff>
      <xdr:row>0</xdr:row>
      <xdr:rowOff>649941</xdr:rowOff>
    </xdr:from>
    <xdr:to>
      <xdr:col>44</xdr:col>
      <xdr:colOff>0</xdr:colOff>
      <xdr:row>0</xdr:row>
      <xdr:rowOff>1210235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8" name="终止里程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终止里程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02660" y="649605"/>
              <a:ext cx="48121570" cy="5600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切片器_工点类型" sourceName="工点类型">
  <extLst>
    <x:ext xmlns:x15="http://schemas.microsoft.com/office/spreadsheetml/2010/11/main" uri="{2F2917AC-EB37-4324-AD4E-5DD8C200BD13}">
      <x15:tableSlicerCache tableId="1" column="6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切片器_专业" sourceName="专业">
  <extLst>
    <x:ext xmlns:x15="http://schemas.microsoft.com/office/spreadsheetml/2010/11/main" uri="{2F2917AC-EB37-4324-AD4E-5DD8C200BD13}">
      <x15:tableSlicerCache tableId="1" column="2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切片器_起始里程" sourceName="起始里程">
  <extLst>
    <x:ext xmlns:x15="http://schemas.microsoft.com/office/spreadsheetml/2010/11/main" uri="{2F2917AC-EB37-4324-AD4E-5DD8C200BD13}">
      <x15:tableSlicerCache tableId="1" column="3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切片器_终止里程" sourceName="终止里程">
  <extLst>
    <x:ext xmlns:x15="http://schemas.microsoft.com/office/spreadsheetml/2010/11/main" uri="{2F2917AC-EB37-4324-AD4E-5DD8C200BD13}">
      <x15:tableSlicerCache tableId="1" column="4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工点类型" cache="切片器_工点类型" caption="工点类型" rowHeight="209550"/>
  <slicer name="专业" cache="切片器_专业" caption="专业" rowHeight="209550"/>
  <slicer name="起始里程" cache="切片器_起始里程" caption="起始里程" columnCount="48" rowHeight="209550"/>
  <slicer name="终止里程" cache="切片器_终止里程" caption="终止里程" columnCount="48" rowHeight="209550"/>
</slicers>
</file>

<file path=xl/tables/table1.xml><?xml version="1.0" encoding="utf-8"?>
<table xmlns="http://schemas.openxmlformats.org/spreadsheetml/2006/main" id="1" name="表1" displayName="表1" ref="A2:BH50" totalsRowShown="0">
  <autoFilter xmlns:etc="http://www.wps.cn/officeDocument/2017/etCustomData" ref="A2:BH50" etc:filterBottomFollowUsedRange="0"/>
  <tableColumns count="60">
    <tableColumn id="1" name="序号" dataDxfId="0"/>
    <tableColumn id="2" name="专业" dataDxfId="1"/>
    <tableColumn id="3" name="起始里程" dataDxfId="2"/>
    <tableColumn id="4" name="终止里程" dataDxfId="3"/>
    <tableColumn id="5" name="工点长度" dataDxfId="4">
      <calculatedColumnFormula>D3-C3</calculatedColumnFormula>
    </tableColumn>
    <tableColumn id="6" name="工点类型" dataDxfId="5"/>
    <tableColumn id="7" name="工程措施" dataDxfId="6"/>
    <tableColumn id="8" name="填方-A组填料（细颗粒含量＜10%）&#10;（m³）" dataDxfId="7"/>
    <tableColumn id="9" name="填方-A、B组填料（细颗粒含量＜10%）&#10;（m³）" dataDxfId="8"/>
    <tableColumn id="10" name="填方-AB组填料&#10;（m³）" dataDxfId="9"/>
    <tableColumn id="11" name="填方-ABC组填料&#10;（m³）" dataDxfId="10"/>
    <tableColumn id="12" name="填方-水泥改良土&#10;（m³）" dataDxfId="11"/>
    <tableColumn id="13" name="填方-渗水土&#10;（m³）" dataDxfId="12"/>
    <tableColumn id="14" name="填方-普通土&#10;（m³）" dataDxfId="13"/>
    <tableColumn id="15" name="填方-碎石垫层&#10;（m³）" dataDxfId="14"/>
    <tableColumn id="16" name="填方-级配碎石&#10;（m³）" dataDxfId="15"/>
    <tableColumn id="17" name="挖土方&#10;（m³）" dataDxfId="16"/>
    <tableColumn id="18" name="挖石方&#10;（m³）" dataDxfId="17"/>
    <tableColumn id="19" name="浅孔爆破石方&#10;（m³）" dataDxfId="18"/>
    <tableColumn id="20" name="控制爆破石方&#10;（m³）" dataDxfId="19"/>
    <tableColumn id="21" name="C40混凝土&#10;（m³）" dataDxfId="20"/>
    <tableColumn id="22" name="C35混凝土&#10;（m³）" dataDxfId="21"/>
    <tableColumn id="23" name="C30混凝土&#10;（m³）" dataDxfId="22"/>
    <tableColumn id="24" name="C35片石混凝土&#10;（m³）" dataDxfId="23"/>
    <tableColumn id="25" name="C25混凝土&#10;（m³）" dataDxfId="24"/>
    <tableColumn id="26" name="C20混凝土&#10;（m³）" dataDxfId="25"/>
    <tableColumn id="27" name="C25混凝土钻孔桩&#10;（m³）" dataDxfId="26"/>
    <tableColumn id="28" name="C35混凝土钻孔桩&#10;（m³）" dataDxfId="27"/>
    <tableColumn id="29" name="C35混凝土预制截水槽&#10;（m³）" dataDxfId="28"/>
    <tableColumn id="30" name="C35混凝土预制空心砖&#10;（m³）" dataDxfId="29"/>
    <tableColumn id="31" name="C30混凝土预制块&#10;（m³）" dataDxfId="30"/>
    <tableColumn id="32" name="M10浆砌片石&#10;（m³）" dataDxfId="31"/>
    <tableColumn id="33" name="M35水泥砂浆" dataDxfId="32"/>
    <tableColumn id="34" name="M30水泥砂浆" dataDxfId="33"/>
    <tableColumn id="35" name="土工格栅&#10;（㎡）" dataDxfId="34"/>
    <tableColumn id="36" name="拆除M10浆砌片石&#10;（m³）" dataDxfId="35"/>
    <tableColumn id="37" name="格宾石笼&#10;（个）" dataDxfId="36"/>
    <tableColumn id="38" name="干砌片石&#10;（m³）" dataDxfId="37"/>
    <tableColumn id="39" name="复合波形排水垫（㎡）" dataDxfId="38"/>
    <tableColumn id="40" name="钢花管（m）" dataDxfId="39"/>
    <tableColumn id="41" name="注浆（一次+二次）（m³）" dataDxfId="40"/>
    <tableColumn id="42" name="既有线监测&#10;（点）" dataDxfId="41"/>
    <tableColumn id="43" name="防护隔离网角钢&#10;（t）" dataDxfId="42"/>
    <tableColumn id="44" name="防护隔离网槽钢&#10;（t）" dataDxfId="43"/>
    <tableColumn id="45" name="防护网（14#铁丝，网格10cm）&#10;（㎡）" dataDxfId="44"/>
    <tableColumn id="46" name="防护网（14#铁丝，网格5cm）&#10;（㎡）" dataDxfId="45"/>
    <tableColumn id="47" name="工字钢&#10;（20a）&#10;（t）" dataDxfId="46"/>
    <tableColumn id="48" name="HPB300钢筋&#10;（t）" dataDxfId="47"/>
    <tableColumn id="49" name="HPB335钢筋&#10;（t）" dataDxfId="48"/>
    <tableColumn id="50" name="HRB400钢筋&#10;（t）" dataDxfId="49"/>
    <tableColumn id="51" name="锚杆-φ32mm HRB400螺纹钢筋&#10;（t）" dataDxfId="50"/>
    <tableColumn id="52" name="锚杆-φ28mm HRB400螺纹钢筋&#10;（t）" dataDxfId="51"/>
    <tableColumn id="53" name="锚杆-φ16mm HRB400螺纹钢筋&#10;（t）" dataDxfId="52"/>
    <tableColumn id="54" name="锚垫板-φ0.1m 厚8mm&#10;（t）" dataDxfId="53"/>
    <tableColumn id="55" name="角钢&#10;（t）" dataDxfId="54"/>
    <tableColumn id="56" name="小型机具碾压&#10;（㎡）" dataDxfId="55"/>
    <tableColumn id="57" name="重型机械振动碾压&#10;（㎡）" dataDxfId="56"/>
    <tableColumn id="58" name="水泥搅拌桩（桩径0.5m）&#10;（m）" dataDxfId="57"/>
    <tableColumn id="59" name="被动拦石网&#10;（㎡）" dataDxfId="58"/>
    <tableColumn id="60" name="主动拦石网&#10;（㎡）" dataDxfId="5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52"/>
  <sheetViews>
    <sheetView tabSelected="1" zoomScale="70" zoomScaleNormal="70" workbookViewId="0">
      <pane xSplit="7" ySplit="2" topLeftCell="H3" activePane="bottomRight" state="frozen"/>
      <selection/>
      <selection pane="topRight"/>
      <selection pane="bottomLeft"/>
      <selection pane="bottomRight" activeCell="H3" sqref="H3:P3"/>
    </sheetView>
  </sheetViews>
  <sheetFormatPr defaultColWidth="9" defaultRowHeight="16.8"/>
  <cols>
    <col min="1" max="1" width="6.375" style="1" customWidth="1"/>
    <col min="2" max="2" width="14.5" style="1" customWidth="1"/>
    <col min="3" max="4" width="13.875" style="1" customWidth="1"/>
    <col min="5" max="5" width="12.75" style="1" customWidth="1"/>
    <col min="6" max="6" width="31.625" style="1" customWidth="1"/>
    <col min="7" max="7" width="31.125" style="1" customWidth="1"/>
    <col min="8" max="32" width="15.625" style="1" customWidth="1"/>
    <col min="33" max="34" width="15.875" style="1" customWidth="1"/>
    <col min="35" max="38" width="15.625" style="1" customWidth="1"/>
    <col min="39" max="39" width="25.875" style="1" customWidth="1"/>
    <col min="40" max="40" width="15.625" style="1" customWidth="1"/>
    <col min="41" max="41" width="28.5" style="1" customWidth="1"/>
    <col min="42" max="60" width="15.625" style="1" customWidth="1"/>
    <col min="61" max="16384" width="9" style="1"/>
  </cols>
  <sheetData>
    <row r="1" ht="205.5" customHeight="1"/>
    <row r="2" ht="68" spans="1:60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4" t="s">
        <v>36</v>
      </c>
      <c r="AL2" s="4" t="s">
        <v>37</v>
      </c>
      <c r="AM2" s="4" t="s">
        <v>38</v>
      </c>
      <c r="AN2" s="4" t="s">
        <v>39</v>
      </c>
      <c r="AO2" s="4" t="s">
        <v>40</v>
      </c>
      <c r="AP2" s="4" t="s">
        <v>41</v>
      </c>
      <c r="AQ2" s="4" t="s">
        <v>42</v>
      </c>
      <c r="AR2" s="4" t="s">
        <v>43</v>
      </c>
      <c r="AS2" s="4" t="s">
        <v>44</v>
      </c>
      <c r="AT2" s="4" t="s">
        <v>45</v>
      </c>
      <c r="AU2" s="4" t="s">
        <v>46</v>
      </c>
      <c r="AV2" s="4" t="s">
        <v>47</v>
      </c>
      <c r="AW2" s="4" t="s">
        <v>48</v>
      </c>
      <c r="AX2" s="4" t="s">
        <v>49</v>
      </c>
      <c r="AY2" s="4" t="s">
        <v>50</v>
      </c>
      <c r="AZ2" s="4" t="s">
        <v>51</v>
      </c>
      <c r="BA2" s="4" t="s">
        <v>52</v>
      </c>
      <c r="BB2" s="4" t="s">
        <v>53</v>
      </c>
      <c r="BC2" s="4" t="s">
        <v>54</v>
      </c>
      <c r="BD2" s="4" t="s">
        <v>55</v>
      </c>
      <c r="BE2" s="4" t="s">
        <v>56</v>
      </c>
      <c r="BF2" s="4" t="s">
        <v>57</v>
      </c>
      <c r="BG2" s="4" t="s">
        <v>58</v>
      </c>
      <c r="BH2" s="5" t="s">
        <v>59</v>
      </c>
    </row>
    <row r="3" ht="90" customHeight="1" spans="1:60">
      <c r="A3" s="6">
        <v>1</v>
      </c>
      <c r="B3" s="7" t="s">
        <v>60</v>
      </c>
      <c r="C3" s="8">
        <v>50200</v>
      </c>
      <c r="D3" s="8">
        <v>50800</v>
      </c>
      <c r="E3" s="9">
        <f>D3-C3</f>
        <v>600</v>
      </c>
      <c r="F3" s="10" t="s">
        <v>61</v>
      </c>
      <c r="G3" s="11" t="s">
        <v>62</v>
      </c>
      <c r="H3" s="10">
        <v>34</v>
      </c>
      <c r="I3" s="10"/>
      <c r="J3" s="10"/>
      <c r="K3" s="10"/>
      <c r="L3" s="10">
        <f>126+132</f>
        <v>258</v>
      </c>
      <c r="M3" s="10"/>
      <c r="N3" s="10"/>
      <c r="O3" s="10"/>
      <c r="P3" s="10"/>
      <c r="Q3" s="10">
        <f>10328+80+2604+1339</f>
        <v>14351</v>
      </c>
      <c r="R3" s="10"/>
      <c r="S3" s="10"/>
      <c r="T3" s="10"/>
      <c r="U3" s="10"/>
      <c r="V3" s="10">
        <f>9+600+497</f>
        <v>1106</v>
      </c>
      <c r="W3" s="10"/>
      <c r="X3" s="10"/>
      <c r="Y3" s="10"/>
      <c r="Z3" s="10"/>
      <c r="AA3" s="10">
        <v>38</v>
      </c>
      <c r="AB3" s="10"/>
      <c r="AC3" s="10">
        <v>209</v>
      </c>
      <c r="AD3" s="10"/>
      <c r="AE3" s="10"/>
      <c r="AF3" s="10">
        <f>80+2533+720</f>
        <v>3333</v>
      </c>
      <c r="AG3" s="10"/>
      <c r="AH3" s="10"/>
      <c r="AI3" s="10"/>
      <c r="AJ3" s="10">
        <f>948</f>
        <v>948</v>
      </c>
      <c r="AK3" s="10"/>
      <c r="AL3" s="10"/>
      <c r="AM3" s="10"/>
      <c r="AN3" s="10"/>
      <c r="AO3" s="10"/>
      <c r="AP3" s="10">
        <v>82</v>
      </c>
      <c r="AQ3" s="10">
        <v>29.56</v>
      </c>
      <c r="AR3" s="10"/>
      <c r="AS3" s="10">
        <v>1202</v>
      </c>
      <c r="AT3" s="10"/>
      <c r="AU3" s="10">
        <v>167.58</v>
      </c>
      <c r="AV3" s="10">
        <f>0.475+25.89+26.845</f>
        <v>53.21</v>
      </c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2"/>
    </row>
    <row r="4" ht="90" customHeight="1" spans="1:60">
      <c r="A4" s="6">
        <v>2</v>
      </c>
      <c r="B4" s="7" t="s">
        <v>60</v>
      </c>
      <c r="C4" s="8">
        <v>51900</v>
      </c>
      <c r="D4" s="8">
        <v>52800</v>
      </c>
      <c r="E4" s="9">
        <f>D4-C4</f>
        <v>900</v>
      </c>
      <c r="F4" s="10" t="s">
        <v>63</v>
      </c>
      <c r="G4" s="11" t="s">
        <v>64</v>
      </c>
      <c r="H4" s="10"/>
      <c r="I4" s="10"/>
      <c r="J4" s="10"/>
      <c r="K4" s="10"/>
      <c r="L4" s="10">
        <f>142+11</f>
        <v>153</v>
      </c>
      <c r="M4" s="10"/>
      <c r="N4" s="10"/>
      <c r="O4" s="10"/>
      <c r="P4" s="10"/>
      <c r="Q4" s="10">
        <f>2322+112</f>
        <v>2434</v>
      </c>
      <c r="R4" s="10"/>
      <c r="S4" s="10"/>
      <c r="T4" s="10"/>
      <c r="U4" s="10"/>
      <c r="V4" s="10">
        <f>675+41</f>
        <v>716</v>
      </c>
      <c r="W4" s="10"/>
      <c r="X4" s="10"/>
      <c r="Y4" s="10"/>
      <c r="Z4" s="10"/>
      <c r="AA4" s="10">
        <v>50</v>
      </c>
      <c r="AB4" s="10"/>
      <c r="AC4" s="10"/>
      <c r="AD4" s="10"/>
      <c r="AE4" s="10"/>
      <c r="AF4" s="10">
        <f>64</f>
        <v>64</v>
      </c>
      <c r="AG4" s="10"/>
      <c r="AH4" s="10"/>
      <c r="AI4" s="10"/>
      <c r="AJ4" s="10"/>
      <c r="AK4" s="10"/>
      <c r="AL4" s="10"/>
      <c r="AM4" s="10"/>
      <c r="AN4" s="10"/>
      <c r="AO4" s="10"/>
      <c r="AP4" s="10">
        <v>198</v>
      </c>
      <c r="AQ4" s="10">
        <f>8.624</f>
        <v>8.624</v>
      </c>
      <c r="AR4" s="10"/>
      <c r="AS4" s="10">
        <v>1578</v>
      </c>
      <c r="AT4" s="10"/>
      <c r="AU4" s="10">
        <f>188.528</f>
        <v>188.528</v>
      </c>
      <c r="AV4" s="10">
        <f>0.623+29.126+2.237</f>
        <v>31.986</v>
      </c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2"/>
    </row>
    <row r="5" ht="90" customHeight="1" spans="1:60">
      <c r="A5" s="6">
        <v>3</v>
      </c>
      <c r="B5" s="7" t="s">
        <v>60</v>
      </c>
      <c r="C5" s="8">
        <v>52800</v>
      </c>
      <c r="D5" s="8">
        <v>53800</v>
      </c>
      <c r="E5" s="9">
        <f>D5-C5</f>
        <v>1000</v>
      </c>
      <c r="F5" s="10" t="s">
        <v>61</v>
      </c>
      <c r="G5" s="11" t="s">
        <v>65</v>
      </c>
      <c r="H5" s="10">
        <v>991</v>
      </c>
      <c r="I5" s="10">
        <v>1525</v>
      </c>
      <c r="J5" s="10">
        <f>1166</f>
        <v>1166</v>
      </c>
      <c r="K5" s="10"/>
      <c r="L5" s="10">
        <f>185</f>
        <v>185</v>
      </c>
      <c r="M5" s="10"/>
      <c r="N5" s="10"/>
      <c r="O5" s="10"/>
      <c r="P5" s="10"/>
      <c r="Q5" s="10">
        <f>6022+675+3027</f>
        <v>9724</v>
      </c>
      <c r="R5" s="10"/>
      <c r="S5" s="10"/>
      <c r="T5" s="10"/>
      <c r="U5" s="10"/>
      <c r="V5" s="10">
        <f>56+880</f>
        <v>936</v>
      </c>
      <c r="W5" s="10"/>
      <c r="X5" s="10"/>
      <c r="Y5" s="10"/>
      <c r="Z5" s="10"/>
      <c r="AA5" s="10">
        <v>63</v>
      </c>
      <c r="AB5" s="10"/>
      <c r="AC5" s="10"/>
      <c r="AD5" s="10"/>
      <c r="AE5" s="10"/>
      <c r="AF5" s="10">
        <f>117+619+1059</f>
        <v>1795</v>
      </c>
      <c r="AG5" s="10"/>
      <c r="AH5" s="10"/>
      <c r="AI5" s="10"/>
      <c r="AJ5" s="10">
        <f>1390</f>
        <v>1390</v>
      </c>
      <c r="AK5" s="10"/>
      <c r="AL5" s="10"/>
      <c r="AM5" s="10"/>
      <c r="AN5" s="10"/>
      <c r="AO5" s="10"/>
      <c r="AP5" s="10">
        <v>67</v>
      </c>
      <c r="AQ5" s="10">
        <f>49.234</f>
        <v>49.234</v>
      </c>
      <c r="AR5" s="10"/>
      <c r="AS5" s="10">
        <v>2002</v>
      </c>
      <c r="AT5" s="10"/>
      <c r="AU5" s="10">
        <v>383.2</v>
      </c>
      <c r="AV5" s="10">
        <f>0.791+37.972</f>
        <v>38.763</v>
      </c>
      <c r="AW5" s="10"/>
      <c r="AX5" s="10"/>
      <c r="AY5" s="10"/>
      <c r="AZ5" s="10"/>
      <c r="BA5" s="10"/>
      <c r="BB5" s="10"/>
      <c r="BC5" s="10"/>
      <c r="BD5" s="10">
        <v>3174</v>
      </c>
      <c r="BE5" s="10"/>
      <c r="BF5" s="10"/>
      <c r="BG5" s="10"/>
      <c r="BH5" s="12"/>
    </row>
    <row r="6" ht="90" customHeight="1" spans="1:60">
      <c r="A6" s="13"/>
      <c r="B6" s="14" t="s">
        <v>66</v>
      </c>
      <c r="C6" s="15">
        <v>54600</v>
      </c>
      <c r="D6" s="15">
        <v>55917</v>
      </c>
      <c r="E6" s="16">
        <f>D6-C6</f>
        <v>1317</v>
      </c>
      <c r="F6" s="17" t="s">
        <v>67</v>
      </c>
      <c r="G6" s="18"/>
      <c r="H6" s="17">
        <v>1756</v>
      </c>
      <c r="I6" s="17">
        <v>2365</v>
      </c>
      <c r="J6" s="17"/>
      <c r="K6" s="17">
        <v>10171</v>
      </c>
      <c r="L6" s="17"/>
      <c r="M6" s="17"/>
      <c r="N6" s="17"/>
      <c r="O6" s="17"/>
      <c r="P6" s="17"/>
      <c r="Q6" s="17">
        <f>24236+928</f>
        <v>25164</v>
      </c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9"/>
    </row>
    <row r="7" ht="90" customHeight="1" spans="1:60">
      <c r="A7" s="6">
        <v>4</v>
      </c>
      <c r="B7" s="7" t="s">
        <v>68</v>
      </c>
      <c r="C7" s="8">
        <v>59300</v>
      </c>
      <c r="D7" s="8">
        <v>59800</v>
      </c>
      <c r="E7" s="9">
        <f t="shared" ref="E7:E50" si="0">D7-C7</f>
        <v>500</v>
      </c>
      <c r="F7" s="10" t="s">
        <v>69</v>
      </c>
      <c r="G7" s="11" t="s">
        <v>70</v>
      </c>
      <c r="H7" s="10"/>
      <c r="I7" s="10"/>
      <c r="J7" s="10"/>
      <c r="K7" s="10"/>
      <c r="L7" s="10">
        <v>55</v>
      </c>
      <c r="M7" s="10"/>
      <c r="N7" s="10"/>
      <c r="O7" s="10"/>
      <c r="P7" s="10"/>
      <c r="Q7" s="10">
        <v>558</v>
      </c>
      <c r="R7" s="10"/>
      <c r="S7" s="10"/>
      <c r="T7" s="10"/>
      <c r="U7" s="10"/>
      <c r="V7" s="10">
        <v>207</v>
      </c>
      <c r="W7" s="10"/>
      <c r="X7" s="10"/>
      <c r="Y7" s="10"/>
      <c r="Z7" s="10"/>
      <c r="AA7" s="10">
        <v>16</v>
      </c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>
        <v>68</v>
      </c>
      <c r="AQ7" s="10">
        <v>2.743</v>
      </c>
      <c r="AR7" s="10"/>
      <c r="AS7" s="10">
        <v>502</v>
      </c>
      <c r="AT7" s="10"/>
      <c r="AU7" s="10"/>
      <c r="AV7" s="10">
        <f>0.198+11.185</f>
        <v>11.383</v>
      </c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2"/>
    </row>
    <row r="8" ht="90" customHeight="1" spans="1:60">
      <c r="A8" s="6">
        <v>5</v>
      </c>
      <c r="B8" s="7" t="s">
        <v>68</v>
      </c>
      <c r="C8" s="8">
        <v>70800</v>
      </c>
      <c r="D8" s="8">
        <v>71300</v>
      </c>
      <c r="E8" s="9">
        <f t="shared" si="0"/>
        <v>500</v>
      </c>
      <c r="F8" s="10" t="s">
        <v>69</v>
      </c>
      <c r="G8" s="11" t="s">
        <v>71</v>
      </c>
      <c r="H8" s="10"/>
      <c r="I8" s="10"/>
      <c r="J8" s="10"/>
      <c r="K8" s="10"/>
      <c r="L8" s="10"/>
      <c r="M8" s="10">
        <f>594</f>
        <v>594</v>
      </c>
      <c r="N8" s="10"/>
      <c r="O8" s="10"/>
      <c r="P8" s="10"/>
      <c r="Q8" s="10">
        <f>1856+71</f>
        <v>1927</v>
      </c>
      <c r="R8" s="10"/>
      <c r="S8" s="10"/>
      <c r="T8" s="10"/>
      <c r="U8" s="10"/>
      <c r="V8" s="10">
        <f>42</f>
        <v>42</v>
      </c>
      <c r="W8" s="10"/>
      <c r="X8" s="10"/>
      <c r="Y8" s="10"/>
      <c r="Z8" s="10"/>
      <c r="AA8" s="10">
        <v>13</v>
      </c>
      <c r="AB8" s="10"/>
      <c r="AC8" s="10"/>
      <c r="AD8" s="10"/>
      <c r="AE8" s="10"/>
      <c r="AF8" s="10">
        <f>180+29+1296</f>
        <v>1505</v>
      </c>
      <c r="AG8" s="10"/>
      <c r="AH8" s="10"/>
      <c r="AI8" s="10"/>
      <c r="AJ8" s="10"/>
      <c r="AK8" s="10"/>
      <c r="AL8" s="10"/>
      <c r="AM8" s="10"/>
      <c r="AN8" s="10"/>
      <c r="AO8" s="10"/>
      <c r="AP8" s="10">
        <v>54</v>
      </c>
      <c r="AQ8" s="10">
        <v>2.197</v>
      </c>
      <c r="AR8" s="10"/>
      <c r="AS8" s="10">
        <v>402</v>
      </c>
      <c r="AT8" s="10"/>
      <c r="AU8" s="10"/>
      <c r="AV8" s="10">
        <f>0.159</f>
        <v>0.159</v>
      </c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2"/>
    </row>
    <row r="9" ht="90" customHeight="1" spans="1:60">
      <c r="A9" s="13"/>
      <c r="B9" s="14" t="s">
        <v>72</v>
      </c>
      <c r="C9" s="15">
        <v>72692.93</v>
      </c>
      <c r="D9" s="15">
        <v>73450</v>
      </c>
      <c r="E9" s="16">
        <f t="shared" si="0"/>
        <v>757.070000000007</v>
      </c>
      <c r="F9" s="17" t="s">
        <v>67</v>
      </c>
      <c r="G9" s="18"/>
      <c r="H9" s="17">
        <v>2408.8</v>
      </c>
      <c r="I9" s="17">
        <v>3930.9</v>
      </c>
      <c r="J9" s="17">
        <v>3221.7</v>
      </c>
      <c r="K9" s="17">
        <v>1730.5</v>
      </c>
      <c r="L9" s="17"/>
      <c r="M9" s="17">
        <v>318</v>
      </c>
      <c r="N9" s="17"/>
      <c r="O9" s="17"/>
      <c r="P9" s="17"/>
      <c r="Q9" s="17">
        <f>10356.2+401.9</f>
        <v>10758.1</v>
      </c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9"/>
    </row>
    <row r="10" ht="90" customHeight="1" spans="1:60">
      <c r="A10" s="6">
        <v>6</v>
      </c>
      <c r="B10" s="7" t="s">
        <v>73</v>
      </c>
      <c r="C10" s="8">
        <v>74300</v>
      </c>
      <c r="D10" s="8">
        <v>75730</v>
      </c>
      <c r="E10" s="9">
        <f t="shared" si="0"/>
        <v>1430</v>
      </c>
      <c r="F10" s="10" t="s">
        <v>69</v>
      </c>
      <c r="G10" s="11" t="s">
        <v>74</v>
      </c>
      <c r="H10" s="10"/>
      <c r="I10" s="10"/>
      <c r="J10" s="10"/>
      <c r="K10" s="10"/>
      <c r="L10" s="10">
        <v>265</v>
      </c>
      <c r="M10" s="10"/>
      <c r="N10" s="10"/>
      <c r="O10" s="10"/>
      <c r="P10" s="10"/>
      <c r="Q10" s="10">
        <f>2346</f>
        <v>2346</v>
      </c>
      <c r="R10" s="10"/>
      <c r="S10" s="10"/>
      <c r="T10" s="10"/>
      <c r="U10" s="10"/>
      <c r="V10" s="10">
        <f>1642</f>
        <v>1642</v>
      </c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>
        <v>65.28</v>
      </c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2"/>
    </row>
    <row r="11" ht="68" spans="1:60">
      <c r="A11" s="6">
        <v>7</v>
      </c>
      <c r="B11" s="7" t="s">
        <v>73</v>
      </c>
      <c r="C11" s="8">
        <v>83830</v>
      </c>
      <c r="D11" s="8">
        <v>83910</v>
      </c>
      <c r="E11" s="9">
        <f t="shared" si="0"/>
        <v>80</v>
      </c>
      <c r="F11" s="10" t="s">
        <v>69</v>
      </c>
      <c r="G11" s="11" t="s">
        <v>75</v>
      </c>
      <c r="H11" s="10"/>
      <c r="I11" s="10"/>
      <c r="J11" s="10"/>
      <c r="K11" s="10"/>
      <c r="L11" s="10"/>
      <c r="M11" s="10"/>
      <c r="N11" s="10"/>
      <c r="O11" s="10"/>
      <c r="P11" s="10">
        <v>554</v>
      </c>
      <c r="Q11" s="10">
        <f>3599</f>
        <v>3599</v>
      </c>
      <c r="R11" s="10"/>
      <c r="S11" s="10"/>
      <c r="T11" s="10"/>
      <c r="U11" s="10"/>
      <c r="V11" s="10"/>
      <c r="W11" s="10"/>
      <c r="X11" s="10"/>
      <c r="Y11" s="10"/>
      <c r="Z11" s="10"/>
      <c r="AA11" s="10">
        <v>6</v>
      </c>
      <c r="AB11" s="10"/>
      <c r="AC11" s="10"/>
      <c r="AD11" s="10"/>
      <c r="AE11" s="10"/>
      <c r="AF11" s="10">
        <f>45+971</f>
        <v>1016</v>
      </c>
      <c r="AG11" s="10"/>
      <c r="AH11" s="10"/>
      <c r="AI11" s="10"/>
      <c r="AJ11" s="10"/>
      <c r="AK11" s="10">
        <v>560</v>
      </c>
      <c r="AL11" s="10">
        <v>1120</v>
      </c>
      <c r="AM11" s="10">
        <v>1177</v>
      </c>
      <c r="AN11" s="10">
        <v>4740</v>
      </c>
      <c r="AO11" s="10">
        <f>22+156</f>
        <v>178</v>
      </c>
      <c r="AP11" s="10">
        <v>14</v>
      </c>
      <c r="AQ11" s="10">
        <v>1.104</v>
      </c>
      <c r="AR11" s="10"/>
      <c r="AS11" s="10">
        <v>202</v>
      </c>
      <c r="AT11" s="10"/>
      <c r="AU11" s="10"/>
      <c r="AV11" s="10">
        <v>0.08</v>
      </c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2"/>
    </row>
    <row r="12" ht="90" customHeight="1" spans="1:60">
      <c r="A12" s="13"/>
      <c r="B12" s="14" t="s">
        <v>76</v>
      </c>
      <c r="C12" s="15">
        <v>85400</v>
      </c>
      <c r="D12" s="15">
        <v>85465</v>
      </c>
      <c r="E12" s="16">
        <f t="shared" si="0"/>
        <v>65</v>
      </c>
      <c r="F12" s="17" t="s">
        <v>67</v>
      </c>
      <c r="G12" s="18"/>
      <c r="H12" s="17">
        <v>3418</v>
      </c>
      <c r="I12" s="17">
        <v>8047</v>
      </c>
      <c r="J12" s="17">
        <v>6227</v>
      </c>
      <c r="K12" s="17">
        <v>2765</v>
      </c>
      <c r="L12" s="17"/>
      <c r="M12" s="17">
        <v>1862</v>
      </c>
      <c r="N12" s="17"/>
      <c r="O12" s="17"/>
      <c r="P12" s="17"/>
      <c r="Q12" s="17">
        <f>21279+3625</f>
        <v>24904</v>
      </c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9"/>
    </row>
    <row r="13" ht="90" customHeight="1" spans="1:60">
      <c r="A13" s="13"/>
      <c r="B13" s="14" t="s">
        <v>77</v>
      </c>
      <c r="C13" s="15">
        <v>90350</v>
      </c>
      <c r="D13" s="15">
        <v>91054.5</v>
      </c>
      <c r="E13" s="16">
        <f t="shared" si="0"/>
        <v>704.5</v>
      </c>
      <c r="F13" s="17" t="s">
        <v>67</v>
      </c>
      <c r="G13" s="18"/>
      <c r="H13" s="17">
        <v>4580</v>
      </c>
      <c r="I13" s="17">
        <v>8829</v>
      </c>
      <c r="J13" s="17">
        <v>11839</v>
      </c>
      <c r="K13" s="17">
        <v>10470</v>
      </c>
      <c r="L13" s="17"/>
      <c r="M13" s="17">
        <v>265</v>
      </c>
      <c r="N13" s="17"/>
      <c r="O13" s="17"/>
      <c r="P13" s="17"/>
      <c r="Q13" s="17">
        <f>15868+4501</f>
        <v>20369</v>
      </c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9"/>
    </row>
    <row r="14" ht="50.25" customHeight="1" spans="1:60">
      <c r="A14" s="6">
        <v>8</v>
      </c>
      <c r="B14" s="7" t="s">
        <v>78</v>
      </c>
      <c r="C14" s="8">
        <v>98500</v>
      </c>
      <c r="D14" s="8">
        <v>99370</v>
      </c>
      <c r="E14" s="9">
        <f t="shared" si="0"/>
        <v>870</v>
      </c>
      <c r="F14" s="10" t="s">
        <v>61</v>
      </c>
      <c r="G14" s="11" t="s">
        <v>70</v>
      </c>
      <c r="H14" s="10"/>
      <c r="I14" s="10"/>
      <c r="J14" s="10"/>
      <c r="K14" s="10"/>
      <c r="L14" s="10">
        <f>79+66+88</f>
        <v>233</v>
      </c>
      <c r="M14" s="10"/>
      <c r="N14" s="10"/>
      <c r="O14" s="10"/>
      <c r="P14" s="10"/>
      <c r="Q14" s="10">
        <f>1290+672+1279</f>
        <v>3241</v>
      </c>
      <c r="R14" s="10"/>
      <c r="S14" s="10"/>
      <c r="T14" s="10"/>
      <c r="U14" s="10"/>
      <c r="V14" s="10">
        <f>375+41+249+331</f>
        <v>996</v>
      </c>
      <c r="W14" s="10"/>
      <c r="X14" s="10"/>
      <c r="Y14" s="10"/>
      <c r="Z14" s="10"/>
      <c r="AA14" s="10">
        <v>43</v>
      </c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>
        <v>118</v>
      </c>
      <c r="AQ14" s="10">
        <v>7.4</v>
      </c>
      <c r="AR14" s="10"/>
      <c r="AS14" s="10">
        <v>1354</v>
      </c>
      <c r="AT14" s="10"/>
      <c r="AU14" s="10">
        <v>105</v>
      </c>
      <c r="AV14" s="10">
        <f>0.535+16.181+4.803+13.467+17.897</f>
        <v>52.883</v>
      </c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2"/>
    </row>
    <row r="15" ht="90" customHeight="1" spans="1:60">
      <c r="A15" s="13"/>
      <c r="B15" s="14" t="s">
        <v>79</v>
      </c>
      <c r="C15" s="15">
        <v>101228</v>
      </c>
      <c r="D15" s="15">
        <v>101594</v>
      </c>
      <c r="E15" s="16">
        <f t="shared" si="0"/>
        <v>366</v>
      </c>
      <c r="F15" s="17" t="s">
        <v>67</v>
      </c>
      <c r="G15" s="18"/>
      <c r="H15" s="17">
        <v>150</v>
      </c>
      <c r="I15" s="17">
        <v>203</v>
      </c>
      <c r="J15" s="17">
        <v>98</v>
      </c>
      <c r="K15" s="17">
        <v>5003</v>
      </c>
      <c r="L15" s="17"/>
      <c r="M15" s="17"/>
      <c r="N15" s="17"/>
      <c r="O15" s="17"/>
      <c r="P15" s="17"/>
      <c r="Q15" s="17">
        <f>1788+744</f>
        <v>2532</v>
      </c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9"/>
    </row>
    <row r="16" ht="64.5" customHeight="1" spans="1:60">
      <c r="A16" s="6">
        <v>9</v>
      </c>
      <c r="B16" s="7" t="s">
        <v>80</v>
      </c>
      <c r="C16" s="8">
        <v>102950</v>
      </c>
      <c r="D16" s="8">
        <v>103950</v>
      </c>
      <c r="E16" s="9">
        <f t="shared" si="0"/>
        <v>1000</v>
      </c>
      <c r="F16" s="10" t="s">
        <v>81</v>
      </c>
      <c r="G16" s="11" t="s">
        <v>82</v>
      </c>
      <c r="H16" s="10"/>
      <c r="I16" s="10"/>
      <c r="J16" s="10"/>
      <c r="K16" s="10"/>
      <c r="L16" s="10">
        <f>110</f>
        <v>110</v>
      </c>
      <c r="M16" s="10"/>
      <c r="N16" s="10"/>
      <c r="O16" s="10"/>
      <c r="P16" s="10"/>
      <c r="Q16" s="10">
        <f>1806</f>
        <v>1806</v>
      </c>
      <c r="R16" s="10"/>
      <c r="S16" s="10"/>
      <c r="T16" s="10"/>
      <c r="U16" s="10"/>
      <c r="V16" s="10">
        <f>525+22</f>
        <v>547</v>
      </c>
      <c r="W16" s="10"/>
      <c r="X16" s="10"/>
      <c r="Y16" s="10"/>
      <c r="Z16" s="10"/>
      <c r="AA16" s="10">
        <v>40</v>
      </c>
      <c r="AB16" s="10"/>
      <c r="AC16" s="10"/>
      <c r="AD16" s="10"/>
      <c r="AE16" s="10"/>
      <c r="AF16" s="10">
        <f>115+30</f>
        <v>145</v>
      </c>
      <c r="AG16" s="10"/>
      <c r="AH16" s="10"/>
      <c r="AI16" s="10"/>
      <c r="AJ16" s="10">
        <v>830</v>
      </c>
      <c r="AK16" s="10"/>
      <c r="AL16" s="10"/>
      <c r="AM16" s="10"/>
      <c r="AN16" s="10"/>
      <c r="AO16" s="10"/>
      <c r="AP16" s="10">
        <v>184</v>
      </c>
      <c r="AQ16" s="10">
        <v>6.984</v>
      </c>
      <c r="AR16" s="10"/>
      <c r="AS16" s="10">
        <v>1278</v>
      </c>
      <c r="AT16" s="10"/>
      <c r="AU16" s="10">
        <v>146.633</v>
      </c>
      <c r="AV16" s="10">
        <f>0.505+22.654+2.562</f>
        <v>25.721</v>
      </c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2"/>
    </row>
    <row r="17" ht="51" spans="1:60">
      <c r="A17" s="6">
        <v>10</v>
      </c>
      <c r="B17" s="7" t="s">
        <v>80</v>
      </c>
      <c r="C17" s="8">
        <v>107050</v>
      </c>
      <c r="D17" s="8">
        <v>108200</v>
      </c>
      <c r="E17" s="9">
        <f t="shared" si="0"/>
        <v>1150</v>
      </c>
      <c r="F17" s="10" t="s">
        <v>69</v>
      </c>
      <c r="G17" s="11" t="s">
        <v>70</v>
      </c>
      <c r="H17" s="10"/>
      <c r="I17" s="10"/>
      <c r="J17" s="10"/>
      <c r="K17" s="10"/>
      <c r="L17" s="10">
        <f>154+31</f>
        <v>185</v>
      </c>
      <c r="M17" s="10"/>
      <c r="N17" s="10"/>
      <c r="O17" s="10"/>
      <c r="P17" s="10"/>
      <c r="Q17" s="10">
        <f>2516+316</f>
        <v>2832</v>
      </c>
      <c r="R17" s="10"/>
      <c r="S17" s="10"/>
      <c r="T17" s="10"/>
      <c r="U17" s="10"/>
      <c r="V17" s="10">
        <f>732+80+117</f>
        <v>929</v>
      </c>
      <c r="W17" s="10"/>
      <c r="X17" s="10"/>
      <c r="Y17" s="10"/>
      <c r="Z17" s="10"/>
      <c r="AA17" s="10">
        <v>56</v>
      </c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>
        <v>240</v>
      </c>
      <c r="AQ17" s="10">
        <v>9.793</v>
      </c>
      <c r="AR17" s="10"/>
      <c r="AS17" s="10">
        <v>1792</v>
      </c>
      <c r="AT17" s="10"/>
      <c r="AU17" s="10">
        <v>204.82</v>
      </c>
      <c r="AV17" s="10">
        <f>31.564+9.369+6.331</f>
        <v>47.264</v>
      </c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2"/>
    </row>
    <row r="18" ht="68" spans="1:60">
      <c r="A18" s="6">
        <v>11</v>
      </c>
      <c r="B18" s="7" t="s">
        <v>80</v>
      </c>
      <c r="C18" s="8">
        <v>110700</v>
      </c>
      <c r="D18" s="8">
        <v>110950</v>
      </c>
      <c r="E18" s="9">
        <f t="shared" si="0"/>
        <v>250</v>
      </c>
      <c r="F18" s="10" t="s">
        <v>69</v>
      </c>
      <c r="G18" s="11" t="s">
        <v>83</v>
      </c>
      <c r="H18" s="10"/>
      <c r="I18" s="10"/>
      <c r="J18" s="10"/>
      <c r="K18" s="10">
        <v>202</v>
      </c>
      <c r="L18" s="10">
        <f>39</f>
        <v>39</v>
      </c>
      <c r="M18" s="10"/>
      <c r="N18" s="10"/>
      <c r="O18" s="10"/>
      <c r="P18" s="10"/>
      <c r="Q18" s="10">
        <f>1198+420+344</f>
        <v>1962</v>
      </c>
      <c r="R18" s="10"/>
      <c r="S18" s="10"/>
      <c r="T18" s="10"/>
      <c r="U18" s="10"/>
      <c r="V18" s="10">
        <f>8+207+100</f>
        <v>315</v>
      </c>
      <c r="W18" s="10"/>
      <c r="X18" s="10"/>
      <c r="Y18" s="10"/>
      <c r="Z18" s="10"/>
      <c r="AA18" s="10">
        <v>8</v>
      </c>
      <c r="AB18" s="10"/>
      <c r="AC18" s="10"/>
      <c r="AD18" s="10"/>
      <c r="AE18" s="10"/>
      <c r="AF18" s="10">
        <f>75+120</f>
        <v>195</v>
      </c>
      <c r="AG18" s="10"/>
      <c r="AH18" s="10"/>
      <c r="AI18" s="10"/>
      <c r="AJ18" s="10"/>
      <c r="AK18" s="10"/>
      <c r="AL18" s="10"/>
      <c r="AM18" s="10"/>
      <c r="AN18" s="10"/>
      <c r="AO18" s="10"/>
      <c r="AP18" s="10">
        <v>34</v>
      </c>
      <c r="AQ18" s="10">
        <v>1.377</v>
      </c>
      <c r="AR18" s="10"/>
      <c r="AS18" s="10">
        <v>252</v>
      </c>
      <c r="AT18" s="10"/>
      <c r="AU18" s="10">
        <v>28</v>
      </c>
      <c r="AV18" s="10">
        <f>0.1+8.19+4.315</f>
        <v>12.605</v>
      </c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2"/>
    </row>
    <row r="19" ht="84" spans="1:60">
      <c r="A19" s="6">
        <v>12</v>
      </c>
      <c r="B19" s="7" t="s">
        <v>80</v>
      </c>
      <c r="C19" s="8">
        <v>111657</v>
      </c>
      <c r="D19" s="8">
        <v>113000</v>
      </c>
      <c r="E19" s="9">
        <f t="shared" si="0"/>
        <v>1343</v>
      </c>
      <c r="F19" s="10" t="s">
        <v>69</v>
      </c>
      <c r="G19" s="11" t="s">
        <v>84</v>
      </c>
      <c r="H19" s="10"/>
      <c r="I19" s="10"/>
      <c r="J19" s="10"/>
      <c r="K19" s="10"/>
      <c r="L19" s="10">
        <f>71</f>
        <v>71</v>
      </c>
      <c r="M19" s="10"/>
      <c r="N19" s="10">
        <v>560</v>
      </c>
      <c r="O19" s="10"/>
      <c r="P19" s="10"/>
      <c r="Q19" s="10">
        <f>630+394+88+2240+621+11</f>
        <v>3984</v>
      </c>
      <c r="R19" s="10"/>
      <c r="S19" s="10"/>
      <c r="T19" s="10"/>
      <c r="U19" s="10"/>
      <c r="V19" s="10">
        <f>274+391</f>
        <v>665</v>
      </c>
      <c r="W19" s="10"/>
      <c r="X19" s="10"/>
      <c r="Y19" s="10"/>
      <c r="Z19" s="10"/>
      <c r="AA19" s="10">
        <v>88</v>
      </c>
      <c r="AB19" s="10"/>
      <c r="AC19" s="10">
        <v>12</v>
      </c>
      <c r="AD19" s="10"/>
      <c r="AE19" s="10"/>
      <c r="AF19" s="10">
        <f>1260+121+165+2940+7</f>
        <v>4493</v>
      </c>
      <c r="AG19" s="10"/>
      <c r="AH19" s="10"/>
      <c r="AI19" s="10"/>
      <c r="AJ19" s="10"/>
      <c r="AK19" s="10"/>
      <c r="AL19" s="10"/>
      <c r="AM19" s="10"/>
      <c r="AN19" s="10"/>
      <c r="AO19" s="10"/>
      <c r="AP19" s="10">
        <v>188</v>
      </c>
      <c r="AQ19" s="10">
        <v>15.313</v>
      </c>
      <c r="AR19" s="10"/>
      <c r="AS19" s="10">
        <v>2802</v>
      </c>
      <c r="AT19" s="10"/>
      <c r="AU19" s="10">
        <v>70.56</v>
      </c>
      <c r="AV19" s="10">
        <f>1.107+15.803</f>
        <v>16.91</v>
      </c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2"/>
    </row>
    <row r="20" ht="90" customHeight="1" spans="1:60">
      <c r="A20" s="13"/>
      <c r="B20" s="14" t="s">
        <v>85</v>
      </c>
      <c r="C20" s="15">
        <v>116100</v>
      </c>
      <c r="D20" s="15">
        <v>116683</v>
      </c>
      <c r="E20" s="16">
        <f t="shared" si="0"/>
        <v>583</v>
      </c>
      <c r="F20" s="17" t="s">
        <v>67</v>
      </c>
      <c r="G20" s="18"/>
      <c r="H20" s="17">
        <v>1758</v>
      </c>
      <c r="I20" s="17">
        <v>910</v>
      </c>
      <c r="J20" s="17"/>
      <c r="K20" s="17">
        <v>17523</v>
      </c>
      <c r="L20" s="17"/>
      <c r="M20" s="17">
        <v>9700</v>
      </c>
      <c r="N20" s="17"/>
      <c r="O20" s="17"/>
      <c r="P20" s="17"/>
      <c r="Q20" s="17">
        <f>4227+3045</f>
        <v>7272</v>
      </c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9"/>
    </row>
    <row r="21" ht="51" spans="1:60">
      <c r="A21" s="6">
        <v>13</v>
      </c>
      <c r="B21" s="7" t="s">
        <v>86</v>
      </c>
      <c r="C21" s="8">
        <v>117700</v>
      </c>
      <c r="D21" s="8">
        <v>118140</v>
      </c>
      <c r="E21" s="9">
        <f t="shared" si="0"/>
        <v>440</v>
      </c>
      <c r="F21" s="10" t="s">
        <v>69</v>
      </c>
      <c r="G21" s="11" t="s">
        <v>70</v>
      </c>
      <c r="H21" s="10"/>
      <c r="I21" s="10"/>
      <c r="J21" s="10"/>
      <c r="K21" s="10"/>
      <c r="L21" s="10">
        <f>51+20</f>
        <v>71</v>
      </c>
      <c r="M21" s="10"/>
      <c r="N21" s="10"/>
      <c r="O21" s="10"/>
      <c r="P21" s="10"/>
      <c r="Q21" s="10">
        <f>843+201+11</f>
        <v>1055</v>
      </c>
      <c r="R21" s="10"/>
      <c r="S21" s="10"/>
      <c r="T21" s="10"/>
      <c r="U21" s="10"/>
      <c r="V21" s="10">
        <f>245+75</f>
        <v>320</v>
      </c>
      <c r="W21" s="10"/>
      <c r="X21" s="10"/>
      <c r="Y21" s="10"/>
      <c r="Z21" s="10"/>
      <c r="AA21" s="10">
        <v>20</v>
      </c>
      <c r="AB21" s="10"/>
      <c r="AC21" s="10"/>
      <c r="AD21" s="10"/>
      <c r="AE21" s="10"/>
      <c r="AF21" s="10">
        <v>7</v>
      </c>
      <c r="AG21" s="10"/>
      <c r="AH21" s="10"/>
      <c r="AI21" s="10"/>
      <c r="AJ21" s="10"/>
      <c r="AK21" s="10"/>
      <c r="AL21" s="10"/>
      <c r="AM21" s="10"/>
      <c r="AN21" s="10"/>
      <c r="AO21" s="10"/>
      <c r="AP21" s="10">
        <v>94</v>
      </c>
      <c r="AQ21" s="10">
        <v>3.454</v>
      </c>
      <c r="AR21" s="10"/>
      <c r="AS21" s="10">
        <v>632</v>
      </c>
      <c r="AT21" s="10"/>
      <c r="AU21" s="10">
        <v>686</v>
      </c>
      <c r="AV21" s="10">
        <f>0.25+10.572+4.027</f>
        <v>14.849</v>
      </c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2"/>
    </row>
    <row r="22" ht="135" spans="1:60">
      <c r="A22" s="6">
        <v>14</v>
      </c>
      <c r="B22" s="7" t="s">
        <v>86</v>
      </c>
      <c r="C22" s="8">
        <v>118100</v>
      </c>
      <c r="D22" s="8">
        <v>119700</v>
      </c>
      <c r="E22" s="9">
        <f t="shared" si="0"/>
        <v>1600</v>
      </c>
      <c r="F22" s="10" t="s">
        <v>61</v>
      </c>
      <c r="G22" s="11" t="s">
        <v>87</v>
      </c>
      <c r="H22" s="10">
        <f>5662+738</f>
        <v>6400</v>
      </c>
      <c r="I22" s="10">
        <v>5187</v>
      </c>
      <c r="J22" s="10">
        <v>4072</v>
      </c>
      <c r="K22" s="10">
        <v>10188</v>
      </c>
      <c r="L22" s="10">
        <f>220+42+161</f>
        <v>423</v>
      </c>
      <c r="M22" s="10"/>
      <c r="N22" s="10">
        <f>1106+72</f>
        <v>1178</v>
      </c>
      <c r="O22" s="10"/>
      <c r="P22" s="10"/>
      <c r="Q22" s="10">
        <f>1455+105311+421+207+736+18+164+3602+424+2337+3+44</f>
        <v>114722</v>
      </c>
      <c r="R22" s="10">
        <f>11619+2589+159</f>
        <v>14367</v>
      </c>
      <c r="S22" s="10">
        <v>40435</v>
      </c>
      <c r="T22" s="10">
        <v>141931</v>
      </c>
      <c r="U22" s="10"/>
      <c r="V22" s="10">
        <f>79+11+176+59+78+18+1047+157+605+3+2</f>
        <v>2235</v>
      </c>
      <c r="W22" s="10"/>
      <c r="X22" s="10"/>
      <c r="Y22" s="10"/>
      <c r="Z22" s="10"/>
      <c r="AA22" s="10"/>
      <c r="AB22" s="10">
        <v>12</v>
      </c>
      <c r="AC22" s="10">
        <f>29+285</f>
        <v>314</v>
      </c>
      <c r="AD22" s="10">
        <f>218+75</f>
        <v>293</v>
      </c>
      <c r="AE22" s="10"/>
      <c r="AF22" s="10">
        <f>250+30+342+350+10779+160+215+1261+27</f>
        <v>13414</v>
      </c>
      <c r="AG22" s="10">
        <v>28</v>
      </c>
      <c r="AH22" s="10"/>
      <c r="AI22" s="10">
        <v>5499</v>
      </c>
      <c r="AJ22" s="10"/>
      <c r="AK22" s="10"/>
      <c r="AL22" s="10"/>
      <c r="AM22" s="10"/>
      <c r="AN22" s="10"/>
      <c r="AO22" s="10"/>
      <c r="AP22" s="10">
        <v>48</v>
      </c>
      <c r="AQ22" s="10">
        <v>9.148</v>
      </c>
      <c r="AR22" s="10">
        <f>6.382</f>
        <v>6.382</v>
      </c>
      <c r="AS22" s="10">
        <v>372</v>
      </c>
      <c r="AT22" s="10">
        <v>480</v>
      </c>
      <c r="AU22" s="10"/>
      <c r="AV22" s="10">
        <f>0.184+0.575+4.133+0.147+45.178+8.501+32.705</f>
        <v>91.423</v>
      </c>
      <c r="AW22" s="10"/>
      <c r="AX22" s="10">
        <v>23.656</v>
      </c>
      <c r="AY22" s="10">
        <v>12.403</v>
      </c>
      <c r="AZ22" s="10"/>
      <c r="BA22" s="10"/>
      <c r="BB22" s="10">
        <v>0.107</v>
      </c>
      <c r="BC22" s="10">
        <v>0.026</v>
      </c>
      <c r="BD22" s="10"/>
      <c r="BE22" s="10">
        <v>7646</v>
      </c>
      <c r="BF22" s="10"/>
      <c r="BG22" s="10"/>
      <c r="BH22" s="12"/>
    </row>
    <row r="23" ht="135" spans="1:60">
      <c r="A23" s="6">
        <v>15</v>
      </c>
      <c r="B23" s="7" t="s">
        <v>86</v>
      </c>
      <c r="C23" s="8">
        <v>120600</v>
      </c>
      <c r="D23" s="8">
        <v>121484</v>
      </c>
      <c r="E23" s="9">
        <f t="shared" si="0"/>
        <v>884</v>
      </c>
      <c r="F23" s="10" t="s">
        <v>61</v>
      </c>
      <c r="G23" s="11" t="s">
        <v>87</v>
      </c>
      <c r="H23" s="10">
        <v>2144</v>
      </c>
      <c r="I23" s="10">
        <v>2169</v>
      </c>
      <c r="J23" s="10">
        <v>583</v>
      </c>
      <c r="K23" s="10">
        <v>329</v>
      </c>
      <c r="L23" s="10">
        <f>74+33+47</f>
        <v>154</v>
      </c>
      <c r="M23" s="10"/>
      <c r="N23" s="10"/>
      <c r="O23" s="10"/>
      <c r="P23" s="10"/>
      <c r="Q23" s="10">
        <f>90+18454+119+42+1204+335+686+3+33</f>
        <v>20966</v>
      </c>
      <c r="R23" s="10">
        <f>23185+382</f>
        <v>23567</v>
      </c>
      <c r="S23" s="10"/>
      <c r="T23" s="10"/>
      <c r="U23" s="10"/>
      <c r="V23" s="10">
        <f>22+26+424+141+164+79+350+124+178+3+2</f>
        <v>1513</v>
      </c>
      <c r="W23" s="10"/>
      <c r="X23" s="10"/>
      <c r="Y23" s="10"/>
      <c r="Z23" s="10"/>
      <c r="AA23" s="10"/>
      <c r="AB23" s="10">
        <f>23</f>
        <v>23</v>
      </c>
      <c r="AC23" s="10"/>
      <c r="AD23" s="10">
        <v>180</v>
      </c>
      <c r="AE23" s="10"/>
      <c r="AF23" s="10">
        <f>63+63+97+335+420+20</f>
        <v>998</v>
      </c>
      <c r="AG23" s="10">
        <f>77</f>
        <v>77</v>
      </c>
      <c r="AH23" s="10"/>
      <c r="AI23" s="10">
        <f>1978</f>
        <v>1978</v>
      </c>
      <c r="AJ23" s="10"/>
      <c r="AK23" s="10"/>
      <c r="AL23" s="10"/>
      <c r="AM23" s="10"/>
      <c r="AN23" s="10"/>
      <c r="AO23" s="10"/>
      <c r="AP23" s="10">
        <v>42</v>
      </c>
      <c r="AQ23" s="10">
        <v>17.903</v>
      </c>
      <c r="AR23" s="10">
        <f>26.662</f>
        <v>26.662</v>
      </c>
      <c r="AS23" s="10">
        <v>728</v>
      </c>
      <c r="AT23" s="10">
        <f>2036</f>
        <v>2036</v>
      </c>
      <c r="AU23" s="10"/>
      <c r="AV23" s="10">
        <f>1.594+9.945+0.288+15.103+6.711+9.605</f>
        <v>43.246</v>
      </c>
      <c r="AW23" s="10"/>
      <c r="AX23" s="10">
        <f>56.922</f>
        <v>56.922</v>
      </c>
      <c r="AY23" s="10">
        <f>33.569</f>
        <v>33.569</v>
      </c>
      <c r="AZ23" s="10"/>
      <c r="BA23" s="10"/>
      <c r="BB23" s="10">
        <v>0.258</v>
      </c>
      <c r="BC23" s="10">
        <f>0.062</f>
        <v>0.062</v>
      </c>
      <c r="BD23" s="10"/>
      <c r="BE23" s="10">
        <v>440</v>
      </c>
      <c r="BF23" s="10"/>
      <c r="BG23" s="10"/>
      <c r="BH23" s="12"/>
    </row>
    <row r="24" ht="51" spans="1:60">
      <c r="A24" s="6">
        <v>16</v>
      </c>
      <c r="B24" s="7" t="s">
        <v>86</v>
      </c>
      <c r="C24" s="8">
        <v>126800</v>
      </c>
      <c r="D24" s="8">
        <v>127500</v>
      </c>
      <c r="E24" s="9">
        <f t="shared" si="0"/>
        <v>700</v>
      </c>
      <c r="F24" s="10" t="s">
        <v>69</v>
      </c>
      <c r="G24" s="11" t="s">
        <v>70</v>
      </c>
      <c r="H24" s="10"/>
      <c r="I24" s="10"/>
      <c r="J24" s="10"/>
      <c r="K24" s="10"/>
      <c r="L24" s="10">
        <f>110</f>
        <v>110</v>
      </c>
      <c r="M24" s="10"/>
      <c r="N24" s="10"/>
      <c r="O24" s="10"/>
      <c r="P24" s="10"/>
      <c r="Q24" s="10">
        <f>1114+11</f>
        <v>1125</v>
      </c>
      <c r="R24" s="10"/>
      <c r="S24" s="10"/>
      <c r="T24" s="10"/>
      <c r="U24" s="10"/>
      <c r="V24" s="10">
        <f>414</f>
        <v>414</v>
      </c>
      <c r="W24" s="10"/>
      <c r="X24" s="10"/>
      <c r="Y24" s="10"/>
      <c r="Z24" s="10"/>
      <c r="AA24" s="10">
        <v>32</v>
      </c>
      <c r="AB24" s="10"/>
      <c r="AC24" s="10"/>
      <c r="AD24" s="10"/>
      <c r="AE24" s="10"/>
      <c r="AF24" s="10">
        <f>7</f>
        <v>7</v>
      </c>
      <c r="AG24" s="10"/>
      <c r="AH24" s="10"/>
      <c r="AI24" s="10"/>
      <c r="AJ24" s="10"/>
      <c r="AK24" s="10"/>
      <c r="AL24" s="10"/>
      <c r="AM24" s="10"/>
      <c r="AN24" s="10"/>
      <c r="AO24" s="10"/>
      <c r="AP24" s="10">
        <v>134</v>
      </c>
      <c r="AQ24" s="10">
        <v>5.476</v>
      </c>
      <c r="AR24" s="10"/>
      <c r="AS24" s="10">
        <v>1002</v>
      </c>
      <c r="AT24" s="10"/>
      <c r="AU24" s="10"/>
      <c r="AV24" s="10">
        <f>0.396+22.349</f>
        <v>22.745</v>
      </c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2"/>
    </row>
    <row r="25" ht="90" customHeight="1" spans="1:60">
      <c r="A25" s="13"/>
      <c r="B25" s="14" t="s">
        <v>88</v>
      </c>
      <c r="C25" s="15">
        <v>133611.99</v>
      </c>
      <c r="D25" s="15">
        <v>134151.01</v>
      </c>
      <c r="E25" s="16">
        <f t="shared" si="0"/>
        <v>539.020000000019</v>
      </c>
      <c r="F25" s="17" t="s">
        <v>67</v>
      </c>
      <c r="G25" s="18"/>
      <c r="H25" s="17">
        <v>1362</v>
      </c>
      <c r="I25" s="17">
        <v>2106</v>
      </c>
      <c r="J25" s="17">
        <v>1400</v>
      </c>
      <c r="K25" s="17">
        <v>29056</v>
      </c>
      <c r="L25" s="17"/>
      <c r="M25" s="17">
        <v>93</v>
      </c>
      <c r="N25" s="17"/>
      <c r="O25" s="17"/>
      <c r="P25" s="17"/>
      <c r="Q25" s="17">
        <f>3652+3759</f>
        <v>7411</v>
      </c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9"/>
    </row>
    <row r="26" ht="152" spans="1:60">
      <c r="A26" s="6">
        <v>17</v>
      </c>
      <c r="B26" s="7" t="s">
        <v>89</v>
      </c>
      <c r="C26" s="8">
        <v>135000</v>
      </c>
      <c r="D26" s="8">
        <v>136200</v>
      </c>
      <c r="E26" s="9">
        <f t="shared" si="0"/>
        <v>1200</v>
      </c>
      <c r="F26" s="10" t="s">
        <v>61</v>
      </c>
      <c r="G26" s="11" t="s">
        <v>90</v>
      </c>
      <c r="H26" s="10">
        <f>4089+33</f>
        <v>4122</v>
      </c>
      <c r="I26" s="10">
        <v>7933</v>
      </c>
      <c r="J26" s="10">
        <v>6054</v>
      </c>
      <c r="K26" s="10">
        <v>12218</v>
      </c>
      <c r="L26" s="10">
        <f>44+109+13</f>
        <v>166</v>
      </c>
      <c r="M26" s="10"/>
      <c r="N26" s="10"/>
      <c r="O26" s="10"/>
      <c r="P26" s="10"/>
      <c r="Q26" s="10">
        <f>848+14816+17878+420+484+187+724+134</f>
        <v>35491</v>
      </c>
      <c r="R26" s="10">
        <f>10208+187+249+63+192</f>
        <v>10899</v>
      </c>
      <c r="S26" s="10"/>
      <c r="T26" s="10"/>
      <c r="U26" s="10"/>
      <c r="V26" s="10">
        <f>38+211+463+50</f>
        <v>762</v>
      </c>
      <c r="W26" s="10"/>
      <c r="X26" s="10"/>
      <c r="Y26" s="10"/>
      <c r="Z26" s="10"/>
      <c r="AA26" s="10">
        <v>13</v>
      </c>
      <c r="AB26" s="10"/>
      <c r="AC26" s="10">
        <f>69+30</f>
        <v>99</v>
      </c>
      <c r="AD26" s="10">
        <f>23</f>
        <v>23</v>
      </c>
      <c r="AE26" s="10"/>
      <c r="AF26" s="10">
        <f>470+31+382+968+1437+253</f>
        <v>3541</v>
      </c>
      <c r="AG26" s="10"/>
      <c r="AH26" s="10"/>
      <c r="AI26" s="10">
        <f>6909</f>
        <v>6909</v>
      </c>
      <c r="AJ26" s="10"/>
      <c r="AK26" s="10"/>
      <c r="AL26" s="10"/>
      <c r="AM26" s="10"/>
      <c r="AN26" s="10"/>
      <c r="AO26" s="10"/>
      <c r="AP26" s="10">
        <v>27</v>
      </c>
      <c r="AQ26" s="10">
        <v>10.427</v>
      </c>
      <c r="AR26" s="10"/>
      <c r="AS26" s="10">
        <v>424</v>
      </c>
      <c r="AT26" s="10"/>
      <c r="AU26" s="10"/>
      <c r="AV26" s="10">
        <f>0.087+9.083+22.331+2.685</f>
        <v>34.186</v>
      </c>
      <c r="AW26" s="10"/>
      <c r="AX26" s="10"/>
      <c r="AY26" s="10"/>
      <c r="AZ26" s="10"/>
      <c r="BA26" s="10"/>
      <c r="BB26" s="10"/>
      <c r="BC26" s="10"/>
      <c r="BD26" s="10">
        <v>2708</v>
      </c>
      <c r="BE26" s="10">
        <v>9921</v>
      </c>
      <c r="BF26" s="10"/>
      <c r="BG26" s="10"/>
      <c r="BH26" s="12"/>
    </row>
    <row r="27" ht="141" customHeight="1" spans="1:60">
      <c r="A27" s="6">
        <v>18</v>
      </c>
      <c r="B27" s="7" t="s">
        <v>89</v>
      </c>
      <c r="C27" s="8">
        <v>136700</v>
      </c>
      <c r="D27" s="8">
        <v>137780</v>
      </c>
      <c r="E27" s="9">
        <f t="shared" si="0"/>
        <v>1080</v>
      </c>
      <c r="F27" s="10" t="s">
        <v>61</v>
      </c>
      <c r="G27" s="11" t="s">
        <v>91</v>
      </c>
      <c r="H27" s="10">
        <f>4543+643+135</f>
        <v>5321</v>
      </c>
      <c r="I27" s="10">
        <f>6502</f>
        <v>6502</v>
      </c>
      <c r="J27" s="10">
        <v>7536</v>
      </c>
      <c r="K27" s="10">
        <v>10752</v>
      </c>
      <c r="L27" s="10">
        <f>1534+151+97+19+56</f>
        <v>1857</v>
      </c>
      <c r="M27" s="10"/>
      <c r="N27" s="10">
        <f>198+205</f>
        <v>403</v>
      </c>
      <c r="O27" s="10">
        <v>4252</v>
      </c>
      <c r="P27" s="10"/>
      <c r="Q27" s="10">
        <f>25671+17393+293+291+468+1496+483+1586+189+914+55</f>
        <v>48839</v>
      </c>
      <c r="R27" s="10">
        <f>291+388+3490</f>
        <v>4169</v>
      </c>
      <c r="S27" s="10">
        <v>13140</v>
      </c>
      <c r="T27" s="10"/>
      <c r="U27" s="10"/>
      <c r="V27" s="10">
        <f>104+28+66+461+70+266</f>
        <v>995</v>
      </c>
      <c r="W27" s="10"/>
      <c r="X27" s="10">
        <f>3460+70</f>
        <v>3530</v>
      </c>
      <c r="Y27" s="10"/>
      <c r="Z27" s="10">
        <v>127</v>
      </c>
      <c r="AA27" s="10"/>
      <c r="AB27" s="10">
        <f>6</f>
        <v>6</v>
      </c>
      <c r="AC27" s="10">
        <v>51</v>
      </c>
      <c r="AD27" s="10">
        <v>39</v>
      </c>
      <c r="AE27" s="10"/>
      <c r="AF27" s="10">
        <f>398+27+301+1996+614+510+34</f>
        <v>3880</v>
      </c>
      <c r="AG27" s="10"/>
      <c r="AH27" s="10">
        <v>7</v>
      </c>
      <c r="AI27" s="10">
        <f>2550+9302</f>
        <v>11852</v>
      </c>
      <c r="AJ27" s="10"/>
      <c r="AK27" s="10"/>
      <c r="AL27" s="10"/>
      <c r="AM27" s="10"/>
      <c r="AN27" s="10"/>
      <c r="AO27" s="10"/>
      <c r="AP27" s="10">
        <v>30</v>
      </c>
      <c r="AQ27" s="10">
        <f>4.968</f>
        <v>4.968</v>
      </c>
      <c r="AR27" s="10"/>
      <c r="AS27" s="10">
        <f>202</f>
        <v>202</v>
      </c>
      <c r="AT27" s="10"/>
      <c r="AU27" s="10">
        <f>5.027</f>
        <v>5.027</v>
      </c>
      <c r="AV27" s="10">
        <f>0.041+0.08+0.093+3.456+19.892+3.781+11.462</f>
        <v>38.805</v>
      </c>
      <c r="AW27" s="10"/>
      <c r="AX27" s="10"/>
      <c r="AY27" s="10"/>
      <c r="AZ27" s="10"/>
      <c r="BA27" s="10">
        <v>4.414</v>
      </c>
      <c r="BB27" s="10"/>
      <c r="BC27" s="10"/>
      <c r="BD27" s="10"/>
      <c r="BE27" s="10">
        <v>396</v>
      </c>
      <c r="BF27" s="10">
        <f>39529</f>
        <v>39529</v>
      </c>
      <c r="BG27" s="10"/>
      <c r="BH27" s="12"/>
    </row>
    <row r="28" ht="118" spans="1:60">
      <c r="A28" s="6">
        <v>19</v>
      </c>
      <c r="B28" s="7" t="s">
        <v>89</v>
      </c>
      <c r="C28" s="8">
        <v>139475</v>
      </c>
      <c r="D28" s="8">
        <v>139837</v>
      </c>
      <c r="E28" s="9">
        <f t="shared" si="0"/>
        <v>362</v>
      </c>
      <c r="F28" s="10" t="s">
        <v>61</v>
      </c>
      <c r="G28" s="11" t="s">
        <v>92</v>
      </c>
      <c r="H28" s="10">
        <f>1085+224+135</f>
        <v>1444</v>
      </c>
      <c r="I28" s="10">
        <f>1234</f>
        <v>1234</v>
      </c>
      <c r="J28" s="10"/>
      <c r="K28" s="10"/>
      <c r="L28" s="10">
        <f>620+96+43</f>
        <v>759</v>
      </c>
      <c r="M28" s="10"/>
      <c r="N28" s="10">
        <f>32</f>
        <v>32</v>
      </c>
      <c r="O28" s="10"/>
      <c r="P28" s="10"/>
      <c r="Q28" s="10">
        <f>10017+15400+81+604+448+1565+617+33</f>
        <v>28765</v>
      </c>
      <c r="R28" s="10">
        <f>4528+59+79+1410+3328</f>
        <v>9404</v>
      </c>
      <c r="S28" s="10"/>
      <c r="T28" s="10"/>
      <c r="U28" s="10">
        <f>1963+173+377</f>
        <v>2513</v>
      </c>
      <c r="V28" s="10">
        <f>8+24+11+20+49+455+160+7+2</f>
        <v>736</v>
      </c>
      <c r="W28" s="10"/>
      <c r="X28" s="10">
        <f>1399+50+45</f>
        <v>1494</v>
      </c>
      <c r="Y28" s="10">
        <v>1708</v>
      </c>
      <c r="Z28" s="10">
        <v>53</v>
      </c>
      <c r="AA28" s="10"/>
      <c r="AB28" s="10">
        <f>15</f>
        <v>15</v>
      </c>
      <c r="AC28" s="10">
        <v>8</v>
      </c>
      <c r="AD28" s="10">
        <f>6</f>
        <v>6</v>
      </c>
      <c r="AE28" s="10"/>
      <c r="AF28" s="10">
        <f>73+393+546+20</f>
        <v>1032</v>
      </c>
      <c r="AG28" s="10"/>
      <c r="AH28" s="10">
        <v>3</v>
      </c>
      <c r="AI28" s="10"/>
      <c r="AJ28" s="10">
        <v>79</v>
      </c>
      <c r="AK28" s="10"/>
      <c r="AL28" s="10"/>
      <c r="AM28" s="10"/>
      <c r="AN28" s="10"/>
      <c r="AO28" s="10"/>
      <c r="AP28" s="10">
        <v>34</v>
      </c>
      <c r="AQ28" s="10">
        <f>12.1+8.463</f>
        <v>20.563</v>
      </c>
      <c r="AR28" s="10"/>
      <c r="AS28" s="10">
        <v>492</v>
      </c>
      <c r="AT28" s="10">
        <f>2.525</f>
        <v>2.525</v>
      </c>
      <c r="AU28" s="10"/>
      <c r="AV28" s="10">
        <f>0.036+0.194+0.093+27.78+19.633+8.632</f>
        <v>56.368</v>
      </c>
      <c r="AW28" s="10">
        <f>59.172+36.29</f>
        <v>95.462</v>
      </c>
      <c r="AX28" s="10">
        <f>149.163+73.364</f>
        <v>222.527</v>
      </c>
      <c r="AY28" s="10"/>
      <c r="AZ28" s="10"/>
      <c r="BA28" s="10">
        <v>1.846</v>
      </c>
      <c r="BB28" s="10"/>
      <c r="BC28" s="10"/>
      <c r="BD28" s="10"/>
      <c r="BE28" s="10"/>
      <c r="BF28" s="10"/>
      <c r="BG28" s="10"/>
      <c r="BH28" s="12"/>
    </row>
    <row r="29" ht="118" spans="1:60">
      <c r="A29" s="6">
        <v>20</v>
      </c>
      <c r="B29" s="7" t="s">
        <v>89</v>
      </c>
      <c r="C29" s="8">
        <v>142200</v>
      </c>
      <c r="D29" s="8">
        <v>143700</v>
      </c>
      <c r="E29" s="9">
        <f t="shared" si="0"/>
        <v>1500</v>
      </c>
      <c r="F29" s="10" t="s">
        <v>61</v>
      </c>
      <c r="G29" s="11" t="s">
        <v>93</v>
      </c>
      <c r="H29" s="10">
        <f>1050+339</f>
        <v>1389</v>
      </c>
      <c r="I29" s="10">
        <v>1324</v>
      </c>
      <c r="J29" s="10">
        <v>1158</v>
      </c>
      <c r="K29" s="10">
        <v>2165</v>
      </c>
      <c r="L29" s="10"/>
      <c r="M29" s="10">
        <v>7458</v>
      </c>
      <c r="N29" s="10">
        <f>168</f>
        <v>168</v>
      </c>
      <c r="O29" s="10"/>
      <c r="P29" s="10"/>
      <c r="Q29" s="10">
        <f>8075+72+22+618+786</f>
        <v>9573</v>
      </c>
      <c r="R29" s="10"/>
      <c r="S29" s="10"/>
      <c r="T29" s="10"/>
      <c r="U29" s="10"/>
      <c r="V29" s="10">
        <f>41</f>
        <v>41</v>
      </c>
      <c r="W29" s="10"/>
      <c r="X29" s="10"/>
      <c r="Y29" s="10">
        <v>168</v>
      </c>
      <c r="Z29" s="10"/>
      <c r="AA29" s="10">
        <v>44</v>
      </c>
      <c r="AB29" s="10"/>
      <c r="AC29" s="10">
        <v>3</v>
      </c>
      <c r="AD29" s="10"/>
      <c r="AE29" s="10"/>
      <c r="AF29" s="10">
        <f>351+311+31+41+1357+750</f>
        <v>2841</v>
      </c>
      <c r="AG29" s="10"/>
      <c r="AH29" s="10"/>
      <c r="AI29" s="10">
        <v>14789</v>
      </c>
      <c r="AJ29" s="10"/>
      <c r="AK29" s="10"/>
      <c r="AL29" s="10"/>
      <c r="AM29" s="10"/>
      <c r="AN29" s="10"/>
      <c r="AO29" s="10"/>
      <c r="AP29" s="10">
        <v>186</v>
      </c>
      <c r="AQ29" s="10">
        <f>7.607</f>
        <v>7.607</v>
      </c>
      <c r="AR29" s="10"/>
      <c r="AS29" s="10">
        <v>1392</v>
      </c>
      <c r="AT29" s="10"/>
      <c r="AU29" s="10"/>
      <c r="AV29" s="10">
        <f>0.55</f>
        <v>0.55</v>
      </c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2"/>
    </row>
    <row r="30" ht="152" spans="1:60">
      <c r="A30" s="6">
        <v>21</v>
      </c>
      <c r="B30" s="7" t="s">
        <v>89</v>
      </c>
      <c r="C30" s="8">
        <v>144100</v>
      </c>
      <c r="D30" s="8">
        <v>144950</v>
      </c>
      <c r="E30" s="9">
        <f t="shared" si="0"/>
        <v>850</v>
      </c>
      <c r="F30" s="20" t="s">
        <v>61</v>
      </c>
      <c r="G30" s="11" t="s">
        <v>94</v>
      </c>
      <c r="H30" s="10">
        <f>2567+1079</f>
        <v>3646</v>
      </c>
      <c r="I30" s="10">
        <v>6357</v>
      </c>
      <c r="J30" s="10">
        <v>6467</v>
      </c>
      <c r="K30" s="10">
        <v>12214</v>
      </c>
      <c r="L30" s="10">
        <f>13+58</f>
        <v>71</v>
      </c>
      <c r="M30" s="10"/>
      <c r="N30" s="10"/>
      <c r="O30" s="10"/>
      <c r="P30" s="10"/>
      <c r="Q30" s="10">
        <f>1436+2169+79+303+557+206+588</f>
        <v>5338</v>
      </c>
      <c r="R30" s="10">
        <f>18190+184+543+1268</f>
        <v>20185</v>
      </c>
      <c r="S30" s="10"/>
      <c r="T30" s="10"/>
      <c r="U30" s="10">
        <f>1029+314+117</f>
        <v>1460</v>
      </c>
      <c r="V30" s="10">
        <f>48+13+31+60+218</f>
        <v>370</v>
      </c>
      <c r="W30" s="10">
        <v>184</v>
      </c>
      <c r="X30" s="10">
        <f>39</f>
        <v>39</v>
      </c>
      <c r="Y30" s="10">
        <f>20+1054</f>
        <v>1074</v>
      </c>
      <c r="Z30" s="10"/>
      <c r="AA30" s="10"/>
      <c r="AB30" s="10"/>
      <c r="AC30" s="10">
        <v>43</v>
      </c>
      <c r="AD30" s="10"/>
      <c r="AE30" s="10"/>
      <c r="AF30" s="10">
        <f>425+149+31+685</f>
        <v>1290</v>
      </c>
      <c r="AG30" s="10"/>
      <c r="AH30" s="10">
        <f>44+3+80+80</f>
        <v>207</v>
      </c>
      <c r="AI30" s="10">
        <f>1492</f>
        <v>1492</v>
      </c>
      <c r="AJ30" s="10"/>
      <c r="AK30" s="10"/>
      <c r="AL30" s="10"/>
      <c r="AM30" s="10"/>
      <c r="AN30" s="10"/>
      <c r="AO30" s="10"/>
      <c r="AP30" s="10">
        <v>146</v>
      </c>
      <c r="AQ30" s="10">
        <v>4.831</v>
      </c>
      <c r="AR30" s="10">
        <f>8.364</f>
        <v>8.364</v>
      </c>
      <c r="AS30" s="10">
        <v>884</v>
      </c>
      <c r="AT30" s="10">
        <f>2.368</f>
        <v>2.368</v>
      </c>
      <c r="AU30" s="10"/>
      <c r="AV30" s="10">
        <f>3.182+1.054+10.668+0.349+17.196+2.589+11.789</f>
        <v>46.827</v>
      </c>
      <c r="AW30" s="10">
        <f>32.572+11.141</f>
        <v>43.713</v>
      </c>
      <c r="AX30" s="10">
        <f>87.584+23.069</f>
        <v>110.653</v>
      </c>
      <c r="AY30" s="10"/>
      <c r="AZ30" s="10">
        <v>3.609</v>
      </c>
      <c r="BA30" s="10"/>
      <c r="BB30" s="10"/>
      <c r="BC30" s="10"/>
      <c r="BD30" s="10">
        <v>1701</v>
      </c>
      <c r="BE30" s="10">
        <v>1030</v>
      </c>
      <c r="BF30" s="10"/>
      <c r="BG30" s="10">
        <v>1482</v>
      </c>
      <c r="BH30" s="12">
        <v>26736</v>
      </c>
    </row>
    <row r="31" ht="90" customHeight="1" spans="1:60">
      <c r="A31" s="13"/>
      <c r="B31" s="14" t="s">
        <v>95</v>
      </c>
      <c r="C31" s="15">
        <v>149690.99</v>
      </c>
      <c r="D31" s="15">
        <v>150626.66</v>
      </c>
      <c r="E31" s="16">
        <f t="shared" si="0"/>
        <v>935.670000000013</v>
      </c>
      <c r="F31" s="17" t="s">
        <v>67</v>
      </c>
      <c r="G31" s="18"/>
      <c r="H31" s="17"/>
      <c r="I31" s="17"/>
      <c r="J31" s="17"/>
      <c r="K31" s="17">
        <v>11018</v>
      </c>
      <c r="L31" s="17"/>
      <c r="M31" s="17">
        <v>1639</v>
      </c>
      <c r="N31" s="17"/>
      <c r="O31" s="17"/>
      <c r="P31" s="17"/>
      <c r="Q31" s="17">
        <f>522+757</f>
        <v>1279</v>
      </c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9"/>
    </row>
    <row r="32" ht="152" spans="1:60">
      <c r="A32" s="6">
        <v>22</v>
      </c>
      <c r="B32" s="7" t="s">
        <v>96</v>
      </c>
      <c r="C32" s="8">
        <v>152950</v>
      </c>
      <c r="D32" s="8">
        <v>153950</v>
      </c>
      <c r="E32" s="9">
        <f t="shared" si="0"/>
        <v>1000</v>
      </c>
      <c r="F32" s="20" t="s">
        <v>61</v>
      </c>
      <c r="G32" s="11" t="s">
        <v>97</v>
      </c>
      <c r="H32" s="10">
        <f>2293+426</f>
        <v>2719</v>
      </c>
      <c r="I32" s="10">
        <v>5861</v>
      </c>
      <c r="J32" s="10">
        <v>6826</v>
      </c>
      <c r="K32" s="10"/>
      <c r="L32" s="10"/>
      <c r="M32" s="10">
        <v>29043</v>
      </c>
      <c r="N32" s="10">
        <f>353</f>
        <v>353</v>
      </c>
      <c r="O32" s="10">
        <f>3967</f>
        <v>3967</v>
      </c>
      <c r="P32" s="10"/>
      <c r="Q32" s="10">
        <f>867+5630+139+154+1651+249+424</f>
        <v>9114</v>
      </c>
      <c r="R32" s="10"/>
      <c r="S32" s="10"/>
      <c r="T32" s="10"/>
      <c r="U32" s="10"/>
      <c r="V32" s="10">
        <f>86+73+157</f>
        <v>316</v>
      </c>
      <c r="W32" s="10"/>
      <c r="X32" s="10"/>
      <c r="Y32" s="10">
        <f>353</f>
        <v>353</v>
      </c>
      <c r="Z32" s="10"/>
      <c r="AA32" s="10">
        <v>31</v>
      </c>
      <c r="AB32" s="10"/>
      <c r="AC32" s="10">
        <v>22</v>
      </c>
      <c r="AD32" s="10"/>
      <c r="AE32" s="10"/>
      <c r="AF32" s="10">
        <f>452+184+52+317+1017+1575+87</f>
        <v>3684</v>
      </c>
      <c r="AG32" s="10"/>
      <c r="AH32" s="10"/>
      <c r="AI32" s="10">
        <f>1631+9520</f>
        <v>11151</v>
      </c>
      <c r="AJ32" s="10"/>
      <c r="AK32" s="10"/>
      <c r="AL32" s="10"/>
      <c r="AM32" s="10"/>
      <c r="AN32" s="10"/>
      <c r="AO32" s="10"/>
      <c r="AP32" s="10">
        <v>134</v>
      </c>
      <c r="AQ32" s="10">
        <v>5.421</v>
      </c>
      <c r="AR32" s="10"/>
      <c r="AS32" s="10">
        <v>992</v>
      </c>
      <c r="AT32" s="10"/>
      <c r="AU32" s="10">
        <v>3.352</v>
      </c>
      <c r="AV32" s="10">
        <f>0.392+3.128</f>
        <v>3.52</v>
      </c>
      <c r="AW32" s="10"/>
      <c r="AX32" s="10"/>
      <c r="AY32" s="10"/>
      <c r="AZ32" s="10"/>
      <c r="BA32" s="10"/>
      <c r="BB32" s="10"/>
      <c r="BC32" s="10"/>
      <c r="BD32" s="10">
        <v>725</v>
      </c>
      <c r="BE32" s="10">
        <v>2646</v>
      </c>
      <c r="BF32" s="10">
        <v>27428</v>
      </c>
      <c r="BG32" s="10"/>
      <c r="BH32" s="12"/>
    </row>
    <row r="33" ht="30" customHeight="1" spans="1:60">
      <c r="A33" s="21">
        <v>23</v>
      </c>
      <c r="B33" s="7" t="s">
        <v>96</v>
      </c>
      <c r="C33" s="8">
        <v>158506</v>
      </c>
      <c r="D33" s="8">
        <v>158526</v>
      </c>
      <c r="E33" s="9">
        <f t="shared" si="0"/>
        <v>20</v>
      </c>
      <c r="F33" s="10"/>
      <c r="G33" s="11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2"/>
    </row>
    <row r="34" ht="30" customHeight="1" spans="1:60">
      <c r="A34" s="21">
        <v>24</v>
      </c>
      <c r="B34" s="7" t="s">
        <v>96</v>
      </c>
      <c r="C34" s="8">
        <v>158583</v>
      </c>
      <c r="D34" s="8">
        <v>158603</v>
      </c>
      <c r="E34" s="9">
        <f t="shared" si="0"/>
        <v>20</v>
      </c>
      <c r="F34" s="10"/>
      <c r="G34" s="11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2"/>
    </row>
    <row r="35" ht="90" customHeight="1" spans="1:60">
      <c r="A35" s="13"/>
      <c r="B35" s="14" t="s">
        <v>98</v>
      </c>
      <c r="C35" s="15">
        <v>163900</v>
      </c>
      <c r="D35" s="15">
        <v>164468.72</v>
      </c>
      <c r="E35" s="16">
        <f t="shared" si="0"/>
        <v>568.720000000001</v>
      </c>
      <c r="F35" s="17" t="s">
        <v>67</v>
      </c>
      <c r="G35" s="18"/>
      <c r="H35" s="17">
        <v>72</v>
      </c>
      <c r="I35" s="17"/>
      <c r="J35" s="17"/>
      <c r="K35" s="17"/>
      <c r="L35" s="17">
        <f>1406+806</f>
        <v>2212</v>
      </c>
      <c r="M35" s="17"/>
      <c r="N35" s="17">
        <f>8390</f>
        <v>8390</v>
      </c>
      <c r="O35" s="17"/>
      <c r="P35" s="17"/>
      <c r="Q35" s="17">
        <f>153+1927</f>
        <v>2080</v>
      </c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9"/>
    </row>
    <row r="36" ht="34" spans="1:60">
      <c r="A36" s="6">
        <v>25</v>
      </c>
      <c r="B36" s="7" t="s">
        <v>99</v>
      </c>
      <c r="C36" s="8">
        <v>164733</v>
      </c>
      <c r="D36" s="8">
        <v>164738</v>
      </c>
      <c r="E36" s="9">
        <f t="shared" si="0"/>
        <v>5</v>
      </c>
      <c r="F36" s="10" t="s">
        <v>100</v>
      </c>
      <c r="G36" s="11" t="s">
        <v>101</v>
      </c>
      <c r="H36" s="10">
        <v>76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>
        <v>7</v>
      </c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2"/>
    </row>
    <row r="37" ht="68" spans="1:60">
      <c r="A37" s="6">
        <v>26</v>
      </c>
      <c r="B37" s="7" t="s">
        <v>99</v>
      </c>
      <c r="C37" s="8">
        <v>164930</v>
      </c>
      <c r="D37" s="8">
        <v>164991</v>
      </c>
      <c r="E37" s="9">
        <f t="shared" si="0"/>
        <v>61</v>
      </c>
      <c r="F37" s="10" t="s">
        <v>63</v>
      </c>
      <c r="G37" s="11" t="s">
        <v>102</v>
      </c>
      <c r="H37" s="10">
        <v>24</v>
      </c>
      <c r="I37" s="10"/>
      <c r="J37" s="10"/>
      <c r="K37" s="10"/>
      <c r="L37" s="10"/>
      <c r="M37" s="10"/>
      <c r="N37" s="10"/>
      <c r="O37" s="10"/>
      <c r="P37" s="10"/>
      <c r="Q37" s="10">
        <v>32</v>
      </c>
      <c r="R37" s="10"/>
      <c r="S37" s="10"/>
      <c r="T37" s="10"/>
      <c r="U37" s="10"/>
      <c r="V37" s="10"/>
      <c r="W37" s="10"/>
      <c r="X37" s="10"/>
      <c r="Y37" s="10"/>
      <c r="Z37" s="10"/>
      <c r="AA37" s="10">
        <v>0.5</v>
      </c>
      <c r="AB37" s="10"/>
      <c r="AC37" s="10"/>
      <c r="AD37" s="10"/>
      <c r="AE37" s="10"/>
      <c r="AF37" s="10">
        <v>40</v>
      </c>
      <c r="AG37" s="10"/>
      <c r="AH37" s="10"/>
      <c r="AI37" s="10"/>
      <c r="AJ37" s="10"/>
      <c r="AK37" s="10"/>
      <c r="AL37" s="10"/>
      <c r="AM37" s="10"/>
      <c r="AN37" s="10"/>
      <c r="AO37" s="10"/>
      <c r="AP37" s="10">
        <v>17</v>
      </c>
      <c r="AQ37" s="10">
        <v>0.375</v>
      </c>
      <c r="AR37" s="10"/>
      <c r="AS37" s="10">
        <v>183</v>
      </c>
      <c r="AT37" s="10"/>
      <c r="AU37" s="10"/>
      <c r="AV37" s="10">
        <f>0.048</f>
        <v>0.048</v>
      </c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2"/>
    </row>
    <row r="38" ht="34" spans="1:60">
      <c r="A38" s="6">
        <v>27</v>
      </c>
      <c r="B38" s="7" t="s">
        <v>99</v>
      </c>
      <c r="C38" s="8">
        <v>165516</v>
      </c>
      <c r="D38" s="8">
        <v>165540</v>
      </c>
      <c r="E38" s="9">
        <f t="shared" si="0"/>
        <v>24</v>
      </c>
      <c r="F38" s="10" t="s">
        <v>100</v>
      </c>
      <c r="G38" s="11" t="s">
        <v>101</v>
      </c>
      <c r="H38" s="10">
        <v>179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>
        <v>12</v>
      </c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2"/>
    </row>
    <row r="39" ht="34" spans="1:60">
      <c r="A39" s="6">
        <v>28</v>
      </c>
      <c r="B39" s="7" t="s">
        <v>99</v>
      </c>
      <c r="C39" s="8">
        <v>165951</v>
      </c>
      <c r="D39" s="8">
        <v>165956</v>
      </c>
      <c r="E39" s="9">
        <f t="shared" si="0"/>
        <v>5</v>
      </c>
      <c r="F39" s="10" t="s">
        <v>100</v>
      </c>
      <c r="G39" s="11" t="s">
        <v>101</v>
      </c>
      <c r="H39" s="10">
        <v>76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>
        <v>7</v>
      </c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2"/>
    </row>
    <row r="40" ht="34" spans="1:60">
      <c r="A40" s="6">
        <v>29</v>
      </c>
      <c r="B40" s="7" t="s">
        <v>99</v>
      </c>
      <c r="C40" s="8">
        <v>167120</v>
      </c>
      <c r="D40" s="8">
        <v>167125</v>
      </c>
      <c r="E40" s="9">
        <f t="shared" si="0"/>
        <v>5</v>
      </c>
      <c r="F40" s="10" t="s">
        <v>100</v>
      </c>
      <c r="G40" s="11" t="s">
        <v>101</v>
      </c>
      <c r="H40" s="10">
        <v>76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>
        <v>7</v>
      </c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2"/>
    </row>
    <row r="41" ht="30" customHeight="1" spans="1:60">
      <c r="A41" s="6">
        <v>30</v>
      </c>
      <c r="B41" s="7" t="s">
        <v>99</v>
      </c>
      <c r="C41" s="8">
        <v>167700</v>
      </c>
      <c r="D41" s="8">
        <v>168300</v>
      </c>
      <c r="E41" s="9">
        <f t="shared" si="0"/>
        <v>600</v>
      </c>
      <c r="F41" s="10" t="s">
        <v>103</v>
      </c>
      <c r="G41" s="11" t="s">
        <v>74</v>
      </c>
      <c r="H41" s="10"/>
      <c r="I41" s="10"/>
      <c r="J41" s="10"/>
      <c r="K41" s="10"/>
      <c r="L41" s="10"/>
      <c r="M41" s="10"/>
      <c r="N41" s="10"/>
      <c r="O41" s="10"/>
      <c r="P41" s="10"/>
      <c r="Q41" s="10">
        <v>1397</v>
      </c>
      <c r="R41" s="10"/>
      <c r="S41" s="10"/>
      <c r="T41" s="10"/>
      <c r="U41" s="10"/>
      <c r="V41" s="10">
        <v>497</v>
      </c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>
        <v>27.181</v>
      </c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2"/>
    </row>
    <row r="42" ht="34" spans="1:60">
      <c r="A42" s="6">
        <v>31</v>
      </c>
      <c r="B42" s="7" t="s">
        <v>99</v>
      </c>
      <c r="C42" s="8">
        <v>169111</v>
      </c>
      <c r="D42" s="8">
        <v>169117</v>
      </c>
      <c r="E42" s="9">
        <f t="shared" si="0"/>
        <v>6</v>
      </c>
      <c r="F42" s="10" t="s">
        <v>100</v>
      </c>
      <c r="G42" s="11" t="s">
        <v>101</v>
      </c>
      <c r="H42" s="10">
        <v>81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>
        <v>7</v>
      </c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2"/>
    </row>
    <row r="43" ht="30" customHeight="1" spans="1:60">
      <c r="A43" s="6">
        <v>32</v>
      </c>
      <c r="B43" s="7" t="s">
        <v>99</v>
      </c>
      <c r="C43" s="8">
        <v>173280</v>
      </c>
      <c r="D43" s="8">
        <v>174350</v>
      </c>
      <c r="E43" s="9">
        <f t="shared" si="0"/>
        <v>1070</v>
      </c>
      <c r="F43" s="10" t="s">
        <v>103</v>
      </c>
      <c r="G43" s="11" t="s">
        <v>74</v>
      </c>
      <c r="H43" s="10"/>
      <c r="I43" s="10"/>
      <c r="J43" s="10"/>
      <c r="K43" s="10"/>
      <c r="L43" s="10"/>
      <c r="M43" s="10"/>
      <c r="N43" s="10"/>
      <c r="O43" s="10"/>
      <c r="P43" s="10"/>
      <c r="Q43" s="10">
        <v>2662</v>
      </c>
      <c r="R43" s="10"/>
      <c r="S43" s="10"/>
      <c r="T43" s="10"/>
      <c r="U43" s="10"/>
      <c r="V43" s="10">
        <v>948</v>
      </c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>
        <v>51.789</v>
      </c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2"/>
    </row>
    <row r="44" ht="34" spans="1:60">
      <c r="A44" s="6">
        <v>33</v>
      </c>
      <c r="B44" s="7" t="s">
        <v>99</v>
      </c>
      <c r="C44" s="8">
        <v>173801</v>
      </c>
      <c r="D44" s="8">
        <v>173816</v>
      </c>
      <c r="E44" s="9">
        <f t="shared" si="0"/>
        <v>15</v>
      </c>
      <c r="F44" s="10" t="s">
        <v>100</v>
      </c>
      <c r="G44" s="11" t="s">
        <v>101</v>
      </c>
      <c r="H44" s="10">
        <v>130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>
        <v>10</v>
      </c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2"/>
    </row>
    <row r="45" ht="90" customHeight="1" spans="1:60">
      <c r="A45" s="13"/>
      <c r="B45" s="14" t="s">
        <v>104</v>
      </c>
      <c r="C45" s="15">
        <v>174250</v>
      </c>
      <c r="D45" s="15">
        <v>175050</v>
      </c>
      <c r="E45" s="16">
        <f t="shared" si="0"/>
        <v>800</v>
      </c>
      <c r="F45" s="17" t="s">
        <v>67</v>
      </c>
      <c r="G45" s="18"/>
      <c r="H45" s="17">
        <v>2168</v>
      </c>
      <c r="I45" s="17"/>
      <c r="J45" s="17"/>
      <c r="K45" s="17"/>
      <c r="L45" s="17">
        <f>6767+7695</f>
        <v>14462</v>
      </c>
      <c r="M45" s="17"/>
      <c r="N45" s="17">
        <f>8566</f>
        <v>8566</v>
      </c>
      <c r="O45" s="17"/>
      <c r="P45" s="17"/>
      <c r="Q45" s="17">
        <f>5358+3204</f>
        <v>8562</v>
      </c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9"/>
    </row>
    <row r="46" ht="68" spans="1:60">
      <c r="A46" s="6">
        <v>34</v>
      </c>
      <c r="B46" s="7" t="s">
        <v>105</v>
      </c>
      <c r="C46" s="8">
        <v>176799</v>
      </c>
      <c r="D46" s="8">
        <v>177353</v>
      </c>
      <c r="E46" s="9">
        <f t="shared" si="0"/>
        <v>554</v>
      </c>
      <c r="F46" s="10" t="s">
        <v>63</v>
      </c>
      <c r="G46" s="11" t="s">
        <v>106</v>
      </c>
      <c r="H46" s="10"/>
      <c r="I46" s="10"/>
      <c r="J46" s="10"/>
      <c r="K46" s="10"/>
      <c r="L46" s="10"/>
      <c r="M46" s="10"/>
      <c r="N46" s="10">
        <f>3140</f>
        <v>3140</v>
      </c>
      <c r="O46" s="10"/>
      <c r="P46" s="10"/>
      <c r="Q46" s="10">
        <f>69891+2643+1965</f>
        <v>74499</v>
      </c>
      <c r="R46" s="10"/>
      <c r="S46" s="10"/>
      <c r="T46" s="10"/>
      <c r="U46" s="10"/>
      <c r="V46" s="10">
        <v>554</v>
      </c>
      <c r="W46" s="10">
        <v>109</v>
      </c>
      <c r="X46" s="10"/>
      <c r="Y46" s="10"/>
      <c r="Z46" s="10"/>
      <c r="AA46" s="10"/>
      <c r="AB46" s="10"/>
      <c r="AC46" s="10"/>
      <c r="AD46" s="10"/>
      <c r="AE46" s="10">
        <v>432</v>
      </c>
      <c r="AF46" s="10">
        <f>2399+1965+838+77+665</f>
        <v>5944</v>
      </c>
      <c r="AG46" s="10"/>
      <c r="AH46" s="10"/>
      <c r="AI46" s="10"/>
      <c r="AJ46" s="10"/>
      <c r="AK46" s="10"/>
      <c r="AL46" s="10"/>
      <c r="AM46" s="10"/>
      <c r="AN46" s="10"/>
      <c r="AO46" s="10"/>
      <c r="AP46" s="10">
        <v>148</v>
      </c>
      <c r="AQ46" s="10"/>
      <c r="AR46" s="10">
        <f>45.71</f>
        <v>45.71</v>
      </c>
      <c r="AS46" s="10"/>
      <c r="AT46" s="10">
        <v>3324</v>
      </c>
      <c r="AU46" s="10"/>
      <c r="AV46" s="10">
        <f>22.538</f>
        <v>22.538</v>
      </c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2"/>
    </row>
    <row r="47" ht="30" customHeight="1" spans="1:60">
      <c r="A47" s="6">
        <v>35</v>
      </c>
      <c r="B47" s="7" t="s">
        <v>105</v>
      </c>
      <c r="C47" s="8">
        <v>178000</v>
      </c>
      <c r="D47" s="8">
        <v>178450</v>
      </c>
      <c r="E47" s="9">
        <f t="shared" si="0"/>
        <v>450</v>
      </c>
      <c r="F47" s="10" t="s">
        <v>103</v>
      </c>
      <c r="G47" s="11" t="s">
        <v>74</v>
      </c>
      <c r="H47" s="10"/>
      <c r="I47" s="10"/>
      <c r="J47" s="10"/>
      <c r="K47" s="10"/>
      <c r="L47" s="10"/>
      <c r="M47" s="10"/>
      <c r="N47" s="10"/>
      <c r="O47" s="10"/>
      <c r="P47" s="10"/>
      <c r="Q47" s="10">
        <v>1052</v>
      </c>
      <c r="R47" s="10"/>
      <c r="S47" s="10"/>
      <c r="T47" s="10"/>
      <c r="U47" s="10"/>
      <c r="V47" s="10">
        <v>375</v>
      </c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>
        <f>20.469</f>
        <v>20.469</v>
      </c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2"/>
    </row>
    <row r="48" ht="30" customHeight="1" spans="1:60">
      <c r="A48" s="21">
        <v>36</v>
      </c>
      <c r="B48" s="7" t="s">
        <v>105</v>
      </c>
      <c r="C48" s="8">
        <v>185506</v>
      </c>
      <c r="D48" s="8">
        <v>185526</v>
      </c>
      <c r="E48" s="9">
        <f t="shared" si="0"/>
        <v>20</v>
      </c>
      <c r="F48" s="10"/>
      <c r="G48" s="11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2"/>
    </row>
    <row r="49" ht="30" customHeight="1" spans="1:60">
      <c r="A49" s="22">
        <v>37</v>
      </c>
      <c r="B49" s="7" t="s">
        <v>105</v>
      </c>
      <c r="C49" s="23">
        <v>185583</v>
      </c>
      <c r="D49" s="23">
        <v>185603</v>
      </c>
      <c r="E49" s="24">
        <f t="shared" si="0"/>
        <v>20</v>
      </c>
      <c r="F49" s="25"/>
      <c r="G49" s="26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7"/>
    </row>
    <row r="50" ht="90" customHeight="1" spans="1:60">
      <c r="A50" s="28"/>
      <c r="B50" s="29" t="s">
        <v>107</v>
      </c>
      <c r="C50" s="30">
        <v>185975</v>
      </c>
      <c r="D50" s="30">
        <v>187500</v>
      </c>
      <c r="E50" s="31">
        <f t="shared" si="0"/>
        <v>1525</v>
      </c>
      <c r="F50" s="32" t="s">
        <v>67</v>
      </c>
      <c r="G50" s="33"/>
      <c r="H50" s="32">
        <v>3583</v>
      </c>
      <c r="I50" s="32"/>
      <c r="J50" s="32"/>
      <c r="K50" s="32"/>
      <c r="L50" s="32">
        <f>6669+20173+9589</f>
        <v>36431</v>
      </c>
      <c r="M50" s="32"/>
      <c r="N50" s="32">
        <v>26991</v>
      </c>
      <c r="O50" s="32"/>
      <c r="P50" s="32"/>
      <c r="Q50" s="32">
        <f>28073+9142</f>
        <v>37215</v>
      </c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4"/>
    </row>
    <row r="51" ht="30" customHeight="1" spans="1:60">
      <c r="A51" s="10" t="s">
        <v>108</v>
      </c>
      <c r="B51" s="10"/>
      <c r="C51" s="10"/>
      <c r="D51" s="10"/>
      <c r="E51" s="10"/>
      <c r="F51" s="10"/>
      <c r="G51" s="10"/>
      <c r="H51" s="35">
        <f>SUM(H3:H50)</f>
        <v>50107.8</v>
      </c>
      <c r="I51" s="10">
        <f t="shared" ref="I51:BH51" si="1">SUM(I3:I49)</f>
        <v>64482.9</v>
      </c>
      <c r="J51" s="10">
        <f t="shared" si="1"/>
        <v>56647.7</v>
      </c>
      <c r="K51" s="10">
        <f t="shared" si="1"/>
        <v>135804.5</v>
      </c>
      <c r="L51" s="10">
        <f t="shared" si="1"/>
        <v>21839</v>
      </c>
      <c r="M51" s="10">
        <f t="shared" si="1"/>
        <v>50972</v>
      </c>
      <c r="N51" s="10">
        <f t="shared" si="1"/>
        <v>22790</v>
      </c>
      <c r="O51" s="10">
        <f t="shared" si="1"/>
        <v>8219</v>
      </c>
      <c r="P51" s="10">
        <f t="shared" si="1"/>
        <v>554</v>
      </c>
      <c r="Q51" s="10">
        <f t="shared" si="1"/>
        <v>513725.1</v>
      </c>
      <c r="R51" s="10">
        <f t="shared" si="1"/>
        <v>82591</v>
      </c>
      <c r="S51" s="10">
        <f t="shared" si="1"/>
        <v>53575</v>
      </c>
      <c r="T51" s="10">
        <f t="shared" si="1"/>
        <v>141931</v>
      </c>
      <c r="U51" s="10">
        <f t="shared" si="1"/>
        <v>3973</v>
      </c>
      <c r="V51" s="10">
        <f t="shared" si="1"/>
        <v>18177</v>
      </c>
      <c r="W51" s="10">
        <f t="shared" si="1"/>
        <v>293</v>
      </c>
      <c r="X51" s="10">
        <f t="shared" si="1"/>
        <v>5063</v>
      </c>
      <c r="Y51" s="10">
        <f t="shared" si="1"/>
        <v>3303</v>
      </c>
      <c r="Z51" s="10">
        <f t="shared" si="1"/>
        <v>180</v>
      </c>
      <c r="AA51" s="35">
        <f>SUM(AA3:AA50)</f>
        <v>561.5</v>
      </c>
      <c r="AB51" s="35">
        <f>SUM(AB3:AB50)</f>
        <v>56</v>
      </c>
      <c r="AC51" s="35">
        <f>SUM(AC3:AC50)</f>
        <v>761</v>
      </c>
      <c r="AD51" s="35">
        <f>SUM(AD3:AD50)</f>
        <v>541</v>
      </c>
      <c r="AE51" s="35">
        <f>SUM(AE3:AE50)</f>
        <v>432</v>
      </c>
      <c r="AF51" s="10">
        <f t="shared" si="1"/>
        <v>49224</v>
      </c>
      <c r="AG51" s="10">
        <f t="shared" si="1"/>
        <v>105</v>
      </c>
      <c r="AH51" s="10">
        <f t="shared" si="1"/>
        <v>217</v>
      </c>
      <c r="AI51" s="10">
        <f t="shared" si="1"/>
        <v>53670</v>
      </c>
      <c r="AJ51" s="10">
        <f t="shared" si="1"/>
        <v>3247</v>
      </c>
      <c r="AK51" s="10">
        <f t="shared" si="1"/>
        <v>560</v>
      </c>
      <c r="AL51" s="10">
        <f t="shared" si="1"/>
        <v>1120</v>
      </c>
      <c r="AM51" s="10">
        <f t="shared" si="1"/>
        <v>1177</v>
      </c>
      <c r="AN51" s="10">
        <f t="shared" si="1"/>
        <v>4740</v>
      </c>
      <c r="AO51" s="10">
        <f t="shared" si="1"/>
        <v>178</v>
      </c>
      <c r="AP51" s="10">
        <f t="shared" si="1"/>
        <v>2337</v>
      </c>
      <c r="AQ51" s="10">
        <f t="shared" si="1"/>
        <v>224.502</v>
      </c>
      <c r="AR51" s="10">
        <f t="shared" si="1"/>
        <v>87.118</v>
      </c>
      <c r="AS51" s="10">
        <f t="shared" si="1"/>
        <v>20669</v>
      </c>
      <c r="AT51" s="10">
        <f t="shared" si="1"/>
        <v>5844.893</v>
      </c>
      <c r="AU51" s="10">
        <f t="shared" si="1"/>
        <v>1988.7</v>
      </c>
      <c r="AV51" s="10">
        <f t="shared" si="1"/>
        <v>830.788</v>
      </c>
      <c r="AW51" s="10">
        <f t="shared" si="1"/>
        <v>139.175</v>
      </c>
      <c r="AX51" s="10">
        <f t="shared" si="1"/>
        <v>413.758</v>
      </c>
      <c r="AY51" s="10">
        <f t="shared" si="1"/>
        <v>45.972</v>
      </c>
      <c r="AZ51" s="10">
        <f t="shared" si="1"/>
        <v>3.609</v>
      </c>
      <c r="BA51" s="10">
        <f t="shared" si="1"/>
        <v>6.26</v>
      </c>
      <c r="BB51" s="10">
        <f t="shared" si="1"/>
        <v>0.365</v>
      </c>
      <c r="BC51" s="10">
        <f t="shared" si="1"/>
        <v>0.088</v>
      </c>
      <c r="BD51" s="10">
        <f t="shared" si="1"/>
        <v>8308</v>
      </c>
      <c r="BE51" s="10">
        <f t="shared" si="1"/>
        <v>22079</v>
      </c>
      <c r="BF51" s="10">
        <f t="shared" si="1"/>
        <v>66957</v>
      </c>
      <c r="BG51" s="10">
        <f t="shared" si="1"/>
        <v>1482</v>
      </c>
      <c r="BH51" s="10">
        <f t="shared" si="1"/>
        <v>26736</v>
      </c>
    </row>
    <row r="52" ht="30" customHeight="1" spans="1:60">
      <c r="A52" s="10"/>
      <c r="B52" s="10"/>
      <c r="C52" s="10"/>
      <c r="D52" s="10"/>
      <c r="E52" s="10"/>
      <c r="F52" s="10"/>
      <c r="G52" s="10"/>
      <c r="H52" s="10">
        <f>H51+I51+J51+K51+L51+M51+N51+O51+P51</f>
        <v>411416.9</v>
      </c>
      <c r="I52" s="10"/>
      <c r="J52" s="10"/>
      <c r="K52" s="10"/>
      <c r="L52" s="10"/>
      <c r="M52" s="10"/>
      <c r="N52" s="10"/>
      <c r="O52" s="10"/>
      <c r="P52" s="10"/>
      <c r="Q52" s="10">
        <f>Q51+R51+S51+T51</f>
        <v>791822.1</v>
      </c>
      <c r="R52" s="10"/>
      <c r="S52" s="10"/>
      <c r="T52" s="10"/>
      <c r="U52" s="10">
        <f>U51+V51+W51+X51+Y51+Z51+AA51+AB51+AC51+AD51+AE51</f>
        <v>33340.5</v>
      </c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>
        <f>AF51</f>
        <v>49224</v>
      </c>
      <c r="AG52" s="10">
        <f>AG51+AH51</f>
        <v>322</v>
      </c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>
        <f>AV51+AW51+AX51+AY51+AZ51+BA51</f>
        <v>1439.562</v>
      </c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</row>
  </sheetData>
  <mergeCells count="7">
    <mergeCell ref="A1:BH1"/>
    <mergeCell ref="H52:P52"/>
    <mergeCell ref="Q52:T52"/>
    <mergeCell ref="U52:AE52"/>
    <mergeCell ref="AG52:AH52"/>
    <mergeCell ref="AV52:BA52"/>
    <mergeCell ref="A51:G52"/>
  </mergeCells>
  <pageMargins left="0.7" right="0.7" top="0.75" bottom="0.75" header="0.3" footer="0.3"/>
  <pageSetup paperSize="9" orientation="portrait" horizontalDpi="1200" verticalDpi="1200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8" sqref="F8"/>
    </sheetView>
  </sheetViews>
  <sheetFormatPr defaultColWidth="9" defaultRowHeight="16.8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scad</cp:lastModifiedBy>
  <dcterms:created xsi:type="dcterms:W3CDTF">2015-06-06T02:19:00Z</dcterms:created>
  <dcterms:modified xsi:type="dcterms:W3CDTF">2026-04-19T10:04:26Z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9037EC3A030E7B7F2A38E469FDF37662_43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