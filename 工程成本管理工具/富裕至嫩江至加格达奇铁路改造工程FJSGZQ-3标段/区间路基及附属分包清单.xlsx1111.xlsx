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/>
  </bookViews>
  <sheets>
    <sheet name="区间路基附属 工程量会总 (2)" sheetId="1" r:id="rId1"/>
  </sheets>
  <definedNames>
    <definedName name="_xlnm._FilterDatabase" localSheetId="0" hidden="1">'区间路基附属 工程量会总 (2)'!$A$1:$BB$154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<sst xmlns="http://schemas.openxmlformats.org/spreadsheetml/2006/main" count="939" uniqueCount="322">
  <si>
    <t>工程项目</t>
  </si>
  <si>
    <t>单位</t>
  </si>
  <si>
    <t>图纸工程量合计</t>
  </si>
  <si>
    <t>报价单价（不含税</t>
  </si>
  <si>
    <t>报价合价（不含税）</t>
  </si>
  <si>
    <t>费用组成</t>
  </si>
  <si>
    <t>计量规则</t>
  </si>
  <si>
    <t>工作内容</t>
  </si>
  <si>
    <t>嫩林K50+200～嫩林K50+800改建路基</t>
  </si>
  <si>
    <t>嫩林K51+900～嫩林K52+800冻害抬道</t>
  </si>
  <si>
    <t>嫩林K52+800～嫩林K53+800改建路基</t>
  </si>
  <si>
    <t>嫩林K59+300～嫩林K59+800水害整治</t>
  </si>
  <si>
    <t>嫩林K62+535～ 嫩林K62+541冻胀</t>
  </si>
  <si>
    <t>嫩林K62+580～ 嫩林K62+590冻胀</t>
  </si>
  <si>
    <t>嫩林K71+000～嫩林K71+200水害整治</t>
  </si>
  <si>
    <t>嫩林K72+243～ 嫩林K72+251冻胀</t>
  </si>
  <si>
    <t>嫩林K74+300～嫩林K75+730水害整治</t>
  </si>
  <si>
    <t>嫩林K83+810～嫩林K83+910水害整治</t>
  </si>
  <si>
    <t>嫩林K98+500～嫩林K99+370水害整治</t>
  </si>
  <si>
    <t>嫩林K102+950～ 嫩林K103+950 冻害抬道</t>
  </si>
  <si>
    <t>嫩林K105+293～ 嫩林K105+297冻胀</t>
  </si>
  <si>
    <t>嫩林K105+624～ 嫩林K105+629冻胀</t>
  </si>
  <si>
    <t>嫩林K107+050～嫩林K108+200水害整治</t>
  </si>
  <si>
    <t>嫩林K110+700～嫩林K110+950水害整治</t>
  </si>
  <si>
    <t>嫩林K111+600～嫩林K113+000水害整治</t>
  </si>
  <si>
    <t>嫩林K117+470～嫩林K118+100水害整治</t>
  </si>
  <si>
    <t>嫩林DK118+100～嫩林DK119+692.04改建路基</t>
  </si>
  <si>
    <t>嫩林DK120+700～嫩林DK121+540改建路基</t>
  </si>
  <si>
    <t>嫩林K126+800～嫩林K127+500水害整治</t>
  </si>
  <si>
    <t>嫩林DK135+000    ～嫩林DK136+162.2改建路基</t>
  </si>
  <si>
    <t>嫩林DK136+750～嫩林DK137+775改建路基</t>
  </si>
  <si>
    <t>嫩林K139+650～ 嫩林K139+658冻胀</t>
  </si>
  <si>
    <t>嫩林DK139+475～嫩林DK139+837.39改建路基</t>
  </si>
  <si>
    <t>嫩林K142+200～嫩林K143+700改建路基</t>
  </si>
  <si>
    <t>嫩林K144+100～嫩林K144+933.7改建路基</t>
  </si>
  <si>
    <t>嫩林DK152+950～嫩林DK153+950改建路基</t>
  </si>
  <si>
    <t>嫩林K158+692～ 嫩林 K158+699冻胀</t>
  </si>
  <si>
    <t>嫩林K164+723～嫩林K164+748段冻胀</t>
  </si>
  <si>
    <t>嫩林K164+930～嫩林K164+991既有线冻害抬道路基</t>
  </si>
  <si>
    <t>嫩林K165+516～嫩林K165+540段冻胀</t>
  </si>
  <si>
    <t>嫩林K165+941～嫩林K165+946段冻胀</t>
  </si>
  <si>
    <t>嫩林K167+110～嫩林K167+135段冻胀</t>
  </si>
  <si>
    <t>嫩林K167+700-嫩林K168+300水害整治</t>
  </si>
  <si>
    <t>嫩林K169+101～嫩林K169+127段冻胀</t>
  </si>
  <si>
    <t>嫩林K173+280～嫩林K173+350水害</t>
  </si>
  <si>
    <t>嫩林K173+791～嫩林K173+826段冻胀</t>
  </si>
  <si>
    <t>嫩林K176+799～嫩林K177+353冻害抬道</t>
  </si>
  <si>
    <t>嫩林K178+000-嫩林K178+450水害整治</t>
  </si>
  <si>
    <t>嫩林K185+506～嫩林K185+603段冻坑</t>
  </si>
  <si>
    <t>备注</t>
  </si>
  <si>
    <t>工程数量</t>
  </si>
  <si>
    <t>土石方</t>
  </si>
  <si>
    <t>填方</t>
  </si>
  <si>
    <t>基床表层</t>
  </si>
  <si>
    <t>防冻层A组填料细颗粒含量小于</t>
  </si>
  <si>
    <t>m³</t>
  </si>
  <si>
    <r>
      <rPr>
        <sz val="9"/>
        <rFont val="宋体"/>
        <charset val="134"/>
      </rPr>
      <t>全部费用</t>
    </r>
    <r>
      <rPr>
        <sz val="9"/>
        <rFont val="宋体"/>
        <charset val="134"/>
      </rPr>
      <t xml:space="preserve"> </t>
    </r>
  </si>
  <si>
    <t>按施工图断面压实方计算</t>
  </si>
  <si>
    <t>施工准备，分层摊铺、推平、碾压、整平，养护，路面及边坡修整等全部工作内容</t>
  </si>
  <si>
    <t>细颗粒含量小于10%A组填料</t>
  </si>
  <si>
    <t>基床底层</t>
  </si>
  <si>
    <t>细颗粒含量小于10%A、B组填料</t>
  </si>
  <si>
    <t>AB组填料</t>
  </si>
  <si>
    <t>路基基床以下</t>
  </si>
  <si>
    <t>ABC组填料</t>
  </si>
  <si>
    <t>渗水土</t>
  </si>
  <si>
    <t>涵路过渡段</t>
  </si>
  <si>
    <t>A组填料(表层以下，细颗粒含量小于10%)</t>
  </si>
  <si>
    <t>隧路过渡段</t>
  </si>
  <si>
    <t>挖方</t>
  </si>
  <si>
    <t>土方</t>
  </si>
  <si>
    <t>清表</t>
  </si>
  <si>
    <t>按设计图示路基断面宽度及清表长度之乘积计算</t>
  </si>
  <si>
    <t>场地清理，放边界线，推土机(挖掘机）推/挖表土，将表土移出路基范围以外或汇集，原地面平整、压路机压实原地面至设计要求</t>
  </si>
  <si>
    <t>II(挖普通土)</t>
  </si>
  <si>
    <t>全部费用</t>
  </si>
  <si>
    <t>施工准备；开挖、运石方1KM内；修整边坡、清理工作面等全部工作内容</t>
  </si>
  <si>
    <t>施工准备、就位、挖、装车，推土机辅助及清理工作面</t>
  </si>
  <si>
    <t>II(硬塑)</t>
  </si>
  <si>
    <t>III(挖硬土)</t>
  </si>
  <si>
    <t>石方</t>
  </si>
  <si>
    <t>IV(挖软石)</t>
  </si>
  <si>
    <t>按施工图断面尺寸计算</t>
  </si>
  <si>
    <t>石方开挖工艺</t>
  </si>
  <si>
    <t>石方(浅孔爆破 )</t>
  </si>
  <si>
    <t>IV(软石)</t>
  </si>
  <si>
    <r>
      <rPr>
        <sz val="9"/>
        <rFont val="宋体"/>
        <charset val="134"/>
      </rPr>
      <t>除火工品外全部费用</t>
    </r>
    <r>
      <rPr>
        <sz val="9"/>
        <rFont val="宋体"/>
        <charset val="134"/>
      </rPr>
      <t xml:space="preserve"> </t>
    </r>
  </si>
  <si>
    <t>按实际爆破石方断面计算</t>
  </si>
  <si>
    <t>打（钻）眼、爆破、利用方解小（不低于80%）、清理、边坡及底面修整及现场倒运</t>
  </si>
  <si>
    <t>机械开挖</t>
  </si>
  <si>
    <t>控制爆破</t>
  </si>
  <si>
    <t>控制爆破(C类、单层炮被覆盖)-IV级软石</t>
  </si>
  <si>
    <t>含人工费、二三项材料费(含硝铵炸药、雷管带脚线5m)、小型机具使用费(气腿式凿岩机、炮泥机、水袋机等)及维修保养费。</t>
  </si>
  <si>
    <t>按设计断面方计量</t>
  </si>
  <si>
    <t>布置炮眼，施工作业台架行走、钻孔、清孔、加工炸药（含领取、剩余炸药退库）、装药、安全防护、爆破、危石清理、通风管、风水管线的架设及维护、电力线路及用电设备保护、隧道开挖施工排水、欠挖处理等工作。</t>
  </si>
  <si>
    <t>路肩加固</t>
  </si>
  <si>
    <t>护肩</t>
  </si>
  <si>
    <t>M10浆砌片石</t>
  </si>
  <si>
    <t>除主要材料外全部费用</t>
  </si>
  <si>
    <t>按施工图尺寸计算实际圬工体积</t>
  </si>
  <si>
    <t>挖基、选修片石及洗刷、拌制砂浆、铺浆、沉降缝制施工、安砌及勾缝、安砌水孔、整理及养护，清理工作场地</t>
  </si>
  <si>
    <t>石垛</t>
  </si>
  <si>
    <t>边坡加固防护</t>
  </si>
  <si>
    <t>边坡加筋</t>
  </si>
  <si>
    <t>GGR/PP/BS30-30双向拉伸塑料土工格栅</t>
  </si>
  <si>
    <t>m²</t>
  </si>
  <si>
    <t>单价包含除土工格栅以外的全部费用</t>
  </si>
  <si>
    <t>按实际铺设面积计算</t>
  </si>
  <si>
    <t>基底清理整平，锚固沟挖填，土工格栅铺设缝合及锚固等全部工作内容</t>
  </si>
  <si>
    <t>绿色防护</t>
  </si>
  <si>
    <t>撒草籽</t>
  </si>
  <si>
    <t>单价包含除草籽以外全部费用</t>
  </si>
  <si>
    <t>以实际养活成活率达到设计要求有效面积计量</t>
  </si>
  <si>
    <t>备草籽，人工撒播，施肥浇水、养管成活、修剪补种等全部工作内容</t>
  </si>
  <si>
    <t>紫穗槐</t>
  </si>
  <si>
    <t>株</t>
  </si>
  <si>
    <t>单价包含除树苗以外全部费用</t>
  </si>
  <si>
    <t>以实际养活成活率达到设计要求有效株数计量</t>
  </si>
  <si>
    <t>备树苗，人工栽种，施肥浇水、养管成活、修剪补种等全部工作内容</t>
  </si>
  <si>
    <t>C35混凝土</t>
  </si>
  <si>
    <t>除预制块外全部费用</t>
  </si>
  <si>
    <t>挖基、选修预制块及洗刷、拌制砂浆、铺浆、安砌及勾缝、安砌水孔、整理及养护，清理工作场地，含现场倒运。</t>
  </si>
  <si>
    <t>单价包含除水泥、砂、片石材料以外的全部用</t>
  </si>
  <si>
    <t>开挖基坑，选、修片石及洗刷、拌制砂浆，铺浆、铺砌及安装排水孔、沉降缝制施工、堵缝、整理及养护，搭拆脚手架，清理工作场地</t>
  </si>
  <si>
    <t>拱形截水骨架护坡</t>
  </si>
  <si>
    <t>骨架</t>
  </si>
  <si>
    <t>镶边、基础、排水槽等</t>
  </si>
  <si>
    <t>砌筑</t>
  </si>
  <si>
    <t>拦水坎</t>
  </si>
  <si>
    <t>C30混凝土预制块</t>
  </si>
  <si>
    <t>其他</t>
  </si>
  <si>
    <t>平台及截水沟</t>
  </si>
  <si>
    <t>踏步</t>
  </si>
  <si>
    <t>边坡绿色防护</t>
  </si>
  <si>
    <t>边坡(客土)植草灌</t>
  </si>
  <si>
    <t>单价包含全部费用</t>
  </si>
  <si>
    <t>备草籽及混合肥料，液压喷播，覆盖、洒水养护，养管成活、修剪补种等全部工作内容</t>
  </si>
  <si>
    <t>备树苗，刨坑，人工栽种，施肥浇水、养管成活、修剪补种等全部工作内容</t>
  </si>
  <si>
    <t>边坡外</t>
  </si>
  <si>
    <t>绿化</t>
  </si>
  <si>
    <t>M10拱型截水骨架护坡</t>
  </si>
  <si>
    <t>C35混凝土预制截水槽</t>
  </si>
  <si>
    <t>撤草籽</t>
  </si>
  <si>
    <t>反滤层</t>
  </si>
  <si>
    <t>砂夹卵石</t>
  </si>
  <si>
    <t>按设计图示石方压实断面尺寸计算</t>
  </si>
  <si>
    <t>解小、分层填筑、压实，排水；边坡码砌、路面修整等全部工作内容</t>
  </si>
  <si>
    <t>透水土工布</t>
  </si>
  <si>
    <t>单价包含除土工布以外的全部费用</t>
  </si>
  <si>
    <t>基底清理整平,锚固沟挖填,土工布铺设、缝合及锚固等全部工作内容</t>
  </si>
  <si>
    <t>M10 浆砌片石护肩墙</t>
  </si>
  <si>
    <t>回填</t>
  </si>
  <si>
    <t>回填A 组填料</t>
  </si>
  <si>
    <t>打碎土块、分层匀平、压实、修整路堤边坡及路面</t>
  </si>
  <si>
    <t>M10 浆砌片石</t>
  </si>
  <si>
    <t>M10浆砌片石护
墙(孔窗式及
实体式)</t>
  </si>
  <si>
    <t>挖槽</t>
  </si>
  <si>
    <t>挖土</t>
  </si>
  <si>
    <t>挖石(IV软石)</t>
  </si>
  <si>
    <r>
      <rPr>
        <sz val="10"/>
        <rFont val="宋体"/>
        <charset val="134"/>
      </rPr>
      <t>挖石</t>
    </r>
    <r>
      <rPr>
        <sz val="10"/>
        <rFont val="宋体"/>
        <charset val="134"/>
      </rPr>
      <t>(VI坚石)</t>
    </r>
  </si>
  <si>
    <t>客土</t>
  </si>
  <si>
    <t>空心砖</t>
  </si>
  <si>
    <t>C35混凝土预制空心砖</t>
  </si>
  <si>
    <t>块</t>
  </si>
  <si>
    <t>检查梯</t>
  </si>
  <si>
    <t>φ16RB400钢筋</t>
  </si>
  <si>
    <t>t</t>
  </si>
  <si>
    <t>除钢筋材料外全部费用</t>
  </si>
  <si>
    <t>按施工图计算重量，不计搭接及损耗</t>
  </si>
  <si>
    <t>钢筋除锈、制作、绑扎、安装</t>
  </si>
  <si>
    <t>锚孔</t>
  </si>
  <si>
    <t>φ=110mm钻孔(石)</t>
  </si>
  <si>
    <t>延米</t>
  </si>
  <si>
    <t>单价包含除压浆、水泥、钢筋外全部费用。</t>
  </si>
  <si>
    <t>按实际施工锚杆有效长度计量。</t>
  </si>
  <si>
    <t>边坡开挖，人工修整，刷坡平整，钻孔，锚杆制安、清孔、拌浆、压浆，封锚等全部工序。</t>
  </si>
  <si>
    <t>锚梁、框架梁、
锚墩</t>
  </si>
  <si>
    <t>现浇C35混凝土</t>
  </si>
  <si>
    <r>
      <rPr>
        <sz val="9"/>
        <rFont val="宋体"/>
        <charset val="134"/>
      </rPr>
      <t>除混凝土外全部费用</t>
    </r>
    <r>
      <rPr>
        <sz val="9"/>
        <rFont val="宋体"/>
        <charset val="134"/>
      </rPr>
      <t xml:space="preserve"> </t>
    </r>
  </si>
  <si>
    <t xml:space="preserve">挖基、挖石、浇筑框架、锚头，沉降缝制施工、回填，清理工作场地 </t>
  </si>
  <si>
    <t>HPB300钢筋</t>
  </si>
  <si>
    <t>HRB400钢筋</t>
  </si>
  <si>
    <t>空心砖客土植草[</t>
  </si>
  <si>
    <t>镶边、平台及踏步</t>
  </si>
  <si>
    <t>C35现浇混凝土镶边基础</t>
  </si>
  <si>
    <t>除混凝土外全部费用</t>
  </si>
  <si>
    <t>挖基、模板制安拆，混凝土拌制、浇筑、振捣及养护、回填，清理工作场地</t>
  </si>
  <si>
    <t>挖基、选修片石及洗刷、拌制砂浆、铺浆、沉降缝制施工、安砌及勾缝、整理及养护，清理工作场地</t>
  </si>
  <si>
    <t>M10浆砌片石
防护</t>
  </si>
  <si>
    <t>砂夹卵砾石垫层</t>
  </si>
  <si>
    <t>路基加固</t>
  </si>
  <si>
    <t>竖向钢花管</t>
  </si>
  <si>
    <t>钻孔</t>
  </si>
  <si>
    <t>m</t>
  </si>
  <si>
    <t>除钢花管、砂浆外全部费用。</t>
  </si>
  <si>
    <t>按实际完成的（施工图内）数量计算</t>
  </si>
  <si>
    <t>布置孔位、钻孔、清孔、领取锚杆及锚杆用材料、制作安装锚杆、注浆、剩余材料的退库、紧固锚杆垫板，场地清理。</t>
  </si>
  <si>
    <t>一次注浆</t>
  </si>
  <si>
    <t>除水泥外全部费用</t>
  </si>
  <si>
    <t>按现场实际完成的施工图内的数量计算</t>
  </si>
  <si>
    <r>
      <rPr>
        <sz val="9"/>
        <rFont val="宋体"/>
        <charset val="134"/>
      </rPr>
      <t>搭拆脚手架、浆液制作、注浆、检查、堵孔</t>
    </r>
    <r>
      <rPr>
        <sz val="9"/>
        <rFont val="宋体"/>
        <charset val="134"/>
      </rPr>
      <t xml:space="preserve"> </t>
    </r>
  </si>
  <si>
    <t>二次注浆</t>
  </si>
  <si>
    <t>重力式挡土墙</t>
  </si>
  <si>
    <t>C35片石混凝土</t>
  </si>
  <si>
    <t>除砼、排水管材料费外全部费用</t>
  </si>
  <si>
    <t>开挖基坑，模板安拆、安装排水管、浇筑、沉降缝制施工、养护、搭拆脚手架，清理工作场地</t>
  </si>
  <si>
    <t>C40片石混凝土</t>
  </si>
  <si>
    <t>基坑回填</t>
  </si>
  <si>
    <t>水泥改良土</t>
  </si>
  <si>
    <t>除白灰和购土外全部费用</t>
  </si>
  <si>
    <t>按施工图内实际压实断面方计算</t>
  </si>
  <si>
    <t>拌合、装车、含3公里内运输、机械整平、碾压、洒水养生、修整路堤边坡及路面</t>
  </si>
  <si>
    <t>M10浆砌片石封闭层</t>
  </si>
  <si>
    <t>30mm厚RCP渗排水网垫</t>
  </si>
  <si>
    <t>防渗层</t>
  </si>
  <si>
    <t>除混凝土外全部费用，含模板费用</t>
  </si>
  <si>
    <t>按施工图计算圬工体积计算</t>
  </si>
  <si>
    <t>模板安拆、混凝土浇筑、振捣及养护、接口凿毛</t>
  </si>
  <si>
    <t>踏蹬钢筋(φ16mm)</t>
  </si>
  <si>
    <t>防护栏杆</t>
  </si>
  <si>
    <t>角钢立柱栏杆</t>
  </si>
  <si>
    <t>端墙</t>
  </si>
  <si>
    <t>墙背临时支护</t>
  </si>
  <si>
    <t>打锚杆孔(Φ=0.05m)</t>
  </si>
  <si>
    <r>
      <rPr>
        <sz val="9"/>
        <rFont val="宋体"/>
        <charset val="134"/>
      </rPr>
      <t>除锚杆、砂浆外全部费用</t>
    </r>
    <r>
      <rPr>
        <sz val="9"/>
        <rFont val="宋体"/>
        <charset val="134"/>
      </rPr>
      <t xml:space="preserve"> </t>
    </r>
  </si>
  <si>
    <t>按实际施工有效长度计算</t>
  </si>
  <si>
    <t>搭拆简易脚手架、测量、定位、钻孔、砂浆拌制、灌注，锚杆制安等</t>
  </si>
  <si>
    <t>坡面HPB300φ6钢筋网(10cm×10cm)</t>
  </si>
  <si>
    <t>除钢筋外全部费用</t>
  </si>
  <si>
    <t>钢筋调直、下料、制作、运输、挂网安装、点焊、加固</t>
  </si>
  <si>
    <t>坡面C20混凝土</t>
  </si>
  <si>
    <r>
      <rPr>
        <sz val="9"/>
        <rFont val="宋体"/>
        <charset val="134"/>
      </rPr>
      <t>挖基、浇筑，沉降缝制施工、回填，清理工作场地</t>
    </r>
    <r>
      <rPr>
        <sz val="9"/>
        <rFont val="宋体"/>
        <charset val="134"/>
      </rPr>
      <t xml:space="preserve"> </t>
    </r>
  </si>
  <si>
    <t>钢筋网</t>
  </si>
  <si>
    <t>HPB300φ6</t>
  </si>
  <si>
    <t>锥体</t>
  </si>
  <si>
    <t>M10浆砌片石(锥体护坡)</t>
  </si>
  <si>
    <t>孔内灌M30水泥砂浆</t>
  </si>
  <si>
    <t>临时支护</t>
  </si>
  <si>
    <t>拉伸钢板桩(SP-IV)</t>
  </si>
  <si>
    <r>
      <rPr>
        <sz val="9"/>
        <rFont val="宋体"/>
        <charset val="134"/>
      </rPr>
      <t>除钢板桩外全部费用</t>
    </r>
    <r>
      <rPr>
        <sz val="9"/>
        <rFont val="宋体"/>
        <charset val="134"/>
      </rPr>
      <t xml:space="preserve"> </t>
    </r>
  </si>
  <si>
    <t>以实际施工钢板重量计算</t>
  </si>
  <si>
    <r>
      <rPr>
        <sz val="9"/>
        <rFont val="宋体"/>
        <charset val="134"/>
      </rPr>
      <t>组拼、捻缝、安卸桩帽、打桩、校正，拔桩、堆码解体存放</t>
    </r>
    <r>
      <rPr>
        <sz val="9"/>
        <rFont val="宋体"/>
        <charset val="134"/>
      </rPr>
      <t xml:space="preserve"> </t>
    </r>
  </si>
  <si>
    <t>地基处理</t>
  </si>
  <si>
    <t>微冻胀碎石垫层</t>
  </si>
  <si>
    <t>桩板式挡土墙</t>
  </si>
  <si>
    <t>挖石(软石)</t>
  </si>
  <si>
    <t>挖石(坚石)</t>
  </si>
  <si>
    <t>护壁锁口</t>
  </si>
  <si>
    <t>拆除护壁</t>
  </si>
  <si>
    <t>包含除弃碴费外的全部费用</t>
  </si>
  <si>
    <t>按拆除构筑物实际尺寸计算</t>
  </si>
  <si>
    <t>机械凿除、清理</t>
  </si>
  <si>
    <t>墙身</t>
  </si>
  <si>
    <t>C40混凝土地下部分</t>
  </si>
  <si>
    <t>单价包含除砼外的全部费用</t>
  </si>
  <si>
    <t>按实际施工的有效圬工尺寸计算体积</t>
  </si>
  <si>
    <t>混凝土浇筑、振捣及养护等全部工作内容</t>
  </si>
  <si>
    <t>C40混凝土地上部分</t>
  </si>
  <si>
    <t>模板制安拆，混凝土浇筑、振捣及养护等全部工作内容</t>
  </si>
  <si>
    <t>挡土板(预制 )</t>
  </si>
  <si>
    <t>C40混凝土</t>
  </si>
  <si>
    <t>按实际施工的有效板圬工尺寸计算体积</t>
  </si>
  <si>
    <t>模板制安拆，混凝土浇筑、振捣及养护，成品堆放等全部工作内容</t>
  </si>
  <si>
    <t>砂夹卵 石</t>
  </si>
  <si>
    <t>15mm厚RCP渗排水网垫</t>
  </si>
  <si>
    <t>找平层</t>
  </si>
  <si>
    <t>宝丽板</t>
  </si>
  <si>
    <t>检测</t>
  </si>
  <si>
    <t>超声波透射法无损检测</t>
  </si>
  <si>
    <t>根</t>
  </si>
  <si>
    <t>检测管截断、封头；套管制作、焊接；对接、安装。</t>
  </si>
  <si>
    <t>不锈钢声测管(φ50mm,壁厚2mm)</t>
  </si>
  <si>
    <t>被动拦石网</t>
  </si>
  <si>
    <t>拦石网</t>
  </si>
  <si>
    <t>单价包含除锚杆钢筋外全部费用全部费用</t>
  </si>
  <si>
    <t>按实际施工的有效面积计量</t>
  </si>
  <si>
    <t>施工准备；开挖、运石方1KM内；修整边坡、清理工作面；防护面修正，支撑结构基坑开挖、砼浇筑；钻孔,锚杆制安及锚固；锚杆钢筋除锈；防护网的场内搬运、布设、固定及清理等全部工作</t>
  </si>
  <si>
    <t>C30混凝土</t>
  </si>
  <si>
    <t>主动拦石网</t>
  </si>
  <si>
    <t>M10浆砌片石脚墙基础</t>
  </si>
  <si>
    <t>普通土</t>
  </si>
  <si>
    <t>C25混凝土</t>
  </si>
  <si>
    <t>重型机械振动碾压</t>
  </si>
  <si>
    <t>除碎石，土工格栅外全部费用</t>
  </si>
  <si>
    <t>小型机械碾压</t>
  </si>
  <si>
    <t>土工格栅</t>
  </si>
  <si>
    <t>抗拉强度80kN/m</t>
  </si>
  <si>
    <t>垫层</t>
  </si>
  <si>
    <t>碎石垫层</t>
  </si>
  <si>
    <t>排水工程</t>
  </si>
  <si>
    <t>各类水沟</t>
  </si>
  <si>
    <t>各类水沟长度</t>
  </si>
  <si>
    <t>侧沟(单侧)</t>
  </si>
  <si>
    <t>矩形侧沟</t>
  </si>
  <si>
    <t>主体</t>
  </si>
  <si>
    <t>HPB300φ10钢筋</t>
  </si>
  <si>
    <t>挖基土</t>
  </si>
  <si>
    <t>挖石</t>
  </si>
  <si>
    <t>盖板</t>
  </si>
  <si>
    <t>HPB300φ8钢筋</t>
  </si>
  <si>
    <t>侧沟平台</t>
  </si>
  <si>
    <t>勾缝</t>
  </si>
  <si>
    <t>梯形排水沟</t>
  </si>
  <si>
    <t>梯形天沟</t>
  </si>
  <si>
    <t>排水沟长度</t>
  </si>
  <si>
    <t>左侧</t>
  </si>
  <si>
    <t>右侧</t>
  </si>
  <si>
    <t>沉降缝</t>
  </si>
  <si>
    <t>沥青麻筋(厚0.02m)</t>
  </si>
  <si>
    <t>按实际完成以平米计</t>
  </si>
  <si>
    <t>浸泡麻筋、安装，嵌塞，抹铺砂浆等全部工作内容</t>
  </si>
  <si>
    <t>掺4%水泥改良土</t>
  </si>
  <si>
    <t>急流槽</t>
  </si>
  <si>
    <t>槽身</t>
  </si>
  <si>
    <t>C35混凝土拦水墙</t>
  </si>
  <si>
    <t>消能池</t>
  </si>
  <si>
    <t>挖基、选修片石及洗刷、拌制砂浆、铺浆制施工、安砌及勾缝、整理及养护，清理工作场地</t>
  </si>
  <si>
    <t>拆除工程</t>
  </si>
  <si>
    <t>拆除圬工</t>
  </si>
  <si>
    <t>浆砌片石</t>
  </si>
  <si>
    <t>排洪沟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</si>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</sst>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\ \ @"/>
  </numFmts>
  <fonts count="41">
    <font>
      <sz val="11"/>
      <color rgb="FF000000"/>
      <name val="Arial"/>
      <charset val="204"/>
    </font>
    <font>
      <sz val="8"/>
      <color rgb="FF000000"/>
      <name val="Arial"/>
      <charset val="134"/>
    </font>
    <font>
      <sz val="11"/>
      <name val="Arial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604050"/>
      <name val="宋体"/>
      <charset val="134"/>
    </font>
    <font>
      <sz val="10"/>
      <color rgb="FF405060"/>
      <name val="宋体"/>
      <charset val="134"/>
    </font>
    <font>
      <sz val="10"/>
      <color rgb="FF604040"/>
      <name val="宋体"/>
      <charset val="134"/>
    </font>
    <font>
      <sz val="9"/>
      <color rgb="FF000000"/>
      <name val="宋体"/>
      <charset val="134"/>
    </font>
    <font>
      <sz val="10"/>
      <color rgb="FF404040"/>
      <name val="宋体"/>
      <charset val="134"/>
    </font>
    <font>
      <sz val="10"/>
      <color rgb="FF40405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SimSun"/>
      <charset val="134"/>
    </font>
    <font>
      <sz val="11"/>
      <color rgb="FF000000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1" applyNumberFormat="0" applyAlignment="0" applyProtection="0">
      <alignment vertical="center"/>
    </xf>
    <xf numFmtId="0" fontId="30" fillId="6" borderId="12" applyNumberFormat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7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3" fillId="2" borderId="5" xfId="49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U154"/>
  <sheetViews>
    <sheetView tabSelected="1" workbookViewId="0">
      <pane xSplit="6" ySplit="2" topLeftCell="G134" activePane="bottomRight" state="frozen"/>
      <selection/>
      <selection pane="topRight"/>
      <selection pane="bottomLeft"/>
      <selection pane="bottomRight" activeCell="J154" sqref="J154"/>
    </sheetView>
  </sheetViews>
  <sheetFormatPr defaultColWidth="9" defaultRowHeight="16.8"/>
  <cols>
    <col min="1" max="3" width="9.625" style="3" customWidth="1"/>
    <col min="4" max="4" width="12.375" style="3" customWidth="1"/>
    <col min="5" max="5" width="5" style="3" customWidth="1"/>
    <col min="6" max="7" width="7.875" style="3" customWidth="1"/>
    <col min="8" max="8" width="15.796875" style="3" customWidth="1"/>
    <col min="9" max="10" width="19.125" style="3" customWidth="1"/>
    <col min="11" max="11" width="31.125" style="3" customWidth="1"/>
    <col min="12" max="45" width="11.375" style="4" hidden="1" customWidth="1"/>
    <col min="46" max="46" width="11.375" style="3" hidden="1" customWidth="1"/>
    <col min="47" max="47" width="11.375" style="4" hidden="1" customWidth="1"/>
    <col min="48" max="51" width="11.375" style="3" hidden="1" customWidth="1"/>
    <col min="52" max="52" width="11.375" style="4" hidden="1" customWidth="1"/>
    <col min="53" max="57" width="11.375" style="4" customWidth="1"/>
    <col min="58" max="16384" width="9" style="4"/>
  </cols>
  <sheetData>
    <row r="1" s="1" customFormat="1" ht="76" spans="1:99">
      <c r="A1" s="5" t="s">
        <v>0</v>
      </c>
      <c r="B1" s="5"/>
      <c r="C1" s="5"/>
      <c r="D1" s="5"/>
      <c r="E1" s="5" t="s">
        <v>1</v>
      </c>
      <c r="F1" s="5" t="s">
        <v>2</v>
      </c>
      <c r="G1" s="5" t="s">
        <v>3</v>
      </c>
      <c r="H1" s="5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8" t="s">
        <v>37</v>
      </c>
      <c r="AP1" s="7" t="s">
        <v>38</v>
      </c>
      <c r="AQ1" s="8" t="s">
        <v>39</v>
      </c>
      <c r="AR1" s="8" t="s">
        <v>40</v>
      </c>
      <c r="AS1" s="8" t="s">
        <v>41</v>
      </c>
      <c r="AT1" s="7" t="s">
        <v>42</v>
      </c>
      <c r="AU1" s="8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8" t="s">
        <v>48</v>
      </c>
      <c r="BA1" s="8" t="s">
        <v>49</v>
      </c>
    </row>
    <row r="2" spans="1:99">
      <c r="A2" s="5"/>
      <c r="B2" s="5"/>
      <c r="C2" s="5"/>
      <c r="D2" s="5"/>
      <c r="E2" s="5"/>
      <c r="F2" s="5"/>
      <c r="G2" s="5"/>
      <c r="H2" s="5"/>
      <c r="I2" s="6"/>
      <c r="J2" s="6"/>
      <c r="K2" s="6"/>
      <c r="L2" s="8" t="s">
        <v>50</v>
      </c>
      <c r="M2" s="8" t="s">
        <v>50</v>
      </c>
      <c r="N2" s="8" t="s">
        <v>50</v>
      </c>
      <c r="O2" s="8" t="s">
        <v>50</v>
      </c>
      <c r="P2" s="8" t="s">
        <v>50</v>
      </c>
      <c r="Q2" s="8" t="s">
        <v>50</v>
      </c>
      <c r="R2" s="8" t="s">
        <v>50</v>
      </c>
      <c r="S2" s="8" t="s">
        <v>50</v>
      </c>
      <c r="T2" s="8" t="s">
        <v>50</v>
      </c>
      <c r="U2" s="8" t="s">
        <v>50</v>
      </c>
      <c r="V2" s="8" t="s">
        <v>50</v>
      </c>
      <c r="W2" s="8" t="s">
        <v>50</v>
      </c>
      <c r="X2" s="8" t="s">
        <v>50</v>
      </c>
      <c r="Y2" s="8" t="s">
        <v>50</v>
      </c>
      <c r="Z2" s="8" t="s">
        <v>50</v>
      </c>
      <c r="AA2" s="8" t="s">
        <v>50</v>
      </c>
      <c r="AB2" s="8" t="s">
        <v>50</v>
      </c>
      <c r="AC2" s="8" t="s">
        <v>50</v>
      </c>
      <c r="AD2" s="8" t="s">
        <v>50</v>
      </c>
      <c r="AE2" s="8" t="s">
        <v>50</v>
      </c>
      <c r="AF2" s="8" t="s">
        <v>50</v>
      </c>
      <c r="AG2" s="8" t="s">
        <v>50</v>
      </c>
      <c r="AH2" s="8" t="s">
        <v>50</v>
      </c>
      <c r="AI2" s="8" t="s">
        <v>50</v>
      </c>
      <c r="AJ2" s="8" t="s">
        <v>50</v>
      </c>
      <c r="AK2" s="8" t="s">
        <v>50</v>
      </c>
      <c r="AL2" s="8" t="s">
        <v>50</v>
      </c>
      <c r="AM2" s="8" t="s">
        <v>50</v>
      </c>
      <c r="AN2" s="8" t="s">
        <v>50</v>
      </c>
      <c r="AO2" s="8" t="s">
        <v>50</v>
      </c>
      <c r="AP2" s="8" t="s">
        <v>50</v>
      </c>
      <c r="AQ2" s="8" t="s">
        <v>50</v>
      </c>
      <c r="AR2" s="8" t="s">
        <v>50</v>
      </c>
      <c r="AS2" s="8" t="s">
        <v>50</v>
      </c>
      <c r="AT2" s="7" t="s">
        <v>50</v>
      </c>
      <c r="AU2" s="8" t="s">
        <v>50</v>
      </c>
      <c r="AV2" s="7" t="s">
        <v>50</v>
      </c>
      <c r="AW2" s="7" t="s">
        <v>50</v>
      </c>
      <c r="AX2" s="7" t="s">
        <v>50</v>
      </c>
      <c r="AY2" s="7" t="s">
        <v>50</v>
      </c>
      <c r="AZ2" s="8" t="s">
        <v>50</v>
      </c>
      <c r="BA2" s="9"/>
    </row>
    <row r="3" ht="31" spans="1:99">
      <c r="A3" s="5" t="s">
        <v>51</v>
      </c>
      <c r="B3" s="5" t="s">
        <v>52</v>
      </c>
      <c r="C3" s="5" t="s">
        <v>53</v>
      </c>
      <c r="D3" s="5" t="s">
        <v>54</v>
      </c>
      <c r="E3" s="5" t="s">
        <v>55</v>
      </c>
      <c r="F3" s="5">
        <f t="shared" ref="F3:F53" si="0">L3+M3+N3+O3+P3+Q3+R3+S3+T3+U3+V3+W3+X3+Y3+Z3+AA3+AB3+AC3+AD3+AE3+AF3+AG3+AH3+AI3+AJ3+AK3+AL3+AM3+AN3+AO3+AP3+AQ3+AR3+AS3+AT3+AU3+AV3+AW3+AX3+AY3+AZ3</f>
        <v>936</v>
      </c>
      <c r="G3" s="5">
        <v>115.82</v>
      </c>
      <c r="H3" s="5">
        <f>F3*G3</f>
        <v>108407.52</v>
      </c>
      <c r="I3" s="6" t="s">
        <v>56</v>
      </c>
      <c r="J3" s="6" t="s">
        <v>57</v>
      </c>
      <c r="K3" s="6" t="s">
        <v>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>
        <v>161</v>
      </c>
      <c r="AO3" s="8">
        <v>76</v>
      </c>
      <c r="AP3" s="8"/>
      <c r="AQ3" s="10">
        <v>179</v>
      </c>
      <c r="AR3" s="10">
        <v>76</v>
      </c>
      <c r="AS3" s="10">
        <v>76</v>
      </c>
      <c r="AT3" s="8"/>
      <c r="AU3" s="8">
        <v>81</v>
      </c>
      <c r="AV3" s="8"/>
      <c r="AW3" s="8">
        <v>130</v>
      </c>
      <c r="AX3" s="8"/>
      <c r="AY3" s="8"/>
      <c r="AZ3" s="8">
        <v>157</v>
      </c>
      <c r="BA3" s="8"/>
      <c r="BB3" s="3"/>
      <c r="BC3" s="3"/>
    </row>
    <row r="4" ht="31" spans="1:99">
      <c r="A4" s="5"/>
      <c r="B4" s="5"/>
      <c r="C4" s="5"/>
      <c r="D4" s="5" t="s">
        <v>59</v>
      </c>
      <c r="E4" s="5" t="s">
        <v>55</v>
      </c>
      <c r="F4" s="5">
        <f t="shared" si="0"/>
        <v>24994</v>
      </c>
      <c r="G4" s="5">
        <v>95.04</v>
      </c>
      <c r="H4" s="5">
        <f t="shared" ref="H4:H35" si="1">F4*G4</f>
        <v>2375429.76</v>
      </c>
      <c r="I4" s="6" t="s">
        <v>56</v>
      </c>
      <c r="J4" s="6" t="s">
        <v>57</v>
      </c>
      <c r="K4" s="6" t="s">
        <v>58</v>
      </c>
      <c r="L4" s="11">
        <v>34</v>
      </c>
      <c r="M4" s="11"/>
      <c r="N4" s="11">
        <v>991</v>
      </c>
      <c r="O4" s="11"/>
      <c r="P4" s="11">
        <v>85</v>
      </c>
      <c r="Q4" s="11">
        <v>106</v>
      </c>
      <c r="R4" s="11"/>
      <c r="S4" s="11">
        <v>96</v>
      </c>
      <c r="T4" s="11"/>
      <c r="U4" s="11"/>
      <c r="V4" s="11"/>
      <c r="W4" s="11"/>
      <c r="X4" s="11">
        <v>74</v>
      </c>
      <c r="Y4" s="11">
        <v>79</v>
      </c>
      <c r="Z4" s="11"/>
      <c r="AA4" s="11"/>
      <c r="AB4" s="11"/>
      <c r="AC4" s="11"/>
      <c r="AD4" s="11">
        <v>5662</v>
      </c>
      <c r="AE4" s="11">
        <v>2144</v>
      </c>
      <c r="AF4" s="11"/>
      <c r="AG4" s="11">
        <v>4089</v>
      </c>
      <c r="AH4" s="11">
        <v>4543</v>
      </c>
      <c r="AI4" s="11">
        <v>96</v>
      </c>
      <c r="AJ4" s="11">
        <v>1085</v>
      </c>
      <c r="AK4" s="11">
        <v>1050</v>
      </c>
      <c r="AL4" s="11">
        <v>2567</v>
      </c>
      <c r="AM4" s="11">
        <v>2293</v>
      </c>
      <c r="AN4" s="11"/>
      <c r="AO4" s="11"/>
      <c r="AP4" s="11"/>
      <c r="AQ4" s="11"/>
      <c r="AR4" s="11"/>
      <c r="AS4" s="11"/>
      <c r="AT4" s="10"/>
      <c r="AU4" s="11"/>
      <c r="AV4" s="10"/>
      <c r="AW4" s="10"/>
      <c r="AX4" s="10"/>
      <c r="AY4" s="10"/>
      <c r="AZ4" s="11"/>
      <c r="BA4" s="11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</row>
    <row r="5" ht="31" spans="1:99">
      <c r="A5" s="5"/>
      <c r="B5" s="5"/>
      <c r="C5" s="5" t="s">
        <v>60</v>
      </c>
      <c r="D5" s="5" t="s">
        <v>61</v>
      </c>
      <c r="E5" s="5" t="s">
        <v>55</v>
      </c>
      <c r="F5" s="5">
        <f t="shared" si="0"/>
        <v>38092</v>
      </c>
      <c r="G5" s="5">
        <v>95.04</v>
      </c>
      <c r="H5" s="5">
        <f t="shared" si="1"/>
        <v>3620263.68</v>
      </c>
      <c r="I5" s="6" t="s">
        <v>56</v>
      </c>
      <c r="J5" s="6" t="s">
        <v>57</v>
      </c>
      <c r="K5" s="6" t="s">
        <v>58</v>
      </c>
      <c r="L5" s="11"/>
      <c r="M5" s="11"/>
      <c r="N5" s="11">
        <v>1525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>
        <v>5187</v>
      </c>
      <c r="AE5" s="11">
        <v>2169</v>
      </c>
      <c r="AF5" s="11"/>
      <c r="AG5" s="11">
        <v>7933</v>
      </c>
      <c r="AH5" s="11">
        <v>6502</v>
      </c>
      <c r="AI5" s="11"/>
      <c r="AJ5" s="11">
        <v>1234</v>
      </c>
      <c r="AK5" s="11">
        <v>1324</v>
      </c>
      <c r="AL5" s="11">
        <v>6357</v>
      </c>
      <c r="AM5" s="11">
        <v>5861</v>
      </c>
      <c r="AN5" s="11"/>
      <c r="AO5" s="11"/>
      <c r="AP5" s="11"/>
      <c r="AQ5" s="11"/>
      <c r="AR5" s="11"/>
      <c r="AS5" s="11"/>
      <c r="AT5" s="10"/>
      <c r="AU5" s="11"/>
      <c r="AV5" s="10"/>
      <c r="AW5" s="10"/>
      <c r="AX5" s="10"/>
      <c r="AY5" s="10"/>
      <c r="AZ5" s="11"/>
      <c r="BA5" s="11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</row>
    <row r="6" ht="28" spans="1:99">
      <c r="A6" s="5"/>
      <c r="B6" s="5"/>
      <c r="C6" s="5"/>
      <c r="D6" s="5" t="s">
        <v>62</v>
      </c>
      <c r="E6" s="5" t="s">
        <v>55</v>
      </c>
      <c r="F6" s="5">
        <f t="shared" si="0"/>
        <v>33862</v>
      </c>
      <c r="G6" s="5">
        <v>95.04</v>
      </c>
      <c r="H6" s="5">
        <f t="shared" si="1"/>
        <v>3218244.48</v>
      </c>
      <c r="I6" s="6" t="s">
        <v>56</v>
      </c>
      <c r="J6" s="6" t="s">
        <v>57</v>
      </c>
      <c r="K6" s="6" t="s">
        <v>58</v>
      </c>
      <c r="L6" s="11"/>
      <c r="M6" s="11"/>
      <c r="N6" s="11">
        <v>1166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>
        <v>4072</v>
      </c>
      <c r="AE6" s="11">
        <v>583</v>
      </c>
      <c r="AF6" s="11"/>
      <c r="AG6" s="11">
        <v>6054</v>
      </c>
      <c r="AH6" s="11">
        <v>7536</v>
      </c>
      <c r="AI6" s="11"/>
      <c r="AJ6" s="11"/>
      <c r="AK6" s="11">
        <v>1158</v>
      </c>
      <c r="AL6" s="11">
        <v>6467</v>
      </c>
      <c r="AM6" s="11">
        <v>6826</v>
      </c>
      <c r="AN6" s="11"/>
      <c r="AO6" s="11"/>
      <c r="AP6" s="11"/>
      <c r="AQ6" s="11"/>
      <c r="AR6" s="11"/>
      <c r="AS6" s="11"/>
      <c r="AT6" s="10"/>
      <c r="AU6" s="11"/>
      <c r="AV6" s="10"/>
      <c r="AW6" s="10"/>
      <c r="AX6" s="10"/>
      <c r="AY6" s="10"/>
      <c r="AZ6" s="11"/>
      <c r="BA6" s="11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</row>
    <row r="7" ht="28" spans="1:99">
      <c r="A7" s="5"/>
      <c r="B7" s="5"/>
      <c r="C7" s="5" t="s">
        <v>63</v>
      </c>
      <c r="D7" s="5" t="s">
        <v>64</v>
      </c>
      <c r="E7" s="5" t="s">
        <v>55</v>
      </c>
      <c r="F7" s="5">
        <f t="shared" si="0"/>
        <v>48068</v>
      </c>
      <c r="G7" s="5">
        <v>19.04</v>
      </c>
      <c r="H7" s="5">
        <f t="shared" si="1"/>
        <v>915214.72</v>
      </c>
      <c r="I7" s="6" t="s">
        <v>56</v>
      </c>
      <c r="J7" s="6" t="s">
        <v>57</v>
      </c>
      <c r="K7" s="6" t="s">
        <v>58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>
        <v>202</v>
      </c>
      <c r="AB7" s="11"/>
      <c r="AC7" s="11"/>
      <c r="AD7" s="11">
        <v>10188</v>
      </c>
      <c r="AE7" s="11">
        <v>329</v>
      </c>
      <c r="AF7" s="11"/>
      <c r="AG7" s="11">
        <v>12218</v>
      </c>
      <c r="AH7" s="11">
        <v>10752</v>
      </c>
      <c r="AI7" s="11"/>
      <c r="AJ7" s="11"/>
      <c r="AK7" s="11">
        <v>2165</v>
      </c>
      <c r="AL7" s="11">
        <v>12214</v>
      </c>
      <c r="AM7" s="11"/>
      <c r="AN7" s="11"/>
      <c r="AO7" s="11"/>
      <c r="AP7" s="11"/>
      <c r="AQ7" s="11"/>
      <c r="AR7" s="11"/>
      <c r="AS7" s="11"/>
      <c r="AT7" s="10"/>
      <c r="AU7" s="11"/>
      <c r="AV7" s="10"/>
      <c r="AW7" s="10"/>
      <c r="AX7" s="10"/>
      <c r="AY7" s="10"/>
      <c r="AZ7" s="11"/>
      <c r="BA7" s="11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</row>
    <row r="8" ht="28" spans="1:99">
      <c r="A8" s="5"/>
      <c r="B8" s="5"/>
      <c r="C8" s="5"/>
      <c r="D8" s="5" t="s">
        <v>65</v>
      </c>
      <c r="E8" s="5" t="s">
        <v>55</v>
      </c>
      <c r="F8" s="5">
        <f t="shared" si="0"/>
        <v>37095</v>
      </c>
      <c r="G8" s="5">
        <v>65.04</v>
      </c>
      <c r="H8" s="5">
        <f t="shared" si="1"/>
        <v>2412658.8</v>
      </c>
      <c r="I8" s="6" t="s">
        <v>56</v>
      </c>
      <c r="J8" s="6" t="s">
        <v>57</v>
      </c>
      <c r="K8" s="6" t="s">
        <v>58</v>
      </c>
      <c r="L8" s="11"/>
      <c r="M8" s="11"/>
      <c r="N8" s="11"/>
      <c r="O8" s="11"/>
      <c r="P8" s="11"/>
      <c r="Q8" s="11"/>
      <c r="R8" s="11">
        <v>594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>
        <v>7458</v>
      </c>
      <c r="AL8" s="11"/>
      <c r="AM8" s="11">
        <v>29043</v>
      </c>
      <c r="AN8" s="11"/>
      <c r="AO8" s="11"/>
      <c r="AP8" s="11"/>
      <c r="AQ8" s="11"/>
      <c r="AR8" s="11"/>
      <c r="AS8" s="11"/>
      <c r="AT8" s="10"/>
      <c r="AU8" s="11"/>
      <c r="AV8" s="10"/>
      <c r="AW8" s="10"/>
      <c r="AX8" s="10"/>
      <c r="AY8" s="10"/>
      <c r="AZ8" s="11"/>
      <c r="BA8" s="11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ht="46" spans="1:99">
      <c r="A9" s="5"/>
      <c r="B9" s="5"/>
      <c r="C9" s="5" t="s">
        <v>66</v>
      </c>
      <c r="D9" s="5" t="s">
        <v>67</v>
      </c>
      <c r="E9" s="5" t="s">
        <v>55</v>
      </c>
      <c r="F9" s="5">
        <f t="shared" si="0"/>
        <v>3482</v>
      </c>
      <c r="G9" s="5">
        <v>19.05</v>
      </c>
      <c r="H9" s="5">
        <f t="shared" si="1"/>
        <v>66332.1</v>
      </c>
      <c r="I9" s="6" t="s">
        <v>56</v>
      </c>
      <c r="J9" s="6" t="s">
        <v>57</v>
      </c>
      <c r="K9" s="6" t="s">
        <v>58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>
        <v>738</v>
      </c>
      <c r="AE9" s="11"/>
      <c r="AF9" s="11"/>
      <c r="AG9" s="11">
        <v>33</v>
      </c>
      <c r="AH9" s="11">
        <v>643</v>
      </c>
      <c r="AI9" s="11"/>
      <c r="AJ9" s="11">
        <v>224</v>
      </c>
      <c r="AK9" s="11">
        <v>339</v>
      </c>
      <c r="AL9" s="11">
        <v>1079</v>
      </c>
      <c r="AM9" s="11">
        <v>426</v>
      </c>
      <c r="AN9" s="11"/>
      <c r="AO9" s="11"/>
      <c r="AP9" s="11"/>
      <c r="AQ9" s="11"/>
      <c r="AR9" s="11"/>
      <c r="AS9" s="11"/>
      <c r="AT9" s="10"/>
      <c r="AU9" s="11"/>
      <c r="AV9" s="10"/>
      <c r="AW9" s="10"/>
      <c r="AX9" s="10"/>
      <c r="AY9" s="10"/>
      <c r="AZ9" s="11"/>
      <c r="BA9" s="11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</row>
    <row r="10" ht="46" spans="1:99">
      <c r="A10" s="5"/>
      <c r="B10" s="5"/>
      <c r="C10" s="5" t="s">
        <v>68</v>
      </c>
      <c r="D10" s="5" t="s">
        <v>67</v>
      </c>
      <c r="E10" s="5" t="s">
        <v>55</v>
      </c>
      <c r="F10" s="5">
        <f t="shared" si="0"/>
        <v>270</v>
      </c>
      <c r="G10" s="5">
        <v>15.23</v>
      </c>
      <c r="H10" s="5">
        <f t="shared" si="1"/>
        <v>4112.1</v>
      </c>
      <c r="I10" s="6" t="s">
        <v>56</v>
      </c>
      <c r="J10" s="6" t="s">
        <v>57</v>
      </c>
      <c r="K10" s="6" t="s">
        <v>58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>
        <v>135</v>
      </c>
      <c r="AI10" s="11"/>
      <c r="AJ10" s="11">
        <v>135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0"/>
      <c r="AU10" s="11"/>
      <c r="AV10" s="10"/>
      <c r="AW10" s="10"/>
      <c r="AX10" s="10"/>
      <c r="AY10" s="10"/>
      <c r="AZ10" s="11"/>
      <c r="BA10" s="11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</row>
    <row r="11" ht="41" spans="1:99">
      <c r="A11" s="5"/>
      <c r="B11" s="5" t="s">
        <v>69</v>
      </c>
      <c r="C11" s="5" t="s">
        <v>70</v>
      </c>
      <c r="D11" s="5" t="s">
        <v>71</v>
      </c>
      <c r="E11" s="5" t="s">
        <v>55</v>
      </c>
      <c r="F11" s="5">
        <f t="shared" si="0"/>
        <v>4696</v>
      </c>
      <c r="G11" s="5">
        <v>17.54</v>
      </c>
      <c r="H11" s="5">
        <f t="shared" si="1"/>
        <v>82367.84</v>
      </c>
      <c r="I11" s="6" t="s">
        <v>56</v>
      </c>
      <c r="J11" s="6" t="s">
        <v>72</v>
      </c>
      <c r="K11" s="6" t="s">
        <v>73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>
        <v>1455</v>
      </c>
      <c r="AE11" s="11">
        <v>90</v>
      </c>
      <c r="AF11" s="11"/>
      <c r="AG11" s="11">
        <v>848</v>
      </c>
      <c r="AH11" s="11"/>
      <c r="AI11" s="11"/>
      <c r="AJ11" s="11"/>
      <c r="AK11" s="11">
        <v>0</v>
      </c>
      <c r="AL11" s="11">
        <v>1436</v>
      </c>
      <c r="AM11" s="11">
        <v>867</v>
      </c>
      <c r="AN11" s="11"/>
      <c r="AO11" s="11"/>
      <c r="AP11" s="11"/>
      <c r="AQ11" s="11"/>
      <c r="AR11" s="11"/>
      <c r="AS11" s="11"/>
      <c r="AT11" s="10"/>
      <c r="AU11" s="11"/>
      <c r="AV11" s="10"/>
      <c r="AW11" s="10"/>
      <c r="AX11" s="10"/>
      <c r="AY11" s="10"/>
      <c r="AZ11" s="11"/>
      <c r="BA11" s="11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</row>
    <row r="12" ht="41" spans="1:99">
      <c r="A12" s="5"/>
      <c r="B12" s="5"/>
      <c r="C12" s="5"/>
      <c r="D12" s="5" t="s">
        <v>74</v>
      </c>
      <c r="E12" s="5" t="s">
        <v>55</v>
      </c>
      <c r="F12" s="5">
        <f t="shared" si="0"/>
        <v>203574</v>
      </c>
      <c r="G12" s="5">
        <v>7.27</v>
      </c>
      <c r="H12" s="5">
        <f t="shared" si="1"/>
        <v>1479982.98</v>
      </c>
      <c r="I12" s="6" t="s">
        <v>75</v>
      </c>
      <c r="J12" s="6" t="s">
        <v>76</v>
      </c>
      <c r="K12" s="6" t="s">
        <v>77</v>
      </c>
      <c r="L12" s="11">
        <v>10328</v>
      </c>
      <c r="M12" s="11"/>
      <c r="N12" s="11">
        <v>6022</v>
      </c>
      <c r="O12" s="11"/>
      <c r="P12" s="11">
        <v>85</v>
      </c>
      <c r="Q12" s="11">
        <v>106</v>
      </c>
      <c r="R12" s="11">
        <v>1856</v>
      </c>
      <c r="S12" s="11">
        <v>96</v>
      </c>
      <c r="T12" s="11"/>
      <c r="U12" s="11"/>
      <c r="V12" s="13"/>
      <c r="W12" s="11"/>
      <c r="X12" s="11">
        <v>74</v>
      </c>
      <c r="Y12" s="11">
        <v>79</v>
      </c>
      <c r="Z12" s="13"/>
      <c r="AA12" s="13">
        <v>1198</v>
      </c>
      <c r="AB12" s="11">
        <v>630</v>
      </c>
      <c r="AC12" s="11"/>
      <c r="AD12" s="11">
        <v>105311</v>
      </c>
      <c r="AE12" s="11">
        <v>18454</v>
      </c>
      <c r="AF12" s="11"/>
      <c r="AG12" s="11">
        <v>14816</v>
      </c>
      <c r="AH12" s="11">
        <v>25671</v>
      </c>
      <c r="AI12" s="11">
        <v>96</v>
      </c>
      <c r="AJ12" s="11">
        <v>10017</v>
      </c>
      <c r="AK12" s="11">
        <v>0</v>
      </c>
      <c r="AL12" s="11">
        <v>2169</v>
      </c>
      <c r="AM12" s="11">
        <v>5630</v>
      </c>
      <c r="AN12" s="11">
        <v>161</v>
      </c>
      <c r="AO12" s="11">
        <v>76</v>
      </c>
      <c r="AP12" s="11"/>
      <c r="AQ12" s="11">
        <v>179</v>
      </c>
      <c r="AR12" s="11">
        <v>76</v>
      </c>
      <c r="AS12" s="11">
        <v>76</v>
      </c>
      <c r="AT12" s="10"/>
      <c r="AU12" s="11">
        <v>81</v>
      </c>
      <c r="AV12" s="10"/>
      <c r="AW12" s="10">
        <v>130</v>
      </c>
      <c r="AX12" s="10"/>
      <c r="AY12" s="10"/>
      <c r="AZ12" s="11">
        <v>157</v>
      </c>
      <c r="BA12" s="11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</row>
    <row r="13" ht="41" spans="1:99">
      <c r="A13" s="5"/>
      <c r="B13" s="5"/>
      <c r="C13" s="5"/>
      <c r="D13" s="5" t="s">
        <v>78</v>
      </c>
      <c r="E13" s="5" t="s">
        <v>55</v>
      </c>
      <c r="F13" s="5">
        <f t="shared" si="0"/>
        <v>69891</v>
      </c>
      <c r="G13" s="5">
        <v>7.27</v>
      </c>
      <c r="H13" s="5">
        <f t="shared" si="1"/>
        <v>508107.57</v>
      </c>
      <c r="I13" s="6" t="s">
        <v>75</v>
      </c>
      <c r="J13" s="6" t="s">
        <v>76</v>
      </c>
      <c r="K13" s="6" t="s">
        <v>77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0"/>
      <c r="AU13" s="11"/>
      <c r="AV13" s="10"/>
      <c r="AW13" s="10"/>
      <c r="AX13" s="10">
        <v>69891</v>
      </c>
      <c r="AY13" s="10"/>
      <c r="AZ13" s="11"/>
      <c r="BA13" s="11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</row>
    <row r="14" ht="41" spans="1:99">
      <c r="A14" s="5"/>
      <c r="B14" s="5"/>
      <c r="C14" s="5"/>
      <c r="D14" s="5" t="s">
        <v>79</v>
      </c>
      <c r="E14" s="5" t="s">
        <v>55</v>
      </c>
      <c r="F14" s="5">
        <f t="shared" si="0"/>
        <v>58746</v>
      </c>
      <c r="G14" s="5">
        <v>7.83</v>
      </c>
      <c r="H14" s="5">
        <f t="shared" si="1"/>
        <v>459981.18</v>
      </c>
      <c r="I14" s="6" t="s">
        <v>75</v>
      </c>
      <c r="J14" s="6" t="s">
        <v>76</v>
      </c>
      <c r="K14" s="6" t="s">
        <v>77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>
        <v>17878</v>
      </c>
      <c r="AH14" s="11">
        <v>17393</v>
      </c>
      <c r="AI14" s="11"/>
      <c r="AJ14" s="11">
        <v>15400</v>
      </c>
      <c r="AK14" s="11">
        <v>8075</v>
      </c>
      <c r="AL14" s="11"/>
      <c r="AM14" s="11"/>
      <c r="AN14" s="11"/>
      <c r="AO14" s="11"/>
      <c r="AP14" s="11"/>
      <c r="AQ14" s="11"/>
      <c r="AR14" s="11"/>
      <c r="AS14" s="11"/>
      <c r="AT14" s="10"/>
      <c r="AU14" s="11"/>
      <c r="AV14" s="10"/>
      <c r="AW14" s="10"/>
      <c r="AX14" s="10"/>
      <c r="AY14" s="10"/>
      <c r="AZ14" s="11"/>
      <c r="BA14" s="11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</row>
    <row r="15" ht="28" spans="1:99">
      <c r="A15" s="5"/>
      <c r="B15" s="5"/>
      <c r="C15" s="5" t="s">
        <v>80</v>
      </c>
      <c r="D15" s="5" t="s">
        <v>81</v>
      </c>
      <c r="E15" s="5" t="s">
        <v>55</v>
      </c>
      <c r="F15" s="5">
        <f t="shared" si="0"/>
        <v>258708</v>
      </c>
      <c r="G15" s="5">
        <v>18.91</v>
      </c>
      <c r="H15" s="5">
        <f t="shared" si="1"/>
        <v>4892168.28</v>
      </c>
      <c r="I15" s="6" t="s">
        <v>75</v>
      </c>
      <c r="J15" s="6" t="s">
        <v>82</v>
      </c>
      <c r="K15" s="6" t="s">
        <v>76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>
        <v>193985</v>
      </c>
      <c r="AE15" s="11">
        <v>23185</v>
      </c>
      <c r="AF15" s="11"/>
      <c r="AG15" s="11">
        <v>10208</v>
      </c>
      <c r="AH15" s="11">
        <v>13140</v>
      </c>
      <c r="AI15" s="11"/>
      <c r="AJ15" s="11"/>
      <c r="AK15" s="11"/>
      <c r="AL15" s="11">
        <v>18190</v>
      </c>
      <c r="AM15" s="11"/>
      <c r="AN15" s="11"/>
      <c r="AO15" s="11"/>
      <c r="AP15" s="11"/>
      <c r="AQ15" s="11"/>
      <c r="AR15" s="11"/>
      <c r="AS15" s="11"/>
      <c r="AT15" s="10"/>
      <c r="AU15" s="11"/>
      <c r="AV15" s="10"/>
      <c r="AW15" s="10"/>
      <c r="AX15" s="10"/>
      <c r="AY15" s="10"/>
      <c r="AZ15" s="11"/>
      <c r="BA15" s="11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</row>
    <row r="16" ht="31" spans="1:99">
      <c r="A16" s="5"/>
      <c r="B16" s="5" t="s">
        <v>83</v>
      </c>
      <c r="C16" s="5" t="s">
        <v>84</v>
      </c>
      <c r="D16" s="5" t="s">
        <v>85</v>
      </c>
      <c r="E16" s="5" t="s">
        <v>55</v>
      </c>
      <c r="F16" s="5">
        <f t="shared" si="0"/>
        <v>53575</v>
      </c>
      <c r="G16" s="5">
        <v>217.49</v>
      </c>
      <c r="H16" s="5">
        <f t="shared" si="1"/>
        <v>11652026.75</v>
      </c>
      <c r="I16" s="6" t="s">
        <v>86</v>
      </c>
      <c r="J16" s="6" t="s">
        <v>87</v>
      </c>
      <c r="K16" s="6" t="s">
        <v>88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>
        <v>40435</v>
      </c>
      <c r="AE16" s="11"/>
      <c r="AF16" s="11"/>
      <c r="AG16" s="11"/>
      <c r="AH16" s="11">
        <v>13140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0"/>
      <c r="AU16" s="11"/>
      <c r="AV16" s="10"/>
      <c r="AW16" s="10"/>
      <c r="AX16" s="10"/>
      <c r="AY16" s="10"/>
      <c r="AZ16" s="11"/>
      <c r="BA16" s="11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</row>
    <row r="17" ht="28" spans="1:99">
      <c r="A17" s="5"/>
      <c r="B17" s="5"/>
      <c r="C17" s="5" t="s">
        <v>89</v>
      </c>
      <c r="D17" s="5" t="s">
        <v>85</v>
      </c>
      <c r="E17" s="5" t="s">
        <v>55</v>
      </c>
      <c r="F17" s="5">
        <f t="shared" si="0"/>
        <v>67730</v>
      </c>
      <c r="G17" s="5">
        <v>18.91</v>
      </c>
      <c r="H17" s="5">
        <f t="shared" si="1"/>
        <v>1280774.3</v>
      </c>
      <c r="I17" s="6" t="s">
        <v>75</v>
      </c>
      <c r="J17" s="6" t="s">
        <v>82</v>
      </c>
      <c r="K17" s="6" t="s">
        <v>76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>
        <v>11619</v>
      </c>
      <c r="AE17" s="11">
        <v>23185</v>
      </c>
      <c r="AF17" s="11"/>
      <c r="AG17" s="11">
        <v>10208</v>
      </c>
      <c r="AH17" s="11"/>
      <c r="AI17" s="11"/>
      <c r="AJ17" s="11">
        <v>4528</v>
      </c>
      <c r="AK17" s="11"/>
      <c r="AL17" s="11">
        <v>18190</v>
      </c>
      <c r="AM17" s="11"/>
      <c r="AN17" s="11"/>
      <c r="AO17" s="11"/>
      <c r="AP17" s="11"/>
      <c r="AQ17" s="11"/>
      <c r="AR17" s="11"/>
      <c r="AS17" s="11"/>
      <c r="AT17" s="10"/>
      <c r="AU17" s="11"/>
      <c r="AV17" s="10"/>
      <c r="AW17" s="10"/>
      <c r="AX17" s="10"/>
      <c r="AY17" s="10"/>
      <c r="AZ17" s="11"/>
      <c r="BA17" s="11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</row>
    <row r="18" ht="68" spans="1:99">
      <c r="A18" s="5"/>
      <c r="B18" s="5"/>
      <c r="C18" s="5" t="s">
        <v>90</v>
      </c>
      <c r="D18" s="5" t="s">
        <v>91</v>
      </c>
      <c r="E18" s="5" t="s">
        <v>55</v>
      </c>
      <c r="F18" s="5">
        <f t="shared" si="0"/>
        <v>141931</v>
      </c>
      <c r="G18" s="5">
        <v>348.58</v>
      </c>
      <c r="H18" s="5">
        <f t="shared" si="1"/>
        <v>49474307.98</v>
      </c>
      <c r="I18" s="6" t="s">
        <v>92</v>
      </c>
      <c r="J18" s="6" t="s">
        <v>93</v>
      </c>
      <c r="K18" s="6" t="s">
        <v>94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>
        <v>141931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0"/>
      <c r="AU18" s="11"/>
      <c r="AV18" s="10"/>
      <c r="AW18" s="10"/>
      <c r="AX18" s="10"/>
      <c r="AY18" s="10"/>
      <c r="AZ18" s="11"/>
      <c r="BA18" s="11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</row>
    <row r="19" ht="41" spans="1:99">
      <c r="A19" s="5" t="s">
        <v>95</v>
      </c>
      <c r="B19" s="5" t="s">
        <v>96</v>
      </c>
      <c r="C19" s="5" t="s">
        <v>97</v>
      </c>
      <c r="D19" s="5"/>
      <c r="E19" s="5" t="s">
        <v>55</v>
      </c>
      <c r="F19" s="5">
        <f t="shared" si="0"/>
        <v>3894</v>
      </c>
      <c r="G19" s="5">
        <v>310</v>
      </c>
      <c r="H19" s="5">
        <f t="shared" si="1"/>
        <v>1207140</v>
      </c>
      <c r="I19" s="6" t="s">
        <v>98</v>
      </c>
      <c r="J19" s="6" t="s">
        <v>99</v>
      </c>
      <c r="K19" s="6" t="s">
        <v>100</v>
      </c>
      <c r="L19" s="11"/>
      <c r="M19" s="11"/>
      <c r="N19" s="11"/>
      <c r="O19" s="11"/>
      <c r="P19" s="11"/>
      <c r="Q19" s="11"/>
      <c r="R19" s="11">
        <v>180</v>
      </c>
      <c r="S19" s="11"/>
      <c r="T19" s="11"/>
      <c r="U19" s="11">
        <v>45</v>
      </c>
      <c r="V19" s="11"/>
      <c r="W19" s="11"/>
      <c r="X19" s="11"/>
      <c r="Y19" s="11"/>
      <c r="Z19" s="11"/>
      <c r="AA19" s="11"/>
      <c r="AB19" s="11">
        <v>1260</v>
      </c>
      <c r="AC19" s="11"/>
      <c r="AD19" s="11">
        <v>250</v>
      </c>
      <c r="AE19" s="11">
        <v>63</v>
      </c>
      <c r="AF19" s="11"/>
      <c r="AG19" s="11">
        <v>470</v>
      </c>
      <c r="AH19" s="11">
        <v>398</v>
      </c>
      <c r="AI19" s="11"/>
      <c r="AJ19" s="11"/>
      <c r="AK19" s="11">
        <v>351</v>
      </c>
      <c r="AL19" s="11">
        <v>425</v>
      </c>
      <c r="AM19" s="11">
        <v>452</v>
      </c>
      <c r="AN19" s="11"/>
      <c r="AO19" s="11"/>
      <c r="AP19" s="11"/>
      <c r="AQ19" s="11"/>
      <c r="AR19" s="11"/>
      <c r="AS19" s="11"/>
      <c r="AT19" s="10"/>
      <c r="AU19" s="11"/>
      <c r="AV19" s="10"/>
      <c r="AW19" s="10"/>
      <c r="AX19" s="10"/>
      <c r="AY19" s="10"/>
      <c r="AZ19" s="11"/>
      <c r="BA19" s="11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</row>
    <row r="20" ht="41" spans="1:99">
      <c r="A20" s="5"/>
      <c r="B20" s="5" t="s">
        <v>101</v>
      </c>
      <c r="C20" s="5" t="s">
        <v>97</v>
      </c>
      <c r="D20" s="5"/>
      <c r="E20" s="5" t="s">
        <v>55</v>
      </c>
      <c r="F20" s="5">
        <f t="shared" si="0"/>
        <v>1091</v>
      </c>
      <c r="G20" s="5">
        <v>310</v>
      </c>
      <c r="H20" s="5">
        <f t="shared" si="1"/>
        <v>338210</v>
      </c>
      <c r="I20" s="6" t="s">
        <v>98</v>
      </c>
      <c r="J20" s="6" t="s">
        <v>99</v>
      </c>
      <c r="K20" s="6" t="s">
        <v>100</v>
      </c>
      <c r="L20" s="11"/>
      <c r="M20" s="11">
        <v>64</v>
      </c>
      <c r="N20" s="11">
        <v>117</v>
      </c>
      <c r="O20" s="11"/>
      <c r="P20" s="11"/>
      <c r="Q20" s="11"/>
      <c r="R20" s="11"/>
      <c r="S20" s="11"/>
      <c r="T20" s="11"/>
      <c r="U20" s="11"/>
      <c r="V20" s="11"/>
      <c r="W20" s="11">
        <v>115</v>
      </c>
      <c r="X20" s="11"/>
      <c r="Y20" s="11"/>
      <c r="Z20" s="11"/>
      <c r="AA20" s="11"/>
      <c r="AB20" s="11"/>
      <c r="AC20" s="11"/>
      <c r="AD20" s="11">
        <v>30</v>
      </c>
      <c r="AE20" s="11">
        <v>63</v>
      </c>
      <c r="AF20" s="11"/>
      <c r="AG20" s="11">
        <v>31</v>
      </c>
      <c r="AH20" s="11">
        <v>27</v>
      </c>
      <c r="AI20" s="11"/>
      <c r="AJ20" s="11"/>
      <c r="AK20" s="11">
        <v>311</v>
      </c>
      <c r="AL20" s="11">
        <v>149</v>
      </c>
      <c r="AM20" s="11">
        <v>184</v>
      </c>
      <c r="AN20" s="11"/>
      <c r="AO20" s="11"/>
      <c r="AP20" s="11"/>
      <c r="AQ20" s="11"/>
      <c r="AR20" s="11"/>
      <c r="AS20" s="11"/>
      <c r="AT20" s="10"/>
      <c r="AU20" s="11"/>
      <c r="AV20" s="10"/>
      <c r="AW20" s="10"/>
      <c r="AX20" s="10"/>
      <c r="AY20" s="10"/>
      <c r="AZ20" s="11"/>
      <c r="BA20" s="11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</row>
    <row r="21" ht="28" spans="1:99">
      <c r="A21" s="5" t="s">
        <v>102</v>
      </c>
      <c r="B21" s="5" t="s">
        <v>103</v>
      </c>
      <c r="C21" s="5" t="s">
        <v>104</v>
      </c>
      <c r="D21" s="5"/>
      <c r="E21" s="5" t="s">
        <v>105</v>
      </c>
      <c r="F21" s="5">
        <f t="shared" si="0"/>
        <v>34848</v>
      </c>
      <c r="G21" s="5">
        <v>41.23</v>
      </c>
      <c r="H21" s="5">
        <f t="shared" si="1"/>
        <v>1436783.04</v>
      </c>
      <c r="I21" s="6" t="s">
        <v>106</v>
      </c>
      <c r="J21" s="6" t="s">
        <v>107</v>
      </c>
      <c r="K21" s="6" t="s">
        <v>108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>
        <v>5499</v>
      </c>
      <c r="AE21" s="11">
        <v>1978</v>
      </c>
      <c r="AF21" s="11"/>
      <c r="AG21" s="11">
        <v>6909</v>
      </c>
      <c r="AH21" s="11">
        <v>2550</v>
      </c>
      <c r="AI21" s="11"/>
      <c r="AJ21" s="11"/>
      <c r="AK21" s="11">
        <v>14789</v>
      </c>
      <c r="AL21" s="11">
        <v>1492</v>
      </c>
      <c r="AM21" s="11">
        <v>1631</v>
      </c>
      <c r="AN21" s="11"/>
      <c r="AO21" s="11"/>
      <c r="AP21" s="11"/>
      <c r="AQ21" s="11"/>
      <c r="AR21" s="11"/>
      <c r="AS21" s="11"/>
      <c r="AT21" s="10"/>
      <c r="AU21" s="11"/>
      <c r="AV21" s="10"/>
      <c r="AW21" s="10"/>
      <c r="AX21" s="10"/>
      <c r="AY21" s="10"/>
      <c r="AZ21" s="11"/>
      <c r="BA21" s="11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</row>
    <row r="22" ht="28" spans="1:99">
      <c r="A22" s="5"/>
      <c r="B22" s="5" t="s">
        <v>109</v>
      </c>
      <c r="C22" s="5" t="s">
        <v>110</v>
      </c>
      <c r="D22" s="5"/>
      <c r="E22" s="5" t="s">
        <v>105</v>
      </c>
      <c r="F22" s="5">
        <f t="shared" si="0"/>
        <v>33582</v>
      </c>
      <c r="G22" s="5">
        <v>5.98</v>
      </c>
      <c r="H22" s="5">
        <f t="shared" si="1"/>
        <v>200820.36</v>
      </c>
      <c r="I22" s="6" t="s">
        <v>111</v>
      </c>
      <c r="J22" s="6" t="s">
        <v>112</v>
      </c>
      <c r="K22" s="6" t="s">
        <v>113</v>
      </c>
      <c r="L22" s="11">
        <v>977</v>
      </c>
      <c r="M22" s="11"/>
      <c r="N22" s="11">
        <v>2175</v>
      </c>
      <c r="O22" s="11"/>
      <c r="P22" s="11"/>
      <c r="Q22" s="11"/>
      <c r="R22" s="11">
        <v>1690</v>
      </c>
      <c r="S22" s="11"/>
      <c r="T22" s="11"/>
      <c r="U22" s="11"/>
      <c r="V22" s="11"/>
      <c r="W22" s="11"/>
      <c r="X22" s="11"/>
      <c r="Y22" s="11"/>
      <c r="Z22" s="11"/>
      <c r="AA22" s="11">
        <v>889</v>
      </c>
      <c r="AB22" s="11">
        <v>7141</v>
      </c>
      <c r="AC22" s="11"/>
      <c r="AD22" s="11">
        <v>4924</v>
      </c>
      <c r="AE22" s="11">
        <v>1521</v>
      </c>
      <c r="AF22" s="11"/>
      <c r="AG22" s="11">
        <v>1743</v>
      </c>
      <c r="AH22" s="11">
        <v>5242</v>
      </c>
      <c r="AI22" s="11"/>
      <c r="AJ22" s="11">
        <v>371</v>
      </c>
      <c r="AK22" s="11">
        <v>1810</v>
      </c>
      <c r="AL22" s="11">
        <v>1917</v>
      </c>
      <c r="AM22" s="11">
        <v>3182</v>
      </c>
      <c r="AN22" s="11"/>
      <c r="AO22" s="11"/>
      <c r="AP22" s="11"/>
      <c r="AQ22" s="11"/>
      <c r="AR22" s="11"/>
      <c r="AS22" s="11"/>
      <c r="AT22" s="10"/>
      <c r="AU22" s="11"/>
      <c r="AV22" s="10"/>
      <c r="AW22" s="10"/>
      <c r="AX22" s="10"/>
      <c r="AY22" s="10"/>
      <c r="AZ22" s="11"/>
      <c r="BA22" s="11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</row>
    <row r="23" ht="28" spans="1:99">
      <c r="A23" s="5"/>
      <c r="B23" s="5"/>
      <c r="C23" s="5" t="s">
        <v>114</v>
      </c>
      <c r="D23" s="5"/>
      <c r="E23" s="5" t="s">
        <v>115</v>
      </c>
      <c r="F23" s="5">
        <f t="shared" si="0"/>
        <v>210766</v>
      </c>
      <c r="G23" s="5">
        <v>53.92</v>
      </c>
      <c r="H23" s="5">
        <f t="shared" si="1"/>
        <v>11364502.72</v>
      </c>
      <c r="I23" s="6" t="s">
        <v>116</v>
      </c>
      <c r="J23" s="6" t="s">
        <v>117</v>
      </c>
      <c r="K23" s="6" t="s">
        <v>118</v>
      </c>
      <c r="L23" s="11">
        <v>6133</v>
      </c>
      <c r="M23" s="11"/>
      <c r="N23" s="11">
        <v>13662</v>
      </c>
      <c r="O23" s="11"/>
      <c r="P23" s="11"/>
      <c r="Q23" s="11"/>
      <c r="R23" s="11">
        <v>10602</v>
      </c>
      <c r="S23" s="11"/>
      <c r="T23" s="11"/>
      <c r="U23" s="11"/>
      <c r="V23" s="11"/>
      <c r="W23" s="11"/>
      <c r="X23" s="11"/>
      <c r="Y23" s="11"/>
      <c r="Z23" s="11"/>
      <c r="AA23" s="11">
        <v>5578</v>
      </c>
      <c r="AB23" s="11">
        <v>44813</v>
      </c>
      <c r="AC23" s="11"/>
      <c r="AD23" s="11">
        <v>30905</v>
      </c>
      <c r="AE23" s="11">
        <v>9543</v>
      </c>
      <c r="AF23" s="11"/>
      <c r="AG23" s="11">
        <v>10943</v>
      </c>
      <c r="AH23" s="11">
        <v>32897</v>
      </c>
      <c r="AI23" s="11"/>
      <c r="AJ23" s="11">
        <v>2334</v>
      </c>
      <c r="AK23" s="11">
        <v>11357</v>
      </c>
      <c r="AL23" s="11">
        <v>12030</v>
      </c>
      <c r="AM23" s="11">
        <v>19969</v>
      </c>
      <c r="AN23" s="11"/>
      <c r="AO23" s="11"/>
      <c r="AP23" s="11"/>
      <c r="AQ23" s="11"/>
      <c r="AR23" s="11"/>
      <c r="AS23" s="11"/>
      <c r="AT23" s="10"/>
      <c r="AU23" s="11"/>
      <c r="AV23" s="10"/>
      <c r="AW23" s="10"/>
      <c r="AX23" s="10"/>
      <c r="AY23" s="10"/>
      <c r="AZ23" s="11"/>
      <c r="BA23" s="11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</row>
    <row r="24" ht="41" spans="1:99">
      <c r="A24" s="5"/>
      <c r="B24" s="5"/>
      <c r="C24" s="5" t="s">
        <v>119</v>
      </c>
      <c r="D24" s="5"/>
      <c r="E24" s="5" t="s">
        <v>55</v>
      </c>
      <c r="F24" s="5">
        <f t="shared" si="0"/>
        <v>815</v>
      </c>
      <c r="G24" s="5">
        <v>360</v>
      </c>
      <c r="H24" s="5">
        <f t="shared" si="1"/>
        <v>293400</v>
      </c>
      <c r="I24" s="6" t="s">
        <v>120</v>
      </c>
      <c r="J24" s="6" t="s">
        <v>99</v>
      </c>
      <c r="K24" s="6" t="s">
        <v>121</v>
      </c>
      <c r="L24" s="11">
        <v>9</v>
      </c>
      <c r="M24" s="11"/>
      <c r="N24" s="11">
        <v>56</v>
      </c>
      <c r="O24" s="11"/>
      <c r="P24" s="11"/>
      <c r="Q24" s="11"/>
      <c r="R24" s="11">
        <v>42</v>
      </c>
      <c r="S24" s="11"/>
      <c r="T24" s="11"/>
      <c r="U24" s="11"/>
      <c r="V24" s="11"/>
      <c r="W24" s="11"/>
      <c r="X24" s="11"/>
      <c r="Y24" s="11"/>
      <c r="Z24" s="11"/>
      <c r="AA24" s="11">
        <v>8</v>
      </c>
      <c r="AB24" s="11">
        <v>274</v>
      </c>
      <c r="AC24" s="11"/>
      <c r="AD24" s="11">
        <v>79</v>
      </c>
      <c r="AE24" s="11">
        <v>22</v>
      </c>
      <c r="AF24" s="11"/>
      <c r="AG24" s="11">
        <v>38</v>
      </c>
      <c r="AH24" s="11">
        <v>104</v>
      </c>
      <c r="AI24" s="11"/>
      <c r="AJ24" s="11">
        <v>8</v>
      </c>
      <c r="AK24" s="11">
        <v>41</v>
      </c>
      <c r="AL24" s="11">
        <v>48</v>
      </c>
      <c r="AM24" s="11">
        <v>86</v>
      </c>
      <c r="AN24" s="11"/>
      <c r="AO24" s="11"/>
      <c r="AP24" s="11"/>
      <c r="AQ24" s="11"/>
      <c r="AR24" s="11"/>
      <c r="AS24" s="11"/>
      <c r="AT24" s="10"/>
      <c r="AU24" s="11"/>
      <c r="AV24" s="10"/>
      <c r="AW24" s="10"/>
      <c r="AX24" s="10"/>
      <c r="AY24" s="10"/>
      <c r="AZ24" s="11"/>
      <c r="BA24" s="11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</row>
    <row r="25" ht="41" spans="1:99">
      <c r="A25" s="5"/>
      <c r="B25" s="5"/>
      <c r="C25" s="5" t="s">
        <v>97</v>
      </c>
      <c r="D25" s="5"/>
      <c r="E25" s="5" t="s">
        <v>55</v>
      </c>
      <c r="F25" s="5">
        <f t="shared" si="0"/>
        <v>2233</v>
      </c>
      <c r="G25" s="5">
        <v>310</v>
      </c>
      <c r="H25" s="5">
        <f t="shared" si="1"/>
        <v>692230</v>
      </c>
      <c r="I25" s="6" t="s">
        <v>122</v>
      </c>
      <c r="J25" s="6" t="s">
        <v>99</v>
      </c>
      <c r="K25" s="6" t="s">
        <v>123</v>
      </c>
      <c r="L25" s="11">
        <v>80</v>
      </c>
      <c r="M25" s="11"/>
      <c r="N25" s="11">
        <v>619</v>
      </c>
      <c r="O25" s="11"/>
      <c r="P25" s="11"/>
      <c r="Q25" s="11"/>
      <c r="R25" s="11">
        <v>29</v>
      </c>
      <c r="S25" s="11"/>
      <c r="T25" s="11"/>
      <c r="U25" s="11"/>
      <c r="V25" s="11"/>
      <c r="W25" s="11"/>
      <c r="X25" s="11"/>
      <c r="Y25" s="11"/>
      <c r="Z25" s="11"/>
      <c r="AA25" s="11">
        <v>75</v>
      </c>
      <c r="AB25" s="11">
        <v>121</v>
      </c>
      <c r="AC25" s="11"/>
      <c r="AD25" s="11">
        <v>342</v>
      </c>
      <c r="AE25" s="11">
        <v>97</v>
      </c>
      <c r="AF25" s="11"/>
      <c r="AG25" s="11">
        <v>382</v>
      </c>
      <c r="AH25" s="11">
        <v>301</v>
      </c>
      <c r="AI25" s="11"/>
      <c r="AJ25" s="11">
        <v>73</v>
      </c>
      <c r="AK25" s="11">
        <v>31</v>
      </c>
      <c r="AL25" s="11">
        <v>31</v>
      </c>
      <c r="AM25" s="11">
        <v>52</v>
      </c>
      <c r="AN25" s="11"/>
      <c r="AO25" s="11"/>
      <c r="AP25" s="11"/>
      <c r="AQ25" s="11"/>
      <c r="AR25" s="11"/>
      <c r="AS25" s="11"/>
      <c r="AT25" s="10"/>
      <c r="AU25" s="11"/>
      <c r="AV25" s="10"/>
      <c r="AW25" s="10"/>
      <c r="AX25" s="10"/>
      <c r="AY25" s="10"/>
      <c r="AZ25" s="11"/>
      <c r="BA25" s="11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</row>
    <row r="26" ht="41" spans="1:99">
      <c r="A26" s="5"/>
      <c r="B26" s="5" t="s">
        <v>124</v>
      </c>
      <c r="C26" s="5" t="s">
        <v>125</v>
      </c>
      <c r="D26" s="5" t="s">
        <v>97</v>
      </c>
      <c r="E26" s="5" t="s">
        <v>55</v>
      </c>
      <c r="F26" s="5">
        <f t="shared" si="0"/>
        <v>2399</v>
      </c>
      <c r="G26" s="5">
        <v>330</v>
      </c>
      <c r="H26" s="5">
        <f t="shared" si="1"/>
        <v>791670</v>
      </c>
      <c r="I26" s="6" t="s">
        <v>122</v>
      </c>
      <c r="J26" s="6" t="s">
        <v>99</v>
      </c>
      <c r="K26" s="6" t="s">
        <v>100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0"/>
      <c r="AU26" s="11"/>
      <c r="AV26" s="10"/>
      <c r="AW26" s="10"/>
      <c r="AX26" s="10">
        <v>2399</v>
      </c>
      <c r="AY26" s="10"/>
      <c r="AZ26" s="11"/>
      <c r="BA26" s="11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</row>
    <row r="27" ht="41" spans="1:99">
      <c r="A27" s="5"/>
      <c r="B27" s="5" t="s">
        <v>126</v>
      </c>
      <c r="C27" s="5" t="s">
        <v>127</v>
      </c>
      <c r="D27" s="5" t="s">
        <v>97</v>
      </c>
      <c r="E27" s="5" t="s">
        <v>55</v>
      </c>
      <c r="F27" s="5">
        <f t="shared" si="0"/>
        <v>1965</v>
      </c>
      <c r="G27" s="5">
        <v>330</v>
      </c>
      <c r="H27" s="5">
        <f t="shared" si="1"/>
        <v>648450</v>
      </c>
      <c r="I27" s="6" t="s">
        <v>122</v>
      </c>
      <c r="J27" s="6" t="s">
        <v>99</v>
      </c>
      <c r="K27" s="6" t="s">
        <v>100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0"/>
      <c r="AU27" s="11"/>
      <c r="AV27" s="10"/>
      <c r="AW27" s="10"/>
      <c r="AX27" s="10">
        <v>1965</v>
      </c>
      <c r="AY27" s="10"/>
      <c r="AZ27" s="11"/>
      <c r="BA27" s="11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</row>
    <row r="28" ht="41" spans="1:99">
      <c r="A28" s="5"/>
      <c r="B28" s="5"/>
      <c r="C28" s="5" t="s">
        <v>128</v>
      </c>
      <c r="D28" s="5" t="s">
        <v>129</v>
      </c>
      <c r="E28" s="5" t="s">
        <v>55</v>
      </c>
      <c r="F28" s="5">
        <f t="shared" si="0"/>
        <v>432</v>
      </c>
      <c r="G28" s="5">
        <v>280</v>
      </c>
      <c r="H28" s="5">
        <f t="shared" si="1"/>
        <v>120960</v>
      </c>
      <c r="I28" s="6" t="s">
        <v>120</v>
      </c>
      <c r="J28" s="6" t="s">
        <v>99</v>
      </c>
      <c r="K28" s="6" t="s">
        <v>121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0"/>
      <c r="AU28" s="11"/>
      <c r="AV28" s="10"/>
      <c r="AW28" s="10"/>
      <c r="AX28" s="10">
        <v>432</v>
      </c>
      <c r="AY28" s="10"/>
      <c r="AZ28" s="11"/>
      <c r="BA28" s="11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</row>
    <row r="29" ht="41" spans="1:99">
      <c r="A29" s="5"/>
      <c r="B29" s="5" t="s">
        <v>130</v>
      </c>
      <c r="C29" s="5" t="s">
        <v>131</v>
      </c>
      <c r="D29" s="5" t="s">
        <v>97</v>
      </c>
      <c r="E29" s="5" t="s">
        <v>55</v>
      </c>
      <c r="F29" s="5">
        <f t="shared" si="0"/>
        <v>838</v>
      </c>
      <c r="G29" s="5">
        <v>330</v>
      </c>
      <c r="H29" s="5">
        <f t="shared" si="1"/>
        <v>276540</v>
      </c>
      <c r="I29" s="6" t="s">
        <v>98</v>
      </c>
      <c r="J29" s="6" t="s">
        <v>99</v>
      </c>
      <c r="K29" s="6" t="s">
        <v>100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0"/>
      <c r="AU29" s="11"/>
      <c r="AV29" s="10"/>
      <c r="AW29" s="10"/>
      <c r="AX29" s="10">
        <v>838</v>
      </c>
      <c r="AY29" s="10"/>
      <c r="AZ29" s="11"/>
      <c r="BA29" s="11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</row>
    <row r="30" ht="41" spans="1:99">
      <c r="A30" s="5"/>
      <c r="B30" s="5"/>
      <c r="C30" s="5" t="s">
        <v>132</v>
      </c>
      <c r="D30" s="5" t="s">
        <v>97</v>
      </c>
      <c r="E30" s="5" t="s">
        <v>55</v>
      </c>
      <c r="F30" s="5">
        <f t="shared" si="0"/>
        <v>77</v>
      </c>
      <c r="G30" s="5">
        <v>310</v>
      </c>
      <c r="H30" s="5">
        <f t="shared" si="1"/>
        <v>23870</v>
      </c>
      <c r="I30" s="6" t="s">
        <v>98</v>
      </c>
      <c r="J30" s="6" t="s">
        <v>99</v>
      </c>
      <c r="K30" s="6" t="s">
        <v>100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0"/>
      <c r="AU30" s="11"/>
      <c r="AV30" s="10"/>
      <c r="AW30" s="10"/>
      <c r="AX30" s="10">
        <v>77</v>
      </c>
      <c r="AY30" s="10"/>
      <c r="AZ30" s="11"/>
      <c r="BA30" s="11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</row>
    <row r="31" ht="28" spans="1:99">
      <c r="A31" s="5"/>
      <c r="B31" s="5" t="s">
        <v>133</v>
      </c>
      <c r="C31" s="5" t="s">
        <v>134</v>
      </c>
      <c r="D31" s="5" t="s">
        <v>110</v>
      </c>
      <c r="E31" s="5" t="s">
        <v>105</v>
      </c>
      <c r="F31" s="5">
        <f t="shared" si="0"/>
        <v>15698</v>
      </c>
      <c r="G31" s="5">
        <v>8.98</v>
      </c>
      <c r="H31" s="5">
        <f t="shared" si="1"/>
        <v>140968.04</v>
      </c>
      <c r="I31" s="6" t="s">
        <v>135</v>
      </c>
      <c r="J31" s="6" t="s">
        <v>112</v>
      </c>
      <c r="K31" s="6" t="s">
        <v>136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0"/>
      <c r="AU31" s="11"/>
      <c r="AV31" s="10"/>
      <c r="AW31" s="10"/>
      <c r="AX31" s="10">
        <v>15698</v>
      </c>
      <c r="AY31" s="10"/>
      <c r="AZ31" s="11"/>
      <c r="BA31" s="11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</row>
    <row r="32" ht="28" spans="1:99">
      <c r="A32" s="5"/>
      <c r="B32" s="5"/>
      <c r="C32" s="5"/>
      <c r="D32" s="5" t="s">
        <v>114</v>
      </c>
      <c r="E32" s="5" t="s">
        <v>115</v>
      </c>
      <c r="F32" s="5">
        <f t="shared" si="0"/>
        <v>100781</v>
      </c>
      <c r="G32" s="5">
        <v>53.92</v>
      </c>
      <c r="H32" s="5">
        <f t="shared" si="1"/>
        <v>5434111.52</v>
      </c>
      <c r="I32" s="6" t="s">
        <v>116</v>
      </c>
      <c r="J32" s="6" t="s">
        <v>117</v>
      </c>
      <c r="K32" s="6" t="s">
        <v>137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0"/>
      <c r="AU32" s="11"/>
      <c r="AV32" s="10"/>
      <c r="AW32" s="10"/>
      <c r="AX32" s="10">
        <v>100781</v>
      </c>
      <c r="AY32" s="10"/>
      <c r="AZ32" s="11"/>
      <c r="BA32" s="11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</row>
    <row r="33" ht="28" spans="1:99">
      <c r="A33" s="5"/>
      <c r="B33" s="5" t="s">
        <v>138</v>
      </c>
      <c r="C33" s="5" t="s">
        <v>139</v>
      </c>
      <c r="D33" s="5" t="s">
        <v>110</v>
      </c>
      <c r="E33" s="5" t="s">
        <v>105</v>
      </c>
      <c r="F33" s="5">
        <f t="shared" si="0"/>
        <v>4432</v>
      </c>
      <c r="G33" s="5">
        <v>8.98</v>
      </c>
      <c r="H33" s="5">
        <f t="shared" si="1"/>
        <v>39799.36</v>
      </c>
      <c r="I33" s="6" t="s">
        <v>135</v>
      </c>
      <c r="J33" s="6" t="s">
        <v>112</v>
      </c>
      <c r="K33" s="6" t="s">
        <v>136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0"/>
      <c r="AU33" s="11"/>
      <c r="AV33" s="10"/>
      <c r="AW33" s="10"/>
      <c r="AX33" s="10">
        <v>4432</v>
      </c>
      <c r="AY33" s="10"/>
      <c r="AZ33" s="11"/>
      <c r="BA33" s="11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</row>
    <row r="34" ht="28" spans="1:99">
      <c r="A34" s="5"/>
      <c r="B34" s="5"/>
      <c r="C34" s="5"/>
      <c r="D34" s="5" t="s">
        <v>114</v>
      </c>
      <c r="E34" s="5" t="s">
        <v>115</v>
      </c>
      <c r="F34" s="5">
        <f t="shared" si="0"/>
        <v>6648</v>
      </c>
      <c r="G34" s="5">
        <v>53.92</v>
      </c>
      <c r="H34" s="5">
        <f t="shared" si="1"/>
        <v>358460.16</v>
      </c>
      <c r="I34" s="6" t="s">
        <v>116</v>
      </c>
      <c r="J34" s="6" t="s">
        <v>117</v>
      </c>
      <c r="K34" s="6" t="s">
        <v>137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0"/>
      <c r="AU34" s="11"/>
      <c r="AV34" s="10"/>
      <c r="AW34" s="10"/>
      <c r="AX34" s="10">
        <v>6648</v>
      </c>
      <c r="AY34" s="10"/>
      <c r="AZ34" s="11"/>
      <c r="BA34" s="11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ht="41" spans="1:99">
      <c r="A35" s="5"/>
      <c r="B35" s="5" t="s">
        <v>140</v>
      </c>
      <c r="C35" s="5" t="s">
        <v>97</v>
      </c>
      <c r="D35" s="5"/>
      <c r="E35" s="5" t="s">
        <v>55</v>
      </c>
      <c r="F35" s="5">
        <f t="shared" si="0"/>
        <v>5059</v>
      </c>
      <c r="G35" s="5">
        <v>310</v>
      </c>
      <c r="H35" s="5">
        <f t="shared" si="1"/>
        <v>1568290</v>
      </c>
      <c r="I35" s="6" t="s">
        <v>122</v>
      </c>
      <c r="J35" s="6" t="s">
        <v>99</v>
      </c>
      <c r="K35" s="6" t="s">
        <v>100</v>
      </c>
      <c r="L35" s="11">
        <v>2533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>
        <v>165</v>
      </c>
      <c r="AC35" s="11"/>
      <c r="AD35" s="11">
        <v>350</v>
      </c>
      <c r="AE35" s="11"/>
      <c r="AF35" s="11"/>
      <c r="AG35" s="11">
        <v>968</v>
      </c>
      <c r="AH35" s="11"/>
      <c r="AI35" s="11"/>
      <c r="AJ35" s="11"/>
      <c r="AK35" s="11">
        <v>41</v>
      </c>
      <c r="AL35" s="11">
        <v>685</v>
      </c>
      <c r="AM35" s="11">
        <v>317</v>
      </c>
      <c r="AN35" s="11"/>
      <c r="AO35" s="11"/>
      <c r="AP35" s="11"/>
      <c r="AQ35" s="11"/>
      <c r="AR35" s="11"/>
      <c r="AS35" s="11"/>
      <c r="AT35" s="10"/>
      <c r="AU35" s="11"/>
      <c r="AV35" s="10"/>
      <c r="AW35" s="14"/>
      <c r="AX35" s="14"/>
      <c r="AY35" s="10"/>
      <c r="AZ35" s="11"/>
      <c r="BA35" s="11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</row>
    <row r="36" ht="41" spans="1:99">
      <c r="A36" s="5"/>
      <c r="B36" s="5"/>
      <c r="C36" s="5" t="s">
        <v>141</v>
      </c>
      <c r="D36" s="5"/>
      <c r="E36" s="5" t="s">
        <v>55</v>
      </c>
      <c r="F36" s="5">
        <f t="shared" si="0"/>
        <v>387</v>
      </c>
      <c r="G36" s="5">
        <v>280</v>
      </c>
      <c r="H36" s="5">
        <f t="shared" ref="H36:H67" si="2">F36*G36</f>
        <v>108360</v>
      </c>
      <c r="I36" s="6" t="s">
        <v>120</v>
      </c>
      <c r="J36" s="6" t="s">
        <v>99</v>
      </c>
      <c r="K36" s="6" t="s">
        <v>121</v>
      </c>
      <c r="L36" s="11">
        <v>209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>
        <v>12</v>
      </c>
      <c r="AC36" s="11"/>
      <c r="AD36" s="11">
        <v>29</v>
      </c>
      <c r="AE36" s="11"/>
      <c r="AF36" s="11"/>
      <c r="AG36" s="11">
        <v>69</v>
      </c>
      <c r="AH36" s="11"/>
      <c r="AI36" s="11"/>
      <c r="AJ36" s="11"/>
      <c r="AK36" s="11">
        <v>3</v>
      </c>
      <c r="AL36" s="11">
        <v>43</v>
      </c>
      <c r="AM36" s="11">
        <v>22</v>
      </c>
      <c r="AN36" s="11"/>
      <c r="AO36" s="11"/>
      <c r="AP36" s="11"/>
      <c r="AQ36" s="11"/>
      <c r="AR36" s="11"/>
      <c r="AS36" s="11"/>
      <c r="AT36" s="10"/>
      <c r="AU36" s="11"/>
      <c r="AV36" s="10"/>
      <c r="AW36" s="14"/>
      <c r="AX36" s="14"/>
      <c r="AY36" s="10"/>
      <c r="AZ36" s="11"/>
      <c r="BA36" s="11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</row>
    <row r="37" ht="28" spans="1:99">
      <c r="A37" s="5"/>
      <c r="B37" s="5"/>
      <c r="C37" s="5" t="s">
        <v>109</v>
      </c>
      <c r="D37" s="5" t="s">
        <v>142</v>
      </c>
      <c r="E37" s="5" t="s">
        <v>105</v>
      </c>
      <c r="F37" s="5">
        <f t="shared" si="0"/>
        <v>12327</v>
      </c>
      <c r="G37" s="5">
        <v>8.98</v>
      </c>
      <c r="H37" s="5">
        <f t="shared" si="2"/>
        <v>110696.46</v>
      </c>
      <c r="I37" s="6" t="s">
        <v>135</v>
      </c>
      <c r="J37" s="6" t="s">
        <v>112</v>
      </c>
      <c r="K37" s="6" t="s">
        <v>136</v>
      </c>
      <c r="L37" s="11">
        <v>6642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>
        <v>396</v>
      </c>
      <c r="AC37" s="11"/>
      <c r="AD37" s="11">
        <v>936</v>
      </c>
      <c r="AE37" s="11"/>
      <c r="AF37" s="11"/>
      <c r="AG37" s="11">
        <v>2188</v>
      </c>
      <c r="AH37" s="11"/>
      <c r="AI37" s="11"/>
      <c r="AJ37" s="11"/>
      <c r="AK37" s="11">
        <v>100</v>
      </c>
      <c r="AL37" s="11">
        <v>1368</v>
      </c>
      <c r="AM37" s="11">
        <v>697</v>
      </c>
      <c r="AN37" s="11"/>
      <c r="AO37" s="11"/>
      <c r="AP37" s="11"/>
      <c r="AQ37" s="11"/>
      <c r="AR37" s="11"/>
      <c r="AS37" s="11"/>
      <c r="AT37" s="10"/>
      <c r="AU37" s="11"/>
      <c r="AV37" s="10"/>
      <c r="AW37" s="10"/>
      <c r="AX37" s="10"/>
      <c r="AY37" s="10"/>
      <c r="AZ37" s="11"/>
      <c r="BA37" s="11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</row>
    <row r="38" ht="28" spans="1:99">
      <c r="A38" s="5"/>
      <c r="B38" s="5"/>
      <c r="C38" s="5"/>
      <c r="D38" s="5" t="s">
        <v>114</v>
      </c>
      <c r="E38" s="5" t="s">
        <v>115</v>
      </c>
      <c r="F38" s="5">
        <f t="shared" si="0"/>
        <v>79143</v>
      </c>
      <c r="G38" s="5">
        <v>53.92</v>
      </c>
      <c r="H38" s="5">
        <f t="shared" si="2"/>
        <v>4267390.56</v>
      </c>
      <c r="I38" s="6" t="s">
        <v>116</v>
      </c>
      <c r="J38" s="6" t="s">
        <v>117</v>
      </c>
      <c r="K38" s="6" t="s">
        <v>118</v>
      </c>
      <c r="L38" s="11">
        <v>42640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>
        <v>2545</v>
      </c>
      <c r="AC38" s="11"/>
      <c r="AD38" s="11">
        <v>6011</v>
      </c>
      <c r="AE38" s="11"/>
      <c r="AF38" s="11"/>
      <c r="AG38" s="11">
        <v>14047</v>
      </c>
      <c r="AH38" s="11"/>
      <c r="AI38" s="11"/>
      <c r="AJ38" s="11"/>
      <c r="AK38" s="11">
        <v>644</v>
      </c>
      <c r="AL38" s="11">
        <v>8781</v>
      </c>
      <c r="AM38" s="11">
        <v>4475</v>
      </c>
      <c r="AN38" s="11"/>
      <c r="AO38" s="11"/>
      <c r="AP38" s="11"/>
      <c r="AQ38" s="11"/>
      <c r="AR38" s="11"/>
      <c r="AS38" s="11"/>
      <c r="AT38" s="10"/>
      <c r="AU38" s="11"/>
      <c r="AV38" s="10"/>
      <c r="AW38" s="10"/>
      <c r="AX38" s="10"/>
      <c r="AY38" s="10"/>
      <c r="AZ38" s="11"/>
      <c r="BA38" s="11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</row>
    <row r="39" ht="28" spans="1:99">
      <c r="A39" s="5"/>
      <c r="B39" s="5"/>
      <c r="C39" s="5" t="s">
        <v>143</v>
      </c>
      <c r="D39" s="5" t="s">
        <v>144</v>
      </c>
      <c r="E39" s="5" t="s">
        <v>55</v>
      </c>
      <c r="F39" s="5">
        <f t="shared" si="0"/>
        <v>159</v>
      </c>
      <c r="G39" s="5">
        <v>275.46</v>
      </c>
      <c r="H39" s="5">
        <f t="shared" si="2"/>
        <v>43798.14</v>
      </c>
      <c r="I39" s="6" t="s">
        <v>75</v>
      </c>
      <c r="J39" s="6" t="s">
        <v>145</v>
      </c>
      <c r="K39" s="6" t="s">
        <v>146</v>
      </c>
      <c r="L39" s="11">
        <v>77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>
        <v>3</v>
      </c>
      <c r="AC39" s="11"/>
      <c r="AD39" s="11">
        <v>14</v>
      </c>
      <c r="AE39" s="11"/>
      <c r="AF39" s="11"/>
      <c r="AG39" s="11">
        <v>30</v>
      </c>
      <c r="AH39" s="11"/>
      <c r="AI39" s="11"/>
      <c r="AJ39" s="11"/>
      <c r="AK39" s="11">
        <v>2</v>
      </c>
      <c r="AL39" s="11">
        <v>22</v>
      </c>
      <c r="AM39" s="11">
        <v>11</v>
      </c>
      <c r="AN39" s="11"/>
      <c r="AO39" s="11"/>
      <c r="AP39" s="11"/>
      <c r="AQ39" s="11"/>
      <c r="AR39" s="11"/>
      <c r="AS39" s="11"/>
      <c r="AT39" s="10"/>
      <c r="AU39" s="11"/>
      <c r="AV39" s="10"/>
      <c r="AW39" s="10"/>
      <c r="AX39" s="10"/>
      <c r="AY39" s="10"/>
      <c r="AZ39" s="11"/>
      <c r="BA39" s="11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</row>
    <row r="40" ht="28" spans="1:99">
      <c r="A40" s="5"/>
      <c r="B40" s="5"/>
      <c r="C40" s="5"/>
      <c r="D40" s="5" t="s">
        <v>147</v>
      </c>
      <c r="E40" s="5" t="s">
        <v>105</v>
      </c>
      <c r="F40" s="5">
        <f t="shared" si="0"/>
        <v>335</v>
      </c>
      <c r="G40" s="5">
        <v>8.79</v>
      </c>
      <c r="H40" s="5">
        <f t="shared" si="2"/>
        <v>2944.65</v>
      </c>
      <c r="I40" s="6" t="s">
        <v>148</v>
      </c>
      <c r="J40" s="6" t="s">
        <v>107</v>
      </c>
      <c r="K40" s="6" t="s">
        <v>149</v>
      </c>
      <c r="L40" s="11">
        <v>164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>
        <v>6</v>
      </c>
      <c r="AC40" s="11"/>
      <c r="AD40" s="11">
        <v>29</v>
      </c>
      <c r="AE40" s="11"/>
      <c r="AF40" s="11"/>
      <c r="AG40" s="11">
        <v>63</v>
      </c>
      <c r="AH40" s="11"/>
      <c r="AI40" s="11"/>
      <c r="AJ40" s="11"/>
      <c r="AK40" s="11">
        <v>3</v>
      </c>
      <c r="AL40" s="11">
        <v>46</v>
      </c>
      <c r="AM40" s="11">
        <v>24</v>
      </c>
      <c r="AN40" s="11"/>
      <c r="AO40" s="11"/>
      <c r="AP40" s="11"/>
      <c r="AQ40" s="11"/>
      <c r="AR40" s="11"/>
      <c r="AS40" s="11"/>
      <c r="AT40" s="10"/>
      <c r="AU40" s="11"/>
      <c r="AV40" s="10"/>
      <c r="AW40" s="10"/>
      <c r="AX40" s="10"/>
      <c r="AY40" s="10"/>
      <c r="AZ40" s="11"/>
      <c r="BA40" s="11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</row>
    <row r="41" ht="28" spans="1:99">
      <c r="A41" s="5"/>
      <c r="B41" s="5" t="s">
        <v>150</v>
      </c>
      <c r="C41" s="5" t="s">
        <v>151</v>
      </c>
      <c r="D41" s="5" t="s">
        <v>152</v>
      </c>
      <c r="E41" s="5" t="s">
        <v>55</v>
      </c>
      <c r="F41" s="5">
        <f t="shared" si="0"/>
        <v>24</v>
      </c>
      <c r="G41" s="5">
        <v>95.04</v>
      </c>
      <c r="H41" s="5">
        <f t="shared" si="2"/>
        <v>2280.96</v>
      </c>
      <c r="I41" s="6" t="s">
        <v>56</v>
      </c>
      <c r="J41" s="6" t="s">
        <v>57</v>
      </c>
      <c r="K41" s="6" t="s">
        <v>153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>
        <v>24</v>
      </c>
      <c r="AQ41" s="11"/>
      <c r="AR41" s="11"/>
      <c r="AS41" s="11"/>
      <c r="AT41" s="10"/>
      <c r="AU41" s="11"/>
      <c r="AV41" s="10"/>
      <c r="AW41" s="10"/>
      <c r="AX41" s="10"/>
      <c r="AY41" s="10"/>
      <c r="AZ41" s="11"/>
      <c r="BA41" s="11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</row>
    <row r="42" ht="41" spans="1:99">
      <c r="A42" s="5"/>
      <c r="B42" s="5"/>
      <c r="C42" s="5" t="s">
        <v>96</v>
      </c>
      <c r="D42" s="5" t="s">
        <v>154</v>
      </c>
      <c r="E42" s="5" t="s">
        <v>55</v>
      </c>
      <c r="F42" s="5">
        <f t="shared" si="0"/>
        <v>40</v>
      </c>
      <c r="G42" s="5">
        <v>310</v>
      </c>
      <c r="H42" s="5">
        <f t="shared" si="2"/>
        <v>12400</v>
      </c>
      <c r="I42" s="6" t="s">
        <v>122</v>
      </c>
      <c r="J42" s="6" t="s">
        <v>99</v>
      </c>
      <c r="K42" s="6" t="s">
        <v>100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>
        <v>40</v>
      </c>
      <c r="AQ42" s="11"/>
      <c r="AR42" s="11"/>
      <c r="AS42" s="11"/>
      <c r="AT42" s="10"/>
      <c r="AU42" s="11"/>
      <c r="AV42" s="10"/>
      <c r="AW42" s="10"/>
      <c r="AX42" s="10"/>
      <c r="AY42" s="10"/>
      <c r="AZ42" s="11"/>
      <c r="BA42" s="11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</row>
    <row r="43" ht="41" spans="1:99">
      <c r="A43" s="5"/>
      <c r="B43" s="5" t="s">
        <v>155</v>
      </c>
      <c r="C43" s="5" t="s">
        <v>97</v>
      </c>
      <c r="D43" s="5"/>
      <c r="E43" s="5" t="s">
        <v>55</v>
      </c>
      <c r="F43" s="5">
        <f t="shared" si="0"/>
        <v>14605</v>
      </c>
      <c r="G43" s="5">
        <v>310</v>
      </c>
      <c r="H43" s="5">
        <f t="shared" si="2"/>
        <v>4527550</v>
      </c>
      <c r="I43" s="6" t="s">
        <v>98</v>
      </c>
      <c r="J43" s="6" t="s">
        <v>99</v>
      </c>
      <c r="K43" s="6" t="s">
        <v>100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>
        <v>10779</v>
      </c>
      <c r="AE43" s="11"/>
      <c r="AF43" s="11"/>
      <c r="AG43" s="11">
        <v>1437</v>
      </c>
      <c r="AH43" s="11">
        <v>1996</v>
      </c>
      <c r="AI43" s="11"/>
      <c r="AJ43" s="11">
        <v>393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0"/>
      <c r="AU43" s="11"/>
      <c r="AV43" s="10"/>
      <c r="AW43" s="10"/>
      <c r="AX43" s="10"/>
      <c r="AY43" s="10"/>
      <c r="AZ43" s="11"/>
      <c r="BA43" s="11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</row>
    <row r="44" ht="41" spans="1:99">
      <c r="A44" s="5"/>
      <c r="B44" s="5"/>
      <c r="C44" s="5" t="s">
        <v>141</v>
      </c>
      <c r="D44" s="5"/>
      <c r="E44" s="5" t="s">
        <v>55</v>
      </c>
      <c r="F44" s="5">
        <f t="shared" si="0"/>
        <v>374</v>
      </c>
      <c r="G44" s="5">
        <v>280</v>
      </c>
      <c r="H44" s="5">
        <f t="shared" si="2"/>
        <v>104720</v>
      </c>
      <c r="I44" s="6" t="s">
        <v>120</v>
      </c>
      <c r="J44" s="6" t="s">
        <v>99</v>
      </c>
      <c r="K44" s="6" t="s">
        <v>121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285</v>
      </c>
      <c r="AE44" s="11"/>
      <c r="AF44" s="11"/>
      <c r="AG44" s="11">
        <v>30</v>
      </c>
      <c r="AH44" s="11">
        <v>51</v>
      </c>
      <c r="AI44" s="11"/>
      <c r="AJ44" s="11">
        <v>8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0"/>
      <c r="AU44" s="11"/>
      <c r="AV44" s="10"/>
      <c r="AW44" s="10"/>
      <c r="AX44" s="10"/>
      <c r="AY44" s="10"/>
      <c r="AZ44" s="11"/>
      <c r="BA44" s="11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</row>
    <row r="45" ht="41" spans="1:99">
      <c r="A45" s="5"/>
      <c r="B45" s="5"/>
      <c r="C45" s="5" t="s">
        <v>156</v>
      </c>
      <c r="D45" s="5" t="s">
        <v>157</v>
      </c>
      <c r="E45" s="5" t="s">
        <v>55</v>
      </c>
      <c r="F45" s="5">
        <f t="shared" si="0"/>
        <v>1273</v>
      </c>
      <c r="G45" s="5">
        <v>30</v>
      </c>
      <c r="H45" s="5">
        <f t="shared" si="2"/>
        <v>38190</v>
      </c>
      <c r="I45" s="6" t="s">
        <v>75</v>
      </c>
      <c r="J45" s="6" t="s">
        <v>76</v>
      </c>
      <c r="K45" s="6" t="s">
        <v>77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736</v>
      </c>
      <c r="AE45" s="11"/>
      <c r="AF45" s="11"/>
      <c r="AG45" s="11">
        <v>187</v>
      </c>
      <c r="AH45" s="11">
        <v>291</v>
      </c>
      <c r="AI45" s="11"/>
      <c r="AJ45" s="11">
        <v>59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0"/>
      <c r="AU45" s="11"/>
      <c r="AV45" s="10"/>
      <c r="AW45" s="10"/>
      <c r="AX45" s="10"/>
      <c r="AY45" s="10"/>
      <c r="AZ45" s="11"/>
      <c r="BA45" s="11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ht="28" spans="1:99">
      <c r="A46" s="5"/>
      <c r="B46" s="5"/>
      <c r="C46" s="5"/>
      <c r="D46" s="5" t="s">
        <v>158</v>
      </c>
      <c r="E46" s="5" t="s">
        <v>55</v>
      </c>
      <c r="F46" s="5">
        <f t="shared" si="0"/>
        <v>3126</v>
      </c>
      <c r="G46" s="5">
        <v>330</v>
      </c>
      <c r="H46" s="5">
        <f t="shared" si="2"/>
        <v>1031580</v>
      </c>
      <c r="I46" s="6" t="s">
        <v>75</v>
      </c>
      <c r="J46" s="6" t="s">
        <v>82</v>
      </c>
      <c r="K46" s="6" t="s">
        <v>76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2589</v>
      </c>
      <c r="AE46" s="11"/>
      <c r="AF46" s="11"/>
      <c r="AG46" s="11">
        <v>187</v>
      </c>
      <c r="AH46" s="11">
        <v>291</v>
      </c>
      <c r="AI46" s="11"/>
      <c r="AJ46" s="11">
        <v>59</v>
      </c>
      <c r="AK46" s="11"/>
      <c r="AL46" s="11"/>
      <c r="AM46" s="11"/>
      <c r="AN46" s="11"/>
      <c r="AO46" s="11"/>
      <c r="AP46" s="11"/>
      <c r="AQ46" s="11"/>
      <c r="AR46" s="11"/>
      <c r="AS46" s="11"/>
      <c r="AT46" s="10"/>
      <c r="AU46" s="11"/>
      <c r="AV46" s="10"/>
      <c r="AW46" s="10"/>
      <c r="AX46" s="10"/>
      <c r="AY46" s="10"/>
      <c r="AZ46" s="11"/>
      <c r="BA46" s="11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</row>
    <row r="47" ht="28" spans="1:99">
      <c r="A47" s="5"/>
      <c r="B47" s="5"/>
      <c r="C47" s="5"/>
      <c r="D47" s="5" t="s">
        <v>159</v>
      </c>
      <c r="E47" s="5" t="s">
        <v>55</v>
      </c>
      <c r="F47" s="5">
        <f t="shared" si="0"/>
        <v>716</v>
      </c>
      <c r="G47" s="5">
        <v>19.39</v>
      </c>
      <c r="H47" s="5">
        <f t="shared" si="2"/>
        <v>13883.24</v>
      </c>
      <c r="I47" s="6" t="s">
        <v>75</v>
      </c>
      <c r="J47" s="6" t="s">
        <v>82</v>
      </c>
      <c r="K47" s="6" t="s">
        <v>76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>
        <v>249</v>
      </c>
      <c r="AH47" s="11">
        <v>388</v>
      </c>
      <c r="AI47" s="11"/>
      <c r="AJ47" s="11">
        <v>79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0"/>
      <c r="AU47" s="11"/>
      <c r="AV47" s="10"/>
      <c r="AW47" s="10"/>
      <c r="AX47" s="10"/>
      <c r="AY47" s="10"/>
      <c r="AZ47" s="11"/>
      <c r="BA47" s="11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</row>
    <row r="48" ht="28" spans="1:99">
      <c r="A48" s="5"/>
      <c r="B48" s="5"/>
      <c r="C48" s="15" t="s">
        <v>109</v>
      </c>
      <c r="D48" s="5" t="s">
        <v>110</v>
      </c>
      <c r="E48" s="5" t="s">
        <v>105</v>
      </c>
      <c r="F48" s="5">
        <f t="shared" si="0"/>
        <v>2932</v>
      </c>
      <c r="G48" s="5">
        <v>8.98</v>
      </c>
      <c r="H48" s="5">
        <f t="shared" si="2"/>
        <v>26329.36</v>
      </c>
      <c r="I48" s="6" t="s">
        <v>135</v>
      </c>
      <c r="J48" s="6" t="s">
        <v>112</v>
      </c>
      <c r="K48" s="6" t="s">
        <v>136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>
        <v>2236</v>
      </c>
      <c r="AE48" s="11"/>
      <c r="AF48" s="11"/>
      <c r="AG48" s="11">
        <v>231</v>
      </c>
      <c r="AH48" s="11">
        <v>400</v>
      </c>
      <c r="AI48" s="11"/>
      <c r="AJ48" s="11">
        <v>65</v>
      </c>
      <c r="AK48" s="11"/>
      <c r="AL48" s="11"/>
      <c r="AM48" s="11"/>
      <c r="AN48" s="11"/>
      <c r="AO48" s="11"/>
      <c r="AP48" s="11"/>
      <c r="AQ48" s="11"/>
      <c r="AR48" s="11"/>
      <c r="AS48" s="11"/>
      <c r="AT48" s="10"/>
      <c r="AU48" s="11"/>
      <c r="AV48" s="10"/>
      <c r="AW48" s="10"/>
      <c r="AX48" s="10"/>
      <c r="AY48" s="10"/>
      <c r="AZ48" s="11"/>
      <c r="BA48" s="11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</row>
    <row r="49" ht="28" spans="1:99">
      <c r="A49" s="5"/>
      <c r="B49" s="5"/>
      <c r="C49" s="16"/>
      <c r="D49" s="5" t="s">
        <v>114</v>
      </c>
      <c r="E49" s="5" t="s">
        <v>115</v>
      </c>
      <c r="F49" s="5">
        <f t="shared" si="0"/>
        <v>18829</v>
      </c>
      <c r="G49" s="5">
        <v>53.92</v>
      </c>
      <c r="H49" s="5">
        <f t="shared" si="2"/>
        <v>1015259.68</v>
      </c>
      <c r="I49" s="6" t="s">
        <v>116</v>
      </c>
      <c r="J49" s="6" t="s">
        <v>117</v>
      </c>
      <c r="K49" s="6" t="s">
        <v>118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>
        <v>14357</v>
      </c>
      <c r="AE49" s="11"/>
      <c r="AF49" s="11"/>
      <c r="AG49" s="11">
        <v>1485</v>
      </c>
      <c r="AH49" s="11">
        <v>2571</v>
      </c>
      <c r="AI49" s="11"/>
      <c r="AJ49" s="11">
        <v>416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0"/>
      <c r="AU49" s="11"/>
      <c r="AV49" s="10"/>
      <c r="AW49" s="10"/>
      <c r="AX49" s="10"/>
      <c r="AY49" s="10"/>
      <c r="AZ49" s="11"/>
      <c r="BA49" s="11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</row>
    <row r="50" ht="28" spans="1:99">
      <c r="A50" s="5"/>
      <c r="B50" s="5"/>
      <c r="C50" s="17"/>
      <c r="D50" s="5" t="s">
        <v>160</v>
      </c>
      <c r="E50" s="5" t="s">
        <v>55</v>
      </c>
      <c r="F50" s="5">
        <f t="shared" si="0"/>
        <v>286</v>
      </c>
      <c r="G50" s="5">
        <v>19.04</v>
      </c>
      <c r="H50" s="5">
        <f t="shared" si="2"/>
        <v>5445.44</v>
      </c>
      <c r="I50" s="6" t="s">
        <v>56</v>
      </c>
      <c r="J50" s="6" t="s">
        <v>57</v>
      </c>
      <c r="K50" s="6" t="s">
        <v>153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218</v>
      </c>
      <c r="AE50" s="11"/>
      <c r="AF50" s="11"/>
      <c r="AG50" s="11">
        <v>23</v>
      </c>
      <c r="AH50" s="11">
        <v>39</v>
      </c>
      <c r="AI50" s="11"/>
      <c r="AJ50" s="11">
        <v>6</v>
      </c>
      <c r="AK50" s="11"/>
      <c r="AL50" s="11"/>
      <c r="AM50" s="11"/>
      <c r="AN50" s="11"/>
      <c r="AO50" s="11"/>
      <c r="AP50" s="11"/>
      <c r="AQ50" s="11"/>
      <c r="AR50" s="11"/>
      <c r="AS50" s="11"/>
      <c r="AT50" s="10"/>
      <c r="AU50" s="11"/>
      <c r="AV50" s="10"/>
      <c r="AW50" s="10"/>
      <c r="AX50" s="10"/>
      <c r="AY50" s="10"/>
      <c r="AZ50" s="11"/>
      <c r="BA50" s="11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</row>
    <row r="51" ht="41" spans="1:99">
      <c r="A51" s="5"/>
      <c r="B51" s="5"/>
      <c r="C51" s="5" t="s">
        <v>161</v>
      </c>
      <c r="D51" s="5" t="s">
        <v>162</v>
      </c>
      <c r="E51" s="5" t="s">
        <v>163</v>
      </c>
      <c r="F51" s="5">
        <f t="shared" si="0"/>
        <v>55858</v>
      </c>
      <c r="G51" s="5">
        <v>19.61</v>
      </c>
      <c r="H51" s="5">
        <f t="shared" si="2"/>
        <v>1095375.38</v>
      </c>
      <c r="I51" s="6" t="s">
        <v>120</v>
      </c>
      <c r="J51" s="6" t="s">
        <v>99</v>
      </c>
      <c r="K51" s="6" t="s">
        <v>121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>
        <v>42592</v>
      </c>
      <c r="AE51" s="11"/>
      <c r="AF51" s="11"/>
      <c r="AG51" s="11">
        <v>4404</v>
      </c>
      <c r="AH51" s="11">
        <v>7627</v>
      </c>
      <c r="AI51" s="11"/>
      <c r="AJ51" s="11">
        <v>1235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0"/>
      <c r="AU51" s="11"/>
      <c r="AV51" s="10"/>
      <c r="AW51" s="10"/>
      <c r="AX51" s="10"/>
      <c r="AY51" s="10"/>
      <c r="AZ51" s="11"/>
      <c r="BA51" s="11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</row>
    <row r="52" ht="28" spans="1:99">
      <c r="A52" s="5"/>
      <c r="B52" s="5"/>
      <c r="C52" s="5" t="s">
        <v>143</v>
      </c>
      <c r="D52" s="5" t="s">
        <v>144</v>
      </c>
      <c r="E52" s="5" t="s">
        <v>55</v>
      </c>
      <c r="F52" s="5">
        <f t="shared" si="0"/>
        <v>309</v>
      </c>
      <c r="G52" s="5">
        <v>275.46</v>
      </c>
      <c r="H52" s="5">
        <f t="shared" si="2"/>
        <v>85117.14</v>
      </c>
      <c r="I52" s="6" t="s">
        <v>75</v>
      </c>
      <c r="J52" s="6" t="s">
        <v>145</v>
      </c>
      <c r="K52" s="6" t="s">
        <v>146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>
        <v>235</v>
      </c>
      <c r="AE52" s="11"/>
      <c r="AF52" s="11"/>
      <c r="AG52" s="11">
        <v>26</v>
      </c>
      <c r="AH52" s="11">
        <v>40</v>
      </c>
      <c r="AI52" s="11"/>
      <c r="AJ52" s="11">
        <v>8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0"/>
      <c r="AU52" s="11"/>
      <c r="AV52" s="10"/>
      <c r="AW52" s="10"/>
      <c r="AX52" s="10"/>
      <c r="AY52" s="10"/>
      <c r="AZ52" s="11"/>
      <c r="BA52" s="11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</row>
    <row r="53" ht="28" spans="1:99">
      <c r="A53" s="5"/>
      <c r="B53" s="5"/>
      <c r="C53" s="5"/>
      <c r="D53" s="5" t="s">
        <v>147</v>
      </c>
      <c r="E53" s="5" t="s">
        <v>105</v>
      </c>
      <c r="F53" s="5">
        <f t="shared" si="0"/>
        <v>511</v>
      </c>
      <c r="G53" s="5">
        <v>7.79</v>
      </c>
      <c r="H53" s="5">
        <f t="shared" si="2"/>
        <v>3980.69</v>
      </c>
      <c r="I53" s="6" t="s">
        <v>148</v>
      </c>
      <c r="J53" s="6" t="s">
        <v>107</v>
      </c>
      <c r="K53" s="6" t="s">
        <v>149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>
        <v>396</v>
      </c>
      <c r="AE53" s="11"/>
      <c r="AF53" s="11"/>
      <c r="AG53" s="11">
        <v>41</v>
      </c>
      <c r="AH53" s="11">
        <v>62</v>
      </c>
      <c r="AI53" s="11"/>
      <c r="AJ53" s="11">
        <v>12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0"/>
      <c r="AU53" s="11"/>
      <c r="AV53" s="10"/>
      <c r="AW53" s="10"/>
      <c r="AX53" s="10"/>
      <c r="AY53" s="10"/>
      <c r="AZ53" s="11"/>
      <c r="BA53" s="11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</row>
    <row r="54" ht="28" spans="1:99">
      <c r="A54" s="5"/>
      <c r="B54" s="5"/>
      <c r="C54" s="5" t="s">
        <v>164</v>
      </c>
      <c r="D54" s="5" t="s">
        <v>165</v>
      </c>
      <c r="E54" s="5" t="s">
        <v>166</v>
      </c>
      <c r="F54" s="18">
        <f t="shared" ref="F54:F58" si="3">(L54+M54+N54+O54+P54+Q54+R54+S54+T54+U54+V54+W54+X54+Y54+Z54+AA54+AB54+AC54+AD54+AE54+AF54+AG54+AH54+AI54+AJ54+AK54+AL54+AM54+AN54+AO54+AP54+AQ54+AR54+AS54+AT54+AU54+AV54+AW54+AX54+AY54+AZ54)/1000</f>
        <v>0.348</v>
      </c>
      <c r="G54" s="18">
        <v>1278.28</v>
      </c>
      <c r="H54" s="5">
        <f t="shared" si="2"/>
        <v>444.84144</v>
      </c>
      <c r="I54" s="19" t="s">
        <v>167</v>
      </c>
      <c r="J54" s="6" t="s">
        <v>168</v>
      </c>
      <c r="K54" s="6" t="s">
        <v>169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>
        <v>184</v>
      </c>
      <c r="AE54" s="11"/>
      <c r="AF54" s="11"/>
      <c r="AG54" s="11">
        <v>87</v>
      </c>
      <c r="AH54" s="11">
        <v>41</v>
      </c>
      <c r="AI54" s="11"/>
      <c r="AJ54" s="11">
        <v>36</v>
      </c>
      <c r="AK54" s="11"/>
      <c r="AL54" s="11"/>
      <c r="AM54" s="11"/>
      <c r="AN54" s="11"/>
      <c r="AO54" s="11"/>
      <c r="AP54" s="11"/>
      <c r="AQ54" s="11"/>
      <c r="AR54" s="11"/>
      <c r="AS54" s="11"/>
      <c r="AT54" s="10"/>
      <c r="AU54" s="11"/>
      <c r="AV54" s="10"/>
      <c r="AW54" s="10"/>
      <c r="AX54" s="10"/>
      <c r="AY54" s="10"/>
      <c r="AZ54" s="11"/>
      <c r="BA54" s="11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</row>
    <row r="55" ht="31" spans="1:99">
      <c r="A55" s="5"/>
      <c r="B55" s="5"/>
      <c r="C55" s="5" t="s">
        <v>170</v>
      </c>
      <c r="D55" s="20" t="s">
        <v>171</v>
      </c>
      <c r="E55" s="5" t="s">
        <v>172</v>
      </c>
      <c r="F55" s="18">
        <f>L55+M55+N55+O55+P55+Q55+R55+S55+T55+U55+V55+W55+X55+Y55+Z55+AA55+AB55+AC55+AD55+AE55+AF55+AG55+AH55+AI55+AJ55+AK55+AL55+AM55+AN55+AO55+AP55+AQ55+AR55+AS55+AT55+AU55+AV55+AW55+AX55+AY55+AZ55</f>
        <v>7359</v>
      </c>
      <c r="G55" s="18">
        <v>132.44</v>
      </c>
      <c r="H55" s="5">
        <f t="shared" si="2"/>
        <v>974625.96</v>
      </c>
      <c r="I55" s="21" t="s">
        <v>173</v>
      </c>
      <c r="J55" s="22" t="s">
        <v>174</v>
      </c>
      <c r="K55" s="22" t="s">
        <v>175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1987</v>
      </c>
      <c r="AE55" s="11">
        <v>5372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0"/>
      <c r="AU55" s="11"/>
      <c r="AV55" s="10"/>
      <c r="AW55" s="10"/>
      <c r="AX55" s="10"/>
      <c r="AY55" s="10"/>
      <c r="AZ55" s="11"/>
      <c r="BA55" s="11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</row>
    <row r="56" ht="28" spans="1:99">
      <c r="A56" s="5"/>
      <c r="B56" s="5"/>
      <c r="C56" s="5" t="s">
        <v>176</v>
      </c>
      <c r="D56" s="5" t="s">
        <v>177</v>
      </c>
      <c r="E56" s="5" t="s">
        <v>55</v>
      </c>
      <c r="F56" s="18">
        <f>L56+M56+N56+O56+P56+Q56+R56+S56+T56+U56+V56+W56+X56+Y56+Z56+AA56+AB56+AC56+AD56+AE56+AF56+AG56+AH56+AI56+AJ56+AK56+AL56+AM56+AN56+AO56+AP56+AQ56+AR56+AS56+AT56+AU56+AV56+AW56+AX56+AY56+AZ56</f>
        <v>600</v>
      </c>
      <c r="G56" s="18">
        <v>360</v>
      </c>
      <c r="H56" s="5">
        <f t="shared" si="2"/>
        <v>216000</v>
      </c>
      <c r="I56" s="19" t="s">
        <v>178</v>
      </c>
      <c r="J56" s="6" t="s">
        <v>99</v>
      </c>
      <c r="K56" s="6" t="s">
        <v>179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>
        <v>176</v>
      </c>
      <c r="AE56" s="11">
        <v>424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0"/>
      <c r="AU56" s="11"/>
      <c r="AV56" s="10"/>
      <c r="AW56" s="10"/>
      <c r="AX56" s="10"/>
      <c r="AY56" s="10"/>
      <c r="AZ56" s="11"/>
      <c r="BA56" s="11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</row>
    <row r="57" ht="28" spans="1:99">
      <c r="A57" s="5"/>
      <c r="B57" s="5"/>
      <c r="C57" s="5"/>
      <c r="D57" s="5" t="s">
        <v>180</v>
      </c>
      <c r="E57" s="5" t="s">
        <v>166</v>
      </c>
      <c r="F57" s="18">
        <f t="shared" si="3"/>
        <v>14.078</v>
      </c>
      <c r="G57" s="18">
        <v>1319.94</v>
      </c>
      <c r="H57" s="5">
        <f t="shared" si="2"/>
        <v>18582.11532</v>
      </c>
      <c r="I57" s="19" t="s">
        <v>167</v>
      </c>
      <c r="J57" s="6" t="s">
        <v>168</v>
      </c>
      <c r="K57" s="6" t="s">
        <v>169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>
        <v>4133</v>
      </c>
      <c r="AE57" s="11">
        <v>9945</v>
      </c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0"/>
      <c r="AU57" s="11"/>
      <c r="AV57" s="10"/>
      <c r="AW57" s="10"/>
      <c r="AX57" s="10"/>
      <c r="AY57" s="10"/>
      <c r="AZ57" s="11"/>
      <c r="BA57" s="11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</row>
    <row r="58" ht="28" spans="1:99">
      <c r="A58" s="5"/>
      <c r="B58" s="5"/>
      <c r="C58" s="5"/>
      <c r="D58" s="5" t="s">
        <v>181</v>
      </c>
      <c r="E58" s="5" t="s">
        <v>166</v>
      </c>
      <c r="F58" s="5">
        <f t="shared" si="3"/>
        <v>80.578</v>
      </c>
      <c r="G58" s="5">
        <v>1440.57</v>
      </c>
      <c r="H58" s="5">
        <f t="shared" si="2"/>
        <v>116078.24946</v>
      </c>
      <c r="I58" s="6" t="s">
        <v>167</v>
      </c>
      <c r="J58" s="6" t="s">
        <v>168</v>
      </c>
      <c r="K58" s="6" t="s">
        <v>169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23656</v>
      </c>
      <c r="AE58" s="11">
        <v>56922</v>
      </c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0"/>
      <c r="AU58" s="11"/>
      <c r="AV58" s="10"/>
      <c r="AW58" s="10"/>
      <c r="AX58" s="10"/>
      <c r="AY58" s="10"/>
      <c r="AZ58" s="11"/>
      <c r="BA58" s="11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</row>
    <row r="59" ht="28" spans="1:99">
      <c r="A59" s="5"/>
      <c r="B59" s="5"/>
      <c r="C59" s="5" t="s">
        <v>182</v>
      </c>
      <c r="D59" s="5" t="s">
        <v>142</v>
      </c>
      <c r="E59" s="5" t="s">
        <v>105</v>
      </c>
      <c r="F59" s="5">
        <f t="shared" ref="F59:F76" si="4">L59+M59+N59+O59+P59+Q59+R59+S59+T59+U59+V59+W59+X59+Y59+Z59+AA59+AB59+AC59+AD59+AE59+AF59+AG59+AH59+AI59+AJ59+AK59+AL59+AM59+AN59+AO59+AP59+AQ59+AR59+AS59+AT59+AU59+AV59+AW59+AX59+AY59+AZ59</f>
        <v>2613</v>
      </c>
      <c r="G59" s="5">
        <v>8.98</v>
      </c>
      <c r="H59" s="5">
        <f t="shared" si="2"/>
        <v>23464.74</v>
      </c>
      <c r="I59" s="6" t="s">
        <v>135</v>
      </c>
      <c r="J59" s="6" t="s">
        <v>112</v>
      </c>
      <c r="K59" s="6" t="s">
        <v>136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767</v>
      </c>
      <c r="AE59" s="11">
        <v>1846</v>
      </c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0"/>
      <c r="AU59" s="11"/>
      <c r="AV59" s="10"/>
      <c r="AW59" s="10"/>
      <c r="AX59" s="10"/>
      <c r="AY59" s="10"/>
      <c r="AZ59" s="11"/>
      <c r="BA59" s="11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</row>
    <row r="60" ht="28" spans="1:99">
      <c r="A60" s="5"/>
      <c r="B60" s="5"/>
      <c r="C60" s="5"/>
      <c r="D60" s="5" t="s">
        <v>114</v>
      </c>
      <c r="E60" s="5" t="s">
        <v>115</v>
      </c>
      <c r="F60" s="5">
        <f t="shared" si="4"/>
        <v>16778</v>
      </c>
      <c r="G60" s="5">
        <v>53.92</v>
      </c>
      <c r="H60" s="5">
        <f t="shared" si="2"/>
        <v>904669.76</v>
      </c>
      <c r="I60" s="6" t="s">
        <v>116</v>
      </c>
      <c r="J60" s="6" t="s">
        <v>117</v>
      </c>
      <c r="K60" s="6" t="s">
        <v>118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4926</v>
      </c>
      <c r="AE60" s="11">
        <v>11852</v>
      </c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0"/>
      <c r="AU60" s="11"/>
      <c r="AV60" s="10"/>
      <c r="AW60" s="10"/>
      <c r="AX60" s="10"/>
      <c r="AY60" s="10"/>
      <c r="AZ60" s="11"/>
      <c r="BA60" s="11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</row>
    <row r="61" ht="41" spans="1:99">
      <c r="A61" s="5"/>
      <c r="B61" s="5"/>
      <c r="C61" s="5"/>
      <c r="D61" s="5" t="s">
        <v>162</v>
      </c>
      <c r="E61" s="5" t="s">
        <v>55</v>
      </c>
      <c r="F61" s="5">
        <f t="shared" si="4"/>
        <v>255</v>
      </c>
      <c r="G61" s="5">
        <v>280</v>
      </c>
      <c r="H61" s="5">
        <f t="shared" si="2"/>
        <v>71400</v>
      </c>
      <c r="I61" s="6" t="s">
        <v>120</v>
      </c>
      <c r="J61" s="6" t="s">
        <v>99</v>
      </c>
      <c r="K61" s="6" t="s">
        <v>121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>
        <v>75</v>
      </c>
      <c r="AE61" s="11">
        <v>180</v>
      </c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0"/>
      <c r="AU61" s="11"/>
      <c r="AV61" s="10"/>
      <c r="AW61" s="10"/>
      <c r="AX61" s="10"/>
      <c r="AY61" s="10"/>
      <c r="AZ61" s="11"/>
      <c r="BA61" s="11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</row>
    <row r="62" ht="31" spans="1:99">
      <c r="A62" s="5"/>
      <c r="B62" s="5"/>
      <c r="C62" s="5" t="s">
        <v>183</v>
      </c>
      <c r="D62" s="5" t="s">
        <v>184</v>
      </c>
      <c r="E62" s="5" t="s">
        <v>55</v>
      </c>
      <c r="F62" s="5">
        <f t="shared" si="4"/>
        <v>242</v>
      </c>
      <c r="G62" s="5">
        <v>360</v>
      </c>
      <c r="H62" s="5">
        <f t="shared" si="2"/>
        <v>87120</v>
      </c>
      <c r="I62" s="6" t="s">
        <v>185</v>
      </c>
      <c r="J62" s="6" t="s">
        <v>99</v>
      </c>
      <c r="K62" s="6" t="s">
        <v>186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>
        <v>78</v>
      </c>
      <c r="AE62" s="11">
        <v>164</v>
      </c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0"/>
      <c r="AU62" s="11"/>
      <c r="AV62" s="10"/>
      <c r="AW62" s="10"/>
      <c r="AX62" s="10"/>
      <c r="AY62" s="10"/>
      <c r="AZ62" s="11"/>
      <c r="BA62" s="11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</row>
    <row r="63" ht="41" spans="1:99">
      <c r="A63" s="5"/>
      <c r="B63" s="5"/>
      <c r="C63" s="5"/>
      <c r="D63" s="5" t="s">
        <v>97</v>
      </c>
      <c r="E63" s="5" t="s">
        <v>55</v>
      </c>
      <c r="F63" s="5">
        <f t="shared" si="4"/>
        <v>495</v>
      </c>
      <c r="G63" s="5">
        <v>330</v>
      </c>
      <c r="H63" s="5">
        <f t="shared" si="2"/>
        <v>163350</v>
      </c>
      <c r="I63" s="6" t="s">
        <v>98</v>
      </c>
      <c r="J63" s="6" t="s">
        <v>99</v>
      </c>
      <c r="K63" s="6" t="s">
        <v>187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>
        <v>160</v>
      </c>
      <c r="AE63" s="11">
        <v>335</v>
      </c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0"/>
      <c r="AU63" s="11"/>
      <c r="AV63" s="10"/>
      <c r="AW63" s="10"/>
      <c r="AX63" s="10"/>
      <c r="AY63" s="10"/>
      <c r="AZ63" s="11"/>
      <c r="BA63" s="11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</row>
    <row r="64" ht="41" spans="1:99">
      <c r="A64" s="5"/>
      <c r="B64" s="5" t="s">
        <v>188</v>
      </c>
      <c r="C64" s="5" t="s">
        <v>97</v>
      </c>
      <c r="D64" s="5"/>
      <c r="E64" s="5" t="s">
        <v>55</v>
      </c>
      <c r="F64" s="5">
        <f t="shared" si="4"/>
        <v>4641</v>
      </c>
      <c r="G64" s="5">
        <v>330</v>
      </c>
      <c r="H64" s="5">
        <f t="shared" si="2"/>
        <v>1531530</v>
      </c>
      <c r="I64" s="6" t="s">
        <v>98</v>
      </c>
      <c r="J64" s="6" t="s">
        <v>99</v>
      </c>
      <c r="K64" s="6" t="s">
        <v>100</v>
      </c>
      <c r="L64" s="11"/>
      <c r="M64" s="11"/>
      <c r="N64" s="11"/>
      <c r="O64" s="11"/>
      <c r="P64" s="11"/>
      <c r="Q64" s="11"/>
      <c r="R64" s="11">
        <v>1296</v>
      </c>
      <c r="S64" s="11"/>
      <c r="T64" s="11"/>
      <c r="U64" s="11">
        <v>971</v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>
        <v>1357</v>
      </c>
      <c r="AL64" s="11"/>
      <c r="AM64" s="11">
        <v>1017</v>
      </c>
      <c r="AN64" s="11"/>
      <c r="AO64" s="11"/>
      <c r="AP64" s="11"/>
      <c r="AQ64" s="11"/>
      <c r="AR64" s="11"/>
      <c r="AS64" s="11"/>
      <c r="AT64" s="10"/>
      <c r="AU64" s="11"/>
      <c r="AV64" s="10"/>
      <c r="AW64" s="10"/>
      <c r="AX64" s="10"/>
      <c r="AY64" s="10"/>
      <c r="AZ64" s="11"/>
      <c r="BA64" s="11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</row>
    <row r="65" ht="28" spans="1:99">
      <c r="A65" s="5"/>
      <c r="B65" s="5"/>
      <c r="C65" s="5" t="s">
        <v>143</v>
      </c>
      <c r="D65" s="5" t="s">
        <v>189</v>
      </c>
      <c r="E65" s="5" t="s">
        <v>55</v>
      </c>
      <c r="F65" s="5">
        <f t="shared" si="4"/>
        <v>1766</v>
      </c>
      <c r="G65" s="5">
        <v>275.46</v>
      </c>
      <c r="H65" s="5">
        <f t="shared" si="2"/>
        <v>486462.36</v>
      </c>
      <c r="I65" s="6" t="s">
        <v>75</v>
      </c>
      <c r="J65" s="6" t="s">
        <v>145</v>
      </c>
      <c r="K65" s="6" t="s">
        <v>146</v>
      </c>
      <c r="L65" s="11"/>
      <c r="M65" s="11"/>
      <c r="N65" s="11"/>
      <c r="O65" s="11"/>
      <c r="P65" s="11"/>
      <c r="Q65" s="11"/>
      <c r="R65" s="11">
        <v>171</v>
      </c>
      <c r="S65" s="11"/>
      <c r="T65" s="11"/>
      <c r="U65" s="11">
        <v>385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>
        <v>784</v>
      </c>
      <c r="AL65" s="11"/>
      <c r="AM65" s="11">
        <v>426</v>
      </c>
      <c r="AN65" s="11"/>
      <c r="AO65" s="11"/>
      <c r="AP65" s="11"/>
      <c r="AQ65" s="11"/>
      <c r="AR65" s="11"/>
      <c r="AS65" s="11"/>
      <c r="AT65" s="10"/>
      <c r="AU65" s="11"/>
      <c r="AV65" s="10"/>
      <c r="AW65" s="10"/>
      <c r="AX65" s="10"/>
      <c r="AY65" s="10"/>
      <c r="AZ65" s="11"/>
      <c r="BA65" s="11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</row>
    <row r="66" ht="28" spans="1:99">
      <c r="A66" s="5"/>
      <c r="B66" s="5"/>
      <c r="C66" s="5"/>
      <c r="D66" s="5" t="s">
        <v>147</v>
      </c>
      <c r="E66" s="5" t="s">
        <v>105</v>
      </c>
      <c r="F66" s="5">
        <f t="shared" si="4"/>
        <v>795</v>
      </c>
      <c r="G66" s="5">
        <v>7.79</v>
      </c>
      <c r="H66" s="5">
        <f t="shared" si="2"/>
        <v>6193.05</v>
      </c>
      <c r="I66" s="6" t="s">
        <v>148</v>
      </c>
      <c r="J66" s="6" t="s">
        <v>107</v>
      </c>
      <c r="K66" s="6" t="s">
        <v>149</v>
      </c>
      <c r="L66" s="11"/>
      <c r="M66" s="11"/>
      <c r="N66" s="11"/>
      <c r="O66" s="11"/>
      <c r="P66" s="11"/>
      <c r="Q66" s="11"/>
      <c r="R66" s="11">
        <v>77</v>
      </c>
      <c r="S66" s="11"/>
      <c r="T66" s="11"/>
      <c r="U66" s="11">
        <v>173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>
        <v>353</v>
      </c>
      <c r="AL66" s="11"/>
      <c r="AM66" s="11">
        <v>192</v>
      </c>
      <c r="AN66" s="11"/>
      <c r="AO66" s="11"/>
      <c r="AP66" s="11"/>
      <c r="AQ66" s="11"/>
      <c r="AR66" s="11"/>
      <c r="AS66" s="11"/>
      <c r="AT66" s="10"/>
      <c r="AU66" s="11"/>
      <c r="AV66" s="10"/>
      <c r="AW66" s="10"/>
      <c r="AX66" s="10"/>
      <c r="AY66" s="10"/>
      <c r="AZ66" s="11"/>
      <c r="BA66" s="11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</row>
    <row r="67" ht="41" spans="1:99">
      <c r="A67" s="5"/>
      <c r="B67" s="5" t="s">
        <v>190</v>
      </c>
      <c r="C67" s="5" t="s">
        <v>191</v>
      </c>
      <c r="D67" s="5" t="s">
        <v>192</v>
      </c>
      <c r="E67" s="5" t="s">
        <v>193</v>
      </c>
      <c r="F67" s="5">
        <f t="shared" si="4"/>
        <v>4938</v>
      </c>
      <c r="G67" s="5">
        <v>182.47</v>
      </c>
      <c r="H67" s="5">
        <f t="shared" si="2"/>
        <v>901036.86</v>
      </c>
      <c r="I67" s="6" t="s">
        <v>194</v>
      </c>
      <c r="J67" s="6" t="s">
        <v>195</v>
      </c>
      <c r="K67" s="6" t="s">
        <v>196</v>
      </c>
      <c r="L67" s="11"/>
      <c r="M67" s="11"/>
      <c r="N67" s="11"/>
      <c r="O67" s="11"/>
      <c r="P67" s="11"/>
      <c r="Q67" s="11"/>
      <c r="R67" s="11"/>
      <c r="S67" s="11"/>
      <c r="T67" s="11"/>
      <c r="U67" s="11">
        <v>4938</v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0"/>
      <c r="AU67" s="11"/>
      <c r="AV67" s="10"/>
      <c r="AW67" s="10"/>
      <c r="AX67" s="10"/>
      <c r="AY67" s="10"/>
      <c r="AZ67" s="11"/>
      <c r="BA67" s="11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</row>
    <row r="68" ht="28" spans="1:99">
      <c r="A68" s="5"/>
      <c r="B68" s="5"/>
      <c r="C68" s="5"/>
      <c r="D68" s="5" t="s">
        <v>197</v>
      </c>
      <c r="E68" s="5" t="s">
        <v>55</v>
      </c>
      <c r="F68" s="5">
        <f t="shared" si="4"/>
        <v>22</v>
      </c>
      <c r="G68" s="5">
        <v>186.12</v>
      </c>
      <c r="H68" s="5">
        <f t="shared" ref="H68:H99" si="5">F68*G68</f>
        <v>4094.64</v>
      </c>
      <c r="I68" s="6" t="s">
        <v>198</v>
      </c>
      <c r="J68" s="6" t="s">
        <v>199</v>
      </c>
      <c r="K68" s="6" t="s">
        <v>200</v>
      </c>
      <c r="L68" s="11"/>
      <c r="M68" s="11"/>
      <c r="N68" s="11"/>
      <c r="O68" s="11"/>
      <c r="P68" s="11"/>
      <c r="Q68" s="11"/>
      <c r="R68" s="11"/>
      <c r="S68" s="11"/>
      <c r="T68" s="11"/>
      <c r="U68" s="11">
        <v>22</v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0"/>
      <c r="AU68" s="11"/>
      <c r="AV68" s="10"/>
      <c r="AW68" s="10"/>
      <c r="AX68" s="10"/>
      <c r="AY68" s="10"/>
      <c r="AZ68" s="11"/>
      <c r="BA68" s="11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</row>
    <row r="69" ht="28" spans="1:99">
      <c r="A69" s="5"/>
      <c r="B69" s="5"/>
      <c r="C69" s="5"/>
      <c r="D69" s="5" t="s">
        <v>201</v>
      </c>
      <c r="E69" s="5" t="s">
        <v>55</v>
      </c>
      <c r="F69" s="5">
        <f t="shared" si="4"/>
        <v>156</v>
      </c>
      <c r="G69" s="5">
        <v>186.12</v>
      </c>
      <c r="H69" s="5">
        <f t="shared" si="5"/>
        <v>29034.72</v>
      </c>
      <c r="I69" s="6" t="s">
        <v>198</v>
      </c>
      <c r="J69" s="6" t="s">
        <v>199</v>
      </c>
      <c r="K69" s="6" t="s">
        <v>200</v>
      </c>
      <c r="L69" s="11"/>
      <c r="M69" s="11"/>
      <c r="N69" s="11"/>
      <c r="O69" s="11"/>
      <c r="P69" s="11"/>
      <c r="Q69" s="11"/>
      <c r="R69" s="11"/>
      <c r="S69" s="11"/>
      <c r="T69" s="11"/>
      <c r="U69" s="11">
        <v>156</v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0"/>
      <c r="AU69" s="11"/>
      <c r="AV69" s="10"/>
      <c r="AW69" s="10"/>
      <c r="AX69" s="10"/>
      <c r="AY69" s="10"/>
      <c r="AZ69" s="11"/>
      <c r="BA69" s="11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</row>
    <row r="70" ht="31" spans="1:99">
      <c r="A70" s="5"/>
      <c r="B70" s="5" t="s">
        <v>202</v>
      </c>
      <c r="C70" s="5" t="s">
        <v>202</v>
      </c>
      <c r="D70" s="5" t="s">
        <v>203</v>
      </c>
      <c r="E70" s="23" t="s">
        <v>55</v>
      </c>
      <c r="F70" s="5">
        <f t="shared" si="4"/>
        <v>4859</v>
      </c>
      <c r="G70" s="5">
        <v>360</v>
      </c>
      <c r="H70" s="5">
        <f t="shared" si="5"/>
        <v>1749240</v>
      </c>
      <c r="I70" s="6" t="s">
        <v>204</v>
      </c>
      <c r="J70" s="6" t="s">
        <v>99</v>
      </c>
      <c r="K70" s="6" t="s">
        <v>205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>
        <v>3460</v>
      </c>
      <c r="AI70" s="11"/>
      <c r="AJ70" s="11">
        <v>1399</v>
      </c>
      <c r="AK70" s="11"/>
      <c r="AL70" s="11"/>
      <c r="AM70" s="11"/>
      <c r="AN70" s="11"/>
      <c r="AO70" s="11"/>
      <c r="AP70" s="11"/>
      <c r="AQ70" s="11"/>
      <c r="AR70" s="11"/>
      <c r="AS70" s="11"/>
      <c r="AT70" s="10"/>
      <c r="AU70" s="11"/>
      <c r="AV70" s="10"/>
      <c r="AW70" s="10"/>
      <c r="AX70" s="10"/>
      <c r="AY70" s="10"/>
      <c r="AZ70" s="11"/>
      <c r="BA70" s="11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</row>
    <row r="71" ht="31" spans="1:99">
      <c r="A71" s="5"/>
      <c r="B71" s="5"/>
      <c r="C71" s="5" t="s">
        <v>202</v>
      </c>
      <c r="D71" s="5" t="s">
        <v>206</v>
      </c>
      <c r="E71" s="23" t="s">
        <v>55</v>
      </c>
      <c r="F71" s="5">
        <f t="shared" si="4"/>
        <v>1306</v>
      </c>
      <c r="G71" s="5">
        <v>360</v>
      </c>
      <c r="H71" s="5">
        <f t="shared" si="5"/>
        <v>470160</v>
      </c>
      <c r="I71" s="6" t="s">
        <v>204</v>
      </c>
      <c r="J71" s="6" t="s">
        <v>99</v>
      </c>
      <c r="K71" s="6" t="s">
        <v>205</v>
      </c>
      <c r="L71" s="11"/>
      <c r="M71" s="11"/>
      <c r="N71" s="11"/>
      <c r="O71" s="11"/>
      <c r="P71" s="11"/>
      <c r="Q71" s="11"/>
      <c r="R71" s="11"/>
      <c r="S71" s="11"/>
      <c r="T71" s="11"/>
      <c r="U71" s="11">
        <v>464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0">
        <v>842</v>
      </c>
      <c r="AM71" s="11"/>
      <c r="AN71" s="11"/>
      <c r="AO71" s="11"/>
      <c r="AP71" s="11"/>
      <c r="AQ71" s="11"/>
      <c r="AR71" s="11"/>
      <c r="AS71" s="11"/>
      <c r="AT71" s="10"/>
      <c r="AU71" s="11"/>
      <c r="AV71" s="10"/>
      <c r="AW71" s="10"/>
      <c r="AX71" s="10"/>
      <c r="AY71" s="10"/>
      <c r="AZ71" s="11"/>
      <c r="BA71" s="11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</row>
    <row r="72" ht="28" spans="1:99">
      <c r="A72" s="5"/>
      <c r="B72" s="5"/>
      <c r="C72" s="5" t="s">
        <v>207</v>
      </c>
      <c r="D72" s="5" t="s">
        <v>208</v>
      </c>
      <c r="E72" s="5" t="s">
        <v>55</v>
      </c>
      <c r="F72" s="5">
        <f t="shared" si="4"/>
        <v>2573</v>
      </c>
      <c r="G72" s="5">
        <v>19.72</v>
      </c>
      <c r="H72" s="5">
        <f t="shared" si="5"/>
        <v>50739.56</v>
      </c>
      <c r="I72" s="6" t="s">
        <v>209</v>
      </c>
      <c r="J72" s="6" t="s">
        <v>210</v>
      </c>
      <c r="K72" s="6" t="s">
        <v>211</v>
      </c>
      <c r="L72" s="11"/>
      <c r="M72" s="11"/>
      <c r="N72" s="11"/>
      <c r="O72" s="11"/>
      <c r="P72" s="11"/>
      <c r="Q72" s="11"/>
      <c r="R72" s="11"/>
      <c r="S72" s="11"/>
      <c r="T72" s="11"/>
      <c r="U72" s="11">
        <v>156</v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>
        <v>1534</v>
      </c>
      <c r="AI72" s="11"/>
      <c r="AJ72" s="11">
        <v>620</v>
      </c>
      <c r="AK72" s="11"/>
      <c r="AL72" s="11">
        <v>263</v>
      </c>
      <c r="AM72" s="11"/>
      <c r="AN72" s="11"/>
      <c r="AO72" s="11"/>
      <c r="AP72" s="11"/>
      <c r="AQ72" s="11"/>
      <c r="AR72" s="11"/>
      <c r="AS72" s="11"/>
      <c r="AT72" s="10"/>
      <c r="AU72" s="11"/>
      <c r="AV72" s="10"/>
      <c r="AW72" s="10"/>
      <c r="AX72" s="10"/>
      <c r="AY72" s="10"/>
      <c r="AZ72" s="11"/>
      <c r="BA72" s="11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</row>
    <row r="73" ht="41" spans="1:99">
      <c r="A73" s="5"/>
      <c r="B73" s="5"/>
      <c r="C73" s="5"/>
      <c r="D73" s="5" t="s">
        <v>212</v>
      </c>
      <c r="E73" s="5" t="s">
        <v>55</v>
      </c>
      <c r="F73" s="5">
        <f t="shared" si="4"/>
        <v>129</v>
      </c>
      <c r="G73" s="5">
        <v>310</v>
      </c>
      <c r="H73" s="5">
        <f t="shared" si="5"/>
        <v>39990</v>
      </c>
      <c r="I73" s="6" t="s">
        <v>122</v>
      </c>
      <c r="J73" s="6" t="s">
        <v>99</v>
      </c>
      <c r="K73" s="6" t="s">
        <v>187</v>
      </c>
      <c r="L73" s="11"/>
      <c r="M73" s="11"/>
      <c r="N73" s="11"/>
      <c r="O73" s="11"/>
      <c r="P73" s="11"/>
      <c r="Q73" s="11"/>
      <c r="R73" s="11"/>
      <c r="S73" s="11"/>
      <c r="T73" s="11"/>
      <c r="U73" s="11">
        <v>75</v>
      </c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>
        <v>54</v>
      </c>
      <c r="AM73" s="11"/>
      <c r="AN73" s="11"/>
      <c r="AO73" s="11"/>
      <c r="AP73" s="11"/>
      <c r="AQ73" s="11"/>
      <c r="AR73" s="11"/>
      <c r="AS73" s="11"/>
      <c r="AT73" s="10"/>
      <c r="AU73" s="11"/>
      <c r="AV73" s="10"/>
      <c r="AW73" s="10"/>
      <c r="AX73" s="10"/>
      <c r="AY73" s="10"/>
      <c r="AZ73" s="11"/>
      <c r="BA73" s="11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</row>
    <row r="74" ht="28" spans="1:99">
      <c r="A74" s="5"/>
      <c r="B74" s="5"/>
      <c r="C74" s="5" t="s">
        <v>143</v>
      </c>
      <c r="D74" s="5" t="s">
        <v>144</v>
      </c>
      <c r="E74" s="5" t="s">
        <v>55</v>
      </c>
      <c r="F74" s="5">
        <f t="shared" si="4"/>
        <v>983</v>
      </c>
      <c r="G74" s="5">
        <v>275.46</v>
      </c>
      <c r="H74" s="5">
        <f t="shared" si="5"/>
        <v>270777.18</v>
      </c>
      <c r="I74" s="6" t="s">
        <v>75</v>
      </c>
      <c r="J74" s="6" t="s">
        <v>145</v>
      </c>
      <c r="K74" s="6" t="s">
        <v>146</v>
      </c>
      <c r="L74" s="11"/>
      <c r="M74" s="11"/>
      <c r="N74" s="11"/>
      <c r="O74" s="11"/>
      <c r="P74" s="11"/>
      <c r="Q74" s="11"/>
      <c r="R74" s="11"/>
      <c r="S74" s="11"/>
      <c r="T74" s="11"/>
      <c r="U74" s="11">
        <v>59</v>
      </c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>
        <v>602</v>
      </c>
      <c r="AI74" s="11"/>
      <c r="AJ74" s="11">
        <v>243</v>
      </c>
      <c r="AK74" s="11"/>
      <c r="AL74" s="11">
        <v>79</v>
      </c>
      <c r="AM74" s="11"/>
      <c r="AN74" s="11"/>
      <c r="AO74" s="11"/>
      <c r="AP74" s="11"/>
      <c r="AQ74" s="11"/>
      <c r="AR74" s="11"/>
      <c r="AS74" s="11"/>
      <c r="AT74" s="10"/>
      <c r="AU74" s="11"/>
      <c r="AV74" s="10"/>
      <c r="AW74" s="10"/>
      <c r="AX74" s="10"/>
      <c r="AY74" s="10"/>
      <c r="AZ74" s="11"/>
      <c r="BA74" s="11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</row>
    <row r="75" ht="31" spans="1:99">
      <c r="A75" s="5"/>
      <c r="B75" s="5"/>
      <c r="C75" s="5"/>
      <c r="D75" s="5" t="s">
        <v>213</v>
      </c>
      <c r="E75" s="23" t="s">
        <v>105</v>
      </c>
      <c r="F75" s="5">
        <f t="shared" si="4"/>
        <v>3275</v>
      </c>
      <c r="G75" s="5">
        <v>46.68</v>
      </c>
      <c r="H75" s="5">
        <f t="shared" si="5"/>
        <v>152877</v>
      </c>
      <c r="I75" s="6" t="s">
        <v>75</v>
      </c>
      <c r="J75" s="6" t="s">
        <v>107</v>
      </c>
      <c r="K75" s="6" t="s">
        <v>149</v>
      </c>
      <c r="L75" s="11"/>
      <c r="M75" s="11"/>
      <c r="N75" s="11"/>
      <c r="O75" s="11"/>
      <c r="P75" s="11"/>
      <c r="Q75" s="11"/>
      <c r="R75" s="11"/>
      <c r="S75" s="11"/>
      <c r="T75" s="11"/>
      <c r="U75" s="11">
        <v>195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2006</v>
      </c>
      <c r="AI75" s="11"/>
      <c r="AJ75" s="11">
        <v>811</v>
      </c>
      <c r="AK75" s="11"/>
      <c r="AL75" s="11">
        <v>263</v>
      </c>
      <c r="AM75" s="11"/>
      <c r="AN75" s="11"/>
      <c r="AO75" s="11"/>
      <c r="AP75" s="11"/>
      <c r="AQ75" s="11"/>
      <c r="AR75" s="11"/>
      <c r="AS75" s="11"/>
      <c r="AT75" s="10"/>
      <c r="AU75" s="11"/>
      <c r="AV75" s="10"/>
      <c r="AW75" s="10"/>
      <c r="AX75" s="10"/>
      <c r="AY75" s="10"/>
      <c r="AZ75" s="11"/>
      <c r="BA75" s="11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</row>
    <row r="76" ht="28" spans="1:99">
      <c r="A76" s="5"/>
      <c r="B76" s="5"/>
      <c r="C76" s="5" t="s">
        <v>214</v>
      </c>
      <c r="D76" s="5" t="s">
        <v>119</v>
      </c>
      <c r="E76" s="23" t="s">
        <v>55</v>
      </c>
      <c r="F76" s="5">
        <f t="shared" si="4"/>
        <v>81</v>
      </c>
      <c r="G76" s="5">
        <v>360</v>
      </c>
      <c r="H76" s="5">
        <f t="shared" si="5"/>
        <v>29160</v>
      </c>
      <c r="I76" s="6" t="s">
        <v>215</v>
      </c>
      <c r="J76" s="6" t="s">
        <v>216</v>
      </c>
      <c r="K76" s="6" t="s">
        <v>217</v>
      </c>
      <c r="L76" s="11"/>
      <c r="M76" s="11"/>
      <c r="N76" s="11"/>
      <c r="O76" s="11"/>
      <c r="P76" s="11"/>
      <c r="Q76" s="11"/>
      <c r="R76" s="11"/>
      <c r="S76" s="11"/>
      <c r="T76" s="11"/>
      <c r="U76" s="11">
        <v>24</v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28</v>
      </c>
      <c r="AI76" s="11"/>
      <c r="AJ76" s="11">
        <v>11</v>
      </c>
      <c r="AK76" s="11"/>
      <c r="AL76" s="11">
        <v>18</v>
      </c>
      <c r="AM76" s="11"/>
      <c r="AN76" s="11"/>
      <c r="AO76" s="11"/>
      <c r="AP76" s="11"/>
      <c r="AQ76" s="11"/>
      <c r="AR76" s="11"/>
      <c r="AS76" s="11"/>
      <c r="AT76" s="10"/>
      <c r="AU76" s="11"/>
      <c r="AV76" s="10"/>
      <c r="AW76" s="10"/>
      <c r="AX76" s="10"/>
      <c r="AY76" s="10"/>
      <c r="AZ76" s="11"/>
      <c r="BA76" s="11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</row>
    <row r="77" ht="31" spans="1:99">
      <c r="A77" s="5"/>
      <c r="B77" s="5"/>
      <c r="C77" s="5" t="s">
        <v>164</v>
      </c>
      <c r="D77" s="5" t="s">
        <v>218</v>
      </c>
      <c r="E77" s="5" t="s">
        <v>166</v>
      </c>
      <c r="F77" s="5">
        <f>(L77+M77+N77+O77+P77+Q77+R77+S77+T77+U77+V77+W77+X77+Y77+Z77+AA77+AB77+AC77+AD77+AE77+AF77+AG77+AH77+AI77+AJ77+AK77+AL77+AM77+AN77+AO77+AP77+AQ77+AR77+AS77+AT77+AU77+AV77+AW77+AX77+AY77+AZ77)/1000</f>
        <v>0.23</v>
      </c>
      <c r="G77" s="5">
        <v>7826.78</v>
      </c>
      <c r="H77" s="5">
        <f t="shared" si="5"/>
        <v>1800.1594</v>
      </c>
      <c r="I77" s="6" t="s">
        <v>167</v>
      </c>
      <c r="J77" s="6" t="s">
        <v>168</v>
      </c>
      <c r="K77" s="6" t="s">
        <v>169</v>
      </c>
      <c r="L77" s="11"/>
      <c r="M77" s="11"/>
      <c r="N77" s="11"/>
      <c r="O77" s="11"/>
      <c r="P77" s="11"/>
      <c r="Q77" s="11"/>
      <c r="R77" s="11"/>
      <c r="S77" s="11"/>
      <c r="T77" s="11"/>
      <c r="U77" s="11">
        <v>22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>
        <v>93</v>
      </c>
      <c r="AI77" s="11"/>
      <c r="AJ77" s="11">
        <v>93</v>
      </c>
      <c r="AK77" s="11"/>
      <c r="AL77" s="11">
        <v>22</v>
      </c>
      <c r="AM77" s="11"/>
      <c r="AN77" s="11"/>
      <c r="AO77" s="11"/>
      <c r="AP77" s="11"/>
      <c r="AQ77" s="11"/>
      <c r="AR77" s="11"/>
      <c r="AS77" s="11"/>
      <c r="AT77" s="10"/>
      <c r="AU77" s="11"/>
      <c r="AV77" s="10"/>
      <c r="AW77" s="10"/>
      <c r="AX77" s="10"/>
      <c r="AY77" s="10"/>
      <c r="AZ77" s="11"/>
      <c r="BA77" s="11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</row>
    <row r="78" spans="1:99">
      <c r="A78" s="5"/>
      <c r="B78" s="5"/>
      <c r="C78" s="5" t="s">
        <v>219</v>
      </c>
      <c r="D78" s="5" t="s">
        <v>220</v>
      </c>
      <c r="E78" s="23" t="s">
        <v>172</v>
      </c>
      <c r="F78" s="5">
        <f t="shared" ref="F78:F80" si="6">L78+M78+N78+O78+P78+Q78+R78+S78+T78+U78+V78+W78+X78+Y78+Z78+AA78+AB78+AC78+AD78+AE78+AF78+AG78+AH78+AI78+AJ78+AK78+AL78+AM78+AN78+AO78+AP78+AQ78+AR78+AS78+AT78+AU78+AV78+AW78+AX78+AY78+AZ78</f>
        <v>609</v>
      </c>
      <c r="G78" s="5">
        <v>8613.35</v>
      </c>
      <c r="H78" s="5">
        <f t="shared" si="5"/>
        <v>5245530.15</v>
      </c>
      <c r="I78" s="6"/>
      <c r="J78" s="6"/>
      <c r="K78" s="6"/>
      <c r="L78" s="11"/>
      <c r="M78" s="11"/>
      <c r="N78" s="11"/>
      <c r="O78" s="11"/>
      <c r="P78" s="11"/>
      <c r="Q78" s="11"/>
      <c r="R78" s="11"/>
      <c r="S78" s="11"/>
      <c r="T78" s="11"/>
      <c r="U78" s="11">
        <v>100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>
        <v>315</v>
      </c>
      <c r="AI78" s="11"/>
      <c r="AJ78" s="11">
        <v>119</v>
      </c>
      <c r="AK78" s="11"/>
      <c r="AL78" s="11">
        <v>75</v>
      </c>
      <c r="AM78" s="11"/>
      <c r="AN78" s="11"/>
      <c r="AO78" s="11"/>
      <c r="AP78" s="11"/>
      <c r="AQ78" s="11"/>
      <c r="AR78" s="11"/>
      <c r="AS78" s="11"/>
      <c r="AT78" s="10"/>
      <c r="AU78" s="11"/>
      <c r="AV78" s="10"/>
      <c r="AW78" s="10"/>
      <c r="AX78" s="10"/>
      <c r="AY78" s="10"/>
      <c r="AZ78" s="11"/>
      <c r="BA78" s="11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</row>
    <row r="79" ht="28" spans="1:99">
      <c r="A79" s="5"/>
      <c r="B79" s="5"/>
      <c r="C79" s="5" t="s">
        <v>221</v>
      </c>
      <c r="D79" s="5" t="s">
        <v>203</v>
      </c>
      <c r="E79" s="23" t="s">
        <v>55</v>
      </c>
      <c r="F79" s="5">
        <f t="shared" si="6"/>
        <v>120</v>
      </c>
      <c r="G79" s="5">
        <v>360</v>
      </c>
      <c r="H79" s="5">
        <f t="shared" si="5"/>
        <v>43200</v>
      </c>
      <c r="I79" s="6" t="s">
        <v>204</v>
      </c>
      <c r="J79" s="6" t="s">
        <v>99</v>
      </c>
      <c r="K79" s="6" t="s">
        <v>205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>
        <v>70</v>
      </c>
      <c r="AI79" s="11"/>
      <c r="AJ79" s="24">
        <v>50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0"/>
      <c r="AU79" s="11"/>
      <c r="AV79" s="10"/>
      <c r="AW79" s="10"/>
      <c r="AX79" s="10"/>
      <c r="AY79" s="10"/>
      <c r="AZ79" s="11"/>
      <c r="BA79" s="11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</row>
    <row r="80" ht="31" spans="1:99">
      <c r="A80" s="5"/>
      <c r="B80" s="5"/>
      <c r="C80" s="5" t="s">
        <v>222</v>
      </c>
      <c r="D80" s="5" t="s">
        <v>223</v>
      </c>
      <c r="E80" s="5" t="s">
        <v>193</v>
      </c>
      <c r="F80" s="5">
        <f t="shared" si="6"/>
        <v>1620</v>
      </c>
      <c r="G80" s="5">
        <v>132.44</v>
      </c>
      <c r="H80" s="5">
        <f t="shared" si="5"/>
        <v>214552.8</v>
      </c>
      <c r="I80" s="22" t="s">
        <v>224</v>
      </c>
      <c r="J80" s="22" t="s">
        <v>225</v>
      </c>
      <c r="K80" s="22" t="s">
        <v>226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>
        <v>1142</v>
      </c>
      <c r="AI80" s="11"/>
      <c r="AJ80" s="11">
        <v>478</v>
      </c>
      <c r="AK80" s="11"/>
      <c r="AL80" s="11"/>
      <c r="AM80" s="11"/>
      <c r="AN80" s="11"/>
      <c r="AO80" s="11"/>
      <c r="AP80" s="11"/>
      <c r="AQ80" s="11"/>
      <c r="AR80" s="11"/>
      <c r="AS80" s="11"/>
      <c r="AT80" s="10"/>
      <c r="AU80" s="11"/>
      <c r="AV80" s="10"/>
      <c r="AW80" s="10"/>
      <c r="AX80" s="10"/>
      <c r="AY80" s="10"/>
      <c r="AZ80" s="11"/>
      <c r="BA80" s="11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</row>
    <row r="81" ht="46" spans="1:99">
      <c r="A81" s="5"/>
      <c r="B81" s="5"/>
      <c r="C81" s="5"/>
      <c r="D81" s="5" t="s">
        <v>227</v>
      </c>
      <c r="E81" s="5" t="s">
        <v>166</v>
      </c>
      <c r="F81" s="5">
        <f>(L81+M81+N81+O81+P81+Q81+R81+S81+T81+U81+V81+W81+X81+Y81+Z81+AA81+AB81+AC81+AD81+AE81+AF81+AG81+AH81+AI81+AJ81+AK81+AL81+AM81+AN81+AO81+AP81+AQ81+AR81+AS81+AT81+AU81+AV81+AW81+AX81+AY81+AZ81)/1000</f>
        <v>15.975</v>
      </c>
      <c r="G81" s="5">
        <v>1568.7</v>
      </c>
      <c r="H81" s="5">
        <f t="shared" si="5"/>
        <v>25059.9825</v>
      </c>
      <c r="I81" s="6" t="s">
        <v>228</v>
      </c>
      <c r="J81" s="6" t="s">
        <v>199</v>
      </c>
      <c r="K81" s="6" t="s">
        <v>229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>
        <v>11264</v>
      </c>
      <c r="AI81" s="11"/>
      <c r="AJ81" s="25">
        <v>4711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0"/>
      <c r="AU81" s="11"/>
      <c r="AV81" s="10"/>
      <c r="AW81" s="10"/>
      <c r="AX81" s="10"/>
      <c r="AY81" s="10"/>
      <c r="AZ81" s="11"/>
      <c r="BA81" s="11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</row>
    <row r="82" ht="28" spans="1:99">
      <c r="A82" s="5"/>
      <c r="B82" s="5"/>
      <c r="C82" s="5"/>
      <c r="D82" s="5" t="s">
        <v>230</v>
      </c>
      <c r="E82" s="23" t="s">
        <v>55</v>
      </c>
      <c r="F82" s="5">
        <f t="shared" ref="F82:F85" si="7">L82+M82+N82+O82+P82+Q82+R82+S82+T82+U82+V82+W82+X82+Y82+Z82+AA82+AB82+AC82+AD82+AE82+AF82+AG82+AH82+AI82+AJ82+AK82+AL82+AM82+AN82+AO82+AP82+AQ82+AR82+AS82+AT82+AU82+AV82+AW82+AX82+AY82+AZ82</f>
        <v>180</v>
      </c>
      <c r="G82" s="5">
        <v>360</v>
      </c>
      <c r="H82" s="5">
        <f t="shared" si="5"/>
        <v>64800</v>
      </c>
      <c r="I82" s="6" t="s">
        <v>178</v>
      </c>
      <c r="J82" s="6" t="s">
        <v>99</v>
      </c>
      <c r="K82" s="6" t="s">
        <v>231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127</v>
      </c>
      <c r="AI82" s="11"/>
      <c r="AJ82" s="11">
        <v>53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0"/>
      <c r="AU82" s="11"/>
      <c r="AV82" s="10"/>
      <c r="AW82" s="10"/>
      <c r="AX82" s="10"/>
      <c r="AY82" s="10"/>
      <c r="AZ82" s="11"/>
      <c r="BA82" s="11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</row>
    <row r="83" ht="28" spans="1:99">
      <c r="A83" s="5"/>
      <c r="B83" s="5"/>
      <c r="C83" s="5" t="s">
        <v>232</v>
      </c>
      <c r="D83" s="5" t="s">
        <v>233</v>
      </c>
      <c r="E83" s="5" t="s">
        <v>166</v>
      </c>
      <c r="F83" s="5">
        <f>(L83+M83+N83+O83+P83+Q83+R83+S83+T83+U83+V83+W83+X83+Y83+Z83+AA83+AB83+AC83+AD83+AE83+AF83+AG83+AH83+AI83+AJ83+AK83+AL83+AM83+AN83+AO83+AP83+AQ83+AR83+AS83+AT83+AU83+AV83+AW83+AX83+AY83+AZ83)/1000</f>
        <v>1.678</v>
      </c>
      <c r="G83" s="5">
        <v>2657.31</v>
      </c>
      <c r="H83" s="5">
        <f t="shared" si="5"/>
        <v>4458.96618</v>
      </c>
      <c r="I83" s="6" t="s">
        <v>228</v>
      </c>
      <c r="J83" s="6" t="s">
        <v>199</v>
      </c>
      <c r="K83" s="6" t="s">
        <v>229</v>
      </c>
      <c r="L83" s="11"/>
      <c r="M83" s="11"/>
      <c r="N83" s="11"/>
      <c r="O83" s="11"/>
      <c r="P83" s="11"/>
      <c r="Q83" s="11"/>
      <c r="R83" s="11"/>
      <c r="S83" s="11"/>
      <c r="T83" s="11"/>
      <c r="U83" s="11">
        <v>770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>
        <v>908</v>
      </c>
      <c r="AM83" s="11"/>
      <c r="AN83" s="11"/>
      <c r="AO83" s="11"/>
      <c r="AP83" s="11"/>
      <c r="AQ83" s="11"/>
      <c r="AR83" s="11"/>
      <c r="AS83" s="11"/>
      <c r="AT83" s="10"/>
      <c r="AU83" s="11"/>
      <c r="AV83" s="10"/>
      <c r="AW83" s="10"/>
      <c r="AX83" s="10"/>
      <c r="AY83" s="10"/>
      <c r="AZ83" s="11"/>
      <c r="BA83" s="11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</row>
    <row r="84" ht="41" spans="1:99">
      <c r="A84" s="5"/>
      <c r="B84" s="5"/>
      <c r="C84" s="5" t="s">
        <v>234</v>
      </c>
      <c r="D84" s="5" t="s">
        <v>235</v>
      </c>
      <c r="E84" s="5" t="s">
        <v>55</v>
      </c>
      <c r="F84" s="5">
        <f t="shared" si="7"/>
        <v>9</v>
      </c>
      <c r="G84" s="5">
        <v>310</v>
      </c>
      <c r="H84" s="5">
        <f t="shared" si="5"/>
        <v>2790</v>
      </c>
      <c r="I84" s="6" t="s">
        <v>98</v>
      </c>
      <c r="J84" s="6" t="s">
        <v>99</v>
      </c>
      <c r="K84" s="6" t="s">
        <v>100</v>
      </c>
      <c r="L84" s="11"/>
      <c r="M84" s="11"/>
      <c r="N84" s="11"/>
      <c r="O84" s="11"/>
      <c r="P84" s="11"/>
      <c r="Q84" s="11"/>
      <c r="R84" s="11"/>
      <c r="S84" s="11"/>
      <c r="T84" s="11"/>
      <c r="U84" s="11">
        <v>4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>
        <v>5</v>
      </c>
      <c r="AM84" s="11"/>
      <c r="AN84" s="11"/>
      <c r="AO84" s="11"/>
      <c r="AP84" s="11"/>
      <c r="AQ84" s="11"/>
      <c r="AR84" s="11"/>
      <c r="AS84" s="11"/>
      <c r="AT84" s="10"/>
      <c r="AU84" s="11"/>
      <c r="AV84" s="10"/>
      <c r="AW84" s="10"/>
      <c r="AX84" s="10"/>
      <c r="AY84" s="10"/>
      <c r="AZ84" s="11"/>
      <c r="BA84" s="11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</row>
    <row r="85" ht="31" spans="1:99">
      <c r="A85" s="5"/>
      <c r="B85" s="5"/>
      <c r="C85" s="5" t="s">
        <v>222</v>
      </c>
      <c r="D85" s="5" t="s">
        <v>223</v>
      </c>
      <c r="E85" s="5" t="s">
        <v>193</v>
      </c>
      <c r="F85" s="5">
        <f t="shared" si="7"/>
        <v>61</v>
      </c>
      <c r="G85" s="5">
        <v>132.44</v>
      </c>
      <c r="H85" s="5">
        <f t="shared" si="5"/>
        <v>8078.84</v>
      </c>
      <c r="I85" s="6" t="s">
        <v>224</v>
      </c>
      <c r="J85" s="6" t="s">
        <v>225</v>
      </c>
      <c r="K85" s="6" t="s">
        <v>226</v>
      </c>
      <c r="L85" s="11"/>
      <c r="M85" s="11"/>
      <c r="N85" s="11"/>
      <c r="O85" s="11"/>
      <c r="P85" s="11"/>
      <c r="Q85" s="11"/>
      <c r="R85" s="11"/>
      <c r="S85" s="11"/>
      <c r="T85" s="11"/>
      <c r="U85" s="11">
        <v>61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0"/>
      <c r="AU85" s="11"/>
      <c r="AV85" s="10"/>
      <c r="AW85" s="10"/>
      <c r="AX85" s="10"/>
      <c r="AY85" s="10"/>
      <c r="AZ85" s="11"/>
      <c r="BA85" s="11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</row>
    <row r="86" ht="28" spans="1:99">
      <c r="A86" s="5"/>
      <c r="B86" s="5"/>
      <c r="C86" s="5"/>
      <c r="D86" s="6" t="s">
        <v>236</v>
      </c>
      <c r="E86" s="6" t="s">
        <v>55</v>
      </c>
      <c r="F86" s="6">
        <v>0.4</v>
      </c>
      <c r="G86" s="6">
        <v>471.61</v>
      </c>
      <c r="H86" s="5">
        <f t="shared" si="5"/>
        <v>188.644</v>
      </c>
      <c r="I86" s="6" t="s">
        <v>198</v>
      </c>
      <c r="J86" s="6" t="s">
        <v>199</v>
      </c>
      <c r="K86" s="6" t="s">
        <v>200</v>
      </c>
      <c r="L86" s="26"/>
      <c r="M86" s="26"/>
      <c r="N86" s="26"/>
      <c r="O86" s="26"/>
      <c r="P86" s="26"/>
      <c r="Q86" s="26"/>
      <c r="R86" s="26"/>
      <c r="S86" s="26"/>
      <c r="T86" s="26"/>
      <c r="U86" s="26">
        <v>0.4</v>
      </c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7"/>
      <c r="AU86" s="26"/>
      <c r="AV86" s="27"/>
      <c r="AW86" s="27"/>
      <c r="AX86" s="27"/>
      <c r="AY86" s="27"/>
      <c r="AZ86" s="26"/>
      <c r="BA86" s="26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</row>
    <row r="87" ht="46" spans="1:99">
      <c r="A87" s="5"/>
      <c r="B87" s="5"/>
      <c r="C87" s="5"/>
      <c r="D87" s="5" t="s">
        <v>227</v>
      </c>
      <c r="E87" s="5" t="s">
        <v>166</v>
      </c>
      <c r="F87" s="5">
        <f>(L87+M87+N87+O87+P87+Q87+R87+S87+T87+U87+V87+W87+X87+Y87+Z87+AA87+AB87+AC87+AD87+AE87+AF87+AG87+AH87+AI87+AJ87+AK87+AL87+AM87+AN87+AO87+AP87+AQ87+AR87+AS87+AT87+AU87+AV87+AW87+AX87+AY87+AZ87)/1000</f>
        <v>0.599</v>
      </c>
      <c r="G87" s="5">
        <v>1568.7</v>
      </c>
      <c r="H87" s="5">
        <f t="shared" si="5"/>
        <v>939.6513</v>
      </c>
      <c r="I87" s="6" t="s">
        <v>228</v>
      </c>
      <c r="J87" s="6" t="s">
        <v>199</v>
      </c>
      <c r="K87" s="6" t="s">
        <v>229</v>
      </c>
      <c r="L87" s="11"/>
      <c r="M87" s="11"/>
      <c r="N87" s="11"/>
      <c r="O87" s="11"/>
      <c r="P87" s="11"/>
      <c r="Q87" s="11"/>
      <c r="R87" s="11"/>
      <c r="S87" s="11"/>
      <c r="T87" s="11"/>
      <c r="U87" s="11">
        <v>599</v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0"/>
      <c r="AU87" s="11"/>
      <c r="AV87" s="10"/>
      <c r="AW87" s="10"/>
      <c r="AX87" s="10"/>
      <c r="AY87" s="10"/>
      <c r="AZ87" s="11"/>
      <c r="BA87" s="11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</row>
    <row r="88" ht="28" spans="1:99">
      <c r="A88" s="5"/>
      <c r="B88" s="5"/>
      <c r="C88" s="5"/>
      <c r="D88" s="5" t="s">
        <v>230</v>
      </c>
      <c r="E88" s="5" t="s">
        <v>55</v>
      </c>
      <c r="F88" s="5">
        <f t="shared" ref="F88:F96" si="8">L88+M88+N88+O88+P88+Q88+R88+S88+T88+U88+V88+W88+X88+Y88+Z88+AA88+AB88+AC88+AD88+AE88+AF88+AG88+AH88+AI88+AJ88+AK88+AL88+AM88+AN88+AO88+AP88+AQ88+AR88+AS88+AT88+AU88+AV88+AW88+AX88+AY88+AZ88</f>
        <v>7</v>
      </c>
      <c r="G88" s="5">
        <v>360</v>
      </c>
      <c r="H88" s="5">
        <f t="shared" si="5"/>
        <v>2520</v>
      </c>
      <c r="I88" s="6" t="s">
        <v>178</v>
      </c>
      <c r="J88" s="6" t="s">
        <v>99</v>
      </c>
      <c r="K88" s="6" t="s">
        <v>231</v>
      </c>
      <c r="L88" s="11"/>
      <c r="M88" s="11"/>
      <c r="N88" s="11"/>
      <c r="O88" s="11"/>
      <c r="P88" s="11"/>
      <c r="Q88" s="11"/>
      <c r="R88" s="11"/>
      <c r="S88" s="11"/>
      <c r="T88" s="11"/>
      <c r="U88" s="11">
        <v>7</v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0"/>
      <c r="AU88" s="11"/>
      <c r="AV88" s="10"/>
      <c r="AW88" s="10"/>
      <c r="AX88" s="10"/>
      <c r="AY88" s="10"/>
      <c r="AZ88" s="11"/>
      <c r="BA88" s="11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</row>
    <row r="89" ht="31" spans="1:99">
      <c r="A89" s="5"/>
      <c r="B89" s="5"/>
      <c r="C89" s="5" t="s">
        <v>237</v>
      </c>
      <c r="D89" s="5" t="s">
        <v>238</v>
      </c>
      <c r="E89" s="5" t="s">
        <v>166</v>
      </c>
      <c r="F89" s="5">
        <f>(L89+M89+N89+O89+P89+Q89+R89+S89+T89+U89+V89+W89+X89+Y89+Z89+AA89+AB89+AC89+AD89+AE89+AF89+AG89+AH89+AI89+AJ89+AK89+AL89+AM89+AN89+AO89+AP89+AQ89+AR89+AS89+AT89+AU89+AV89+AW89+AX89+AY89+AZ89)/1000</f>
        <v>31.962</v>
      </c>
      <c r="G89" s="5">
        <v>215.53</v>
      </c>
      <c r="H89" s="5">
        <f t="shared" si="5"/>
        <v>6888.76986</v>
      </c>
      <c r="I89" s="6" t="s">
        <v>239</v>
      </c>
      <c r="J89" s="6" t="s">
        <v>240</v>
      </c>
      <c r="K89" s="6" t="s">
        <v>241</v>
      </c>
      <c r="L89" s="11"/>
      <c r="M89" s="11"/>
      <c r="N89" s="11"/>
      <c r="O89" s="11"/>
      <c r="P89" s="11"/>
      <c r="Q89" s="11"/>
      <c r="R89" s="11"/>
      <c r="S89" s="11"/>
      <c r="T89" s="11"/>
      <c r="U89" s="11">
        <v>31962</v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0"/>
      <c r="AU89" s="11"/>
      <c r="AV89" s="10"/>
      <c r="AW89" s="10"/>
      <c r="AX89" s="10"/>
      <c r="AY89" s="10"/>
      <c r="AZ89" s="11"/>
      <c r="BA89" s="11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</row>
    <row r="90" ht="28" spans="1:99">
      <c r="A90" s="5"/>
      <c r="B90" s="5"/>
      <c r="C90" s="5" t="s">
        <v>242</v>
      </c>
      <c r="D90" s="5" t="s">
        <v>243</v>
      </c>
      <c r="E90" s="5" t="s">
        <v>55</v>
      </c>
      <c r="F90" s="5">
        <f t="shared" si="8"/>
        <v>455</v>
      </c>
      <c r="G90" s="5">
        <v>181.93</v>
      </c>
      <c r="H90" s="5">
        <f t="shared" si="5"/>
        <v>82778.15</v>
      </c>
      <c r="I90" s="6" t="s">
        <v>75</v>
      </c>
      <c r="J90" s="6" t="s">
        <v>145</v>
      </c>
      <c r="K90" s="6" t="s">
        <v>146</v>
      </c>
      <c r="L90" s="11"/>
      <c r="M90" s="11"/>
      <c r="N90" s="11"/>
      <c r="O90" s="11"/>
      <c r="P90" s="11"/>
      <c r="Q90" s="11"/>
      <c r="R90" s="11"/>
      <c r="S90" s="11"/>
      <c r="T90" s="11"/>
      <c r="U90" s="11">
        <v>138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>
        <v>317</v>
      </c>
      <c r="AM90" s="11"/>
      <c r="AN90" s="11"/>
      <c r="AO90" s="11"/>
      <c r="AP90" s="11"/>
      <c r="AQ90" s="11"/>
      <c r="AR90" s="11"/>
      <c r="AS90" s="11"/>
      <c r="AT90" s="10"/>
      <c r="AU90" s="11"/>
      <c r="AV90" s="10"/>
      <c r="AW90" s="10"/>
      <c r="AX90" s="10"/>
      <c r="AY90" s="10"/>
      <c r="AZ90" s="11"/>
      <c r="BA90" s="11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</row>
    <row r="91" ht="41" spans="1:99">
      <c r="A91" s="5"/>
      <c r="B91" s="5" t="s">
        <v>244</v>
      </c>
      <c r="C91" s="5" t="s">
        <v>157</v>
      </c>
      <c r="D91" s="5" t="s">
        <v>157</v>
      </c>
      <c r="E91" s="5" t="s">
        <v>55</v>
      </c>
      <c r="F91" s="5">
        <f t="shared" si="8"/>
        <v>1005</v>
      </c>
      <c r="G91" s="5">
        <v>3.27</v>
      </c>
      <c r="H91" s="5">
        <f t="shared" si="5"/>
        <v>3286.35</v>
      </c>
      <c r="I91" s="6" t="s">
        <v>75</v>
      </c>
      <c r="J91" s="6" t="s">
        <v>76</v>
      </c>
      <c r="K91" s="6" t="s">
        <v>77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>
        <v>448</v>
      </c>
      <c r="AK91" s="11"/>
      <c r="AL91" s="11">
        <v>557</v>
      </c>
      <c r="AM91" s="11"/>
      <c r="AN91" s="11"/>
      <c r="AO91" s="11"/>
      <c r="AP91" s="11"/>
      <c r="AQ91" s="11"/>
      <c r="AR91" s="11"/>
      <c r="AS91" s="11"/>
      <c r="AT91" s="10"/>
      <c r="AU91" s="11"/>
      <c r="AV91" s="10"/>
      <c r="AW91" s="10"/>
      <c r="AX91" s="10"/>
      <c r="AY91" s="10"/>
      <c r="AZ91" s="11"/>
      <c r="BA91" s="11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</row>
    <row r="92" ht="28" spans="1:99">
      <c r="A92" s="5"/>
      <c r="B92" s="5"/>
      <c r="C92" s="5"/>
      <c r="D92" s="5" t="s">
        <v>245</v>
      </c>
      <c r="E92" s="5" t="s">
        <v>55</v>
      </c>
      <c r="F92" s="5">
        <f t="shared" si="8"/>
        <v>3871</v>
      </c>
      <c r="G92" s="5">
        <v>7.29</v>
      </c>
      <c r="H92" s="5">
        <f t="shared" si="5"/>
        <v>28219.59</v>
      </c>
      <c r="I92" s="6" t="s">
        <v>75</v>
      </c>
      <c r="J92" s="6" t="s">
        <v>82</v>
      </c>
      <c r="K92" s="6" t="s">
        <v>76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>
        <v>3328</v>
      </c>
      <c r="AK92" s="11"/>
      <c r="AL92" s="28">
        <v>543</v>
      </c>
      <c r="AM92" s="11"/>
      <c r="AN92" s="11"/>
      <c r="AO92" s="11"/>
      <c r="AP92" s="11"/>
      <c r="AQ92" s="11"/>
      <c r="AR92" s="11"/>
      <c r="AS92" s="11"/>
      <c r="AT92" s="10"/>
      <c r="AU92" s="11"/>
      <c r="AV92" s="10"/>
      <c r="AW92" s="10"/>
      <c r="AX92" s="10"/>
      <c r="AY92" s="10"/>
      <c r="AZ92" s="11"/>
      <c r="BA92" s="11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</row>
    <row r="93" ht="28" spans="1:99">
      <c r="A93" s="5"/>
      <c r="B93" s="5"/>
      <c r="C93" s="5"/>
      <c r="D93" s="5" t="s">
        <v>246</v>
      </c>
      <c r="E93" s="5" t="s">
        <v>55</v>
      </c>
      <c r="F93" s="5">
        <f t="shared" si="8"/>
        <v>1268</v>
      </c>
      <c r="G93" s="5">
        <v>15.39</v>
      </c>
      <c r="H93" s="5">
        <f t="shared" si="5"/>
        <v>19514.52</v>
      </c>
      <c r="I93" s="6" t="s">
        <v>75</v>
      </c>
      <c r="J93" s="6" t="s">
        <v>82</v>
      </c>
      <c r="K93" s="6" t="s">
        <v>76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>
        <v>1268</v>
      </c>
      <c r="AM93" s="11"/>
      <c r="AN93" s="11"/>
      <c r="AO93" s="11"/>
      <c r="AP93" s="11"/>
      <c r="AQ93" s="11"/>
      <c r="AR93" s="11"/>
      <c r="AS93" s="11"/>
      <c r="AT93" s="10"/>
      <c r="AU93" s="11"/>
      <c r="AV93" s="10"/>
      <c r="AW93" s="10"/>
      <c r="AX93" s="10"/>
      <c r="AY93" s="10"/>
      <c r="AZ93" s="11"/>
      <c r="BA93" s="11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</row>
    <row r="94" spans="1:99">
      <c r="A94" s="5"/>
      <c r="B94" s="5"/>
      <c r="C94" s="6" t="s">
        <v>247</v>
      </c>
      <c r="D94" s="5" t="s">
        <v>248</v>
      </c>
      <c r="E94" s="5" t="s">
        <v>55</v>
      </c>
      <c r="F94" s="5">
        <f t="shared" si="8"/>
        <v>855</v>
      </c>
      <c r="G94" s="5">
        <v>106.47</v>
      </c>
      <c r="H94" s="5">
        <f t="shared" si="5"/>
        <v>91031.85</v>
      </c>
      <c r="I94" s="6" t="s">
        <v>249</v>
      </c>
      <c r="J94" s="6" t="s">
        <v>250</v>
      </c>
      <c r="K94" s="6" t="s">
        <v>251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>
        <v>640</v>
      </c>
      <c r="AK94" s="11"/>
      <c r="AL94" s="11">
        <v>215</v>
      </c>
      <c r="AM94" s="11"/>
      <c r="AN94" s="11"/>
      <c r="AO94" s="11"/>
      <c r="AP94" s="11"/>
      <c r="AQ94" s="11"/>
      <c r="AR94" s="11"/>
      <c r="AS94" s="11"/>
      <c r="AT94" s="10"/>
      <c r="AU94" s="11"/>
      <c r="AV94" s="10"/>
      <c r="AW94" s="10"/>
      <c r="AX94" s="10"/>
      <c r="AY94" s="10"/>
      <c r="AZ94" s="11"/>
      <c r="BA94" s="11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</row>
    <row r="95" ht="31" spans="1:99">
      <c r="A95" s="5"/>
      <c r="B95" s="5"/>
      <c r="C95" s="6" t="s">
        <v>252</v>
      </c>
      <c r="D95" s="5" t="s">
        <v>253</v>
      </c>
      <c r="E95" s="5" t="s">
        <v>55</v>
      </c>
      <c r="F95" s="5">
        <f t="shared" si="8"/>
        <v>3010</v>
      </c>
      <c r="G95" s="5">
        <v>360</v>
      </c>
      <c r="H95" s="5">
        <f t="shared" si="5"/>
        <v>1083600</v>
      </c>
      <c r="I95" s="6" t="s">
        <v>254</v>
      </c>
      <c r="J95" s="6" t="s">
        <v>255</v>
      </c>
      <c r="K95" s="6" t="s">
        <v>256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>
        <v>1963</v>
      </c>
      <c r="AK95" s="11"/>
      <c r="AL95" s="11">
        <v>1047</v>
      </c>
      <c r="AM95" s="11"/>
      <c r="AN95" s="11"/>
      <c r="AO95" s="11"/>
      <c r="AP95" s="11"/>
      <c r="AQ95" s="11"/>
      <c r="AR95" s="11"/>
      <c r="AS95" s="11"/>
      <c r="AT95" s="10"/>
      <c r="AU95" s="11"/>
      <c r="AV95" s="10"/>
      <c r="AW95" s="10"/>
      <c r="AX95" s="10"/>
      <c r="AY95" s="10"/>
      <c r="AZ95" s="11"/>
      <c r="BA95" s="11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</row>
    <row r="96" ht="31" spans="1:99">
      <c r="A96" s="5"/>
      <c r="B96" s="5"/>
      <c r="C96" s="6"/>
      <c r="D96" s="5" t="s">
        <v>257</v>
      </c>
      <c r="E96" s="5" t="s">
        <v>55</v>
      </c>
      <c r="F96" s="5">
        <f t="shared" si="8"/>
        <v>487</v>
      </c>
      <c r="G96" s="5">
        <v>360</v>
      </c>
      <c r="H96" s="5">
        <f t="shared" si="5"/>
        <v>175320</v>
      </c>
      <c r="I96" s="6" t="s">
        <v>254</v>
      </c>
      <c r="J96" s="6" t="s">
        <v>255</v>
      </c>
      <c r="K96" s="6" t="s">
        <v>258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>
        <v>173</v>
      </c>
      <c r="AK96" s="11"/>
      <c r="AL96" s="28">
        <v>314</v>
      </c>
      <c r="AM96" s="11"/>
      <c r="AN96" s="11"/>
      <c r="AO96" s="11"/>
      <c r="AP96" s="11"/>
      <c r="AQ96" s="11"/>
      <c r="AR96" s="11"/>
      <c r="AS96" s="11"/>
      <c r="AT96" s="10"/>
      <c r="AU96" s="11"/>
      <c r="AV96" s="10"/>
      <c r="AW96" s="10"/>
      <c r="AX96" s="10"/>
      <c r="AY96" s="10"/>
      <c r="AZ96" s="11"/>
      <c r="BA96" s="11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</row>
    <row r="97" ht="28" spans="1:99">
      <c r="A97" s="5"/>
      <c r="B97" s="5"/>
      <c r="C97" s="6"/>
      <c r="D97" s="5" t="s">
        <v>180</v>
      </c>
      <c r="E97" s="5" t="s">
        <v>166</v>
      </c>
      <c r="F97" s="5">
        <f t="shared" ref="F97:F101" si="9">(L97+M97+N97+O97+P97+Q97+R97+S97+T97+U97+V97+W97+X97+Y97+Z97+AA97+AB97+AC97+AD97+AE97+AF97+AG97+AH97+AI97+AJ97+AK97+AL97+AM97+AN97+AO97+AP97+AQ97+AR97+AS97+AT97+AU97+AV97+AW97+AX97+AY97+AZ97)/1000</f>
        <v>96.69</v>
      </c>
      <c r="G97" s="5">
        <v>1319.94</v>
      </c>
      <c r="H97" s="5">
        <f t="shared" si="5"/>
        <v>127624.9986</v>
      </c>
      <c r="I97" s="6" t="s">
        <v>167</v>
      </c>
      <c r="J97" s="6" t="s">
        <v>168</v>
      </c>
      <c r="K97" s="6" t="s">
        <v>169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>
        <v>59172</v>
      </c>
      <c r="AK97" s="11"/>
      <c r="AL97" s="11">
        <v>37518</v>
      </c>
      <c r="AM97" s="11"/>
      <c r="AN97" s="11"/>
      <c r="AO97" s="11"/>
      <c r="AP97" s="11"/>
      <c r="AQ97" s="11"/>
      <c r="AR97" s="11"/>
      <c r="AS97" s="11"/>
      <c r="AT97" s="10"/>
      <c r="AU97" s="11"/>
      <c r="AV97" s="10"/>
      <c r="AW97" s="10"/>
      <c r="AX97" s="10"/>
      <c r="AY97" s="10"/>
      <c r="AZ97" s="11"/>
      <c r="BA97" s="11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</row>
    <row r="98" ht="28" spans="1:99">
      <c r="A98" s="5"/>
      <c r="B98" s="5"/>
      <c r="C98" s="6"/>
      <c r="D98" s="5" t="s">
        <v>181</v>
      </c>
      <c r="E98" s="5" t="s">
        <v>166</v>
      </c>
      <c r="F98" s="5">
        <f t="shared" si="9"/>
        <v>262.415</v>
      </c>
      <c r="G98" s="5">
        <v>1440.57</v>
      </c>
      <c r="H98" s="5">
        <f t="shared" si="5"/>
        <v>378027.17655</v>
      </c>
      <c r="I98" s="6" t="s">
        <v>167</v>
      </c>
      <c r="J98" s="6" t="s">
        <v>168</v>
      </c>
      <c r="K98" s="6" t="s">
        <v>169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>
        <v>149163</v>
      </c>
      <c r="AK98" s="11"/>
      <c r="AL98" s="11">
        <v>113252</v>
      </c>
      <c r="AM98" s="11"/>
      <c r="AN98" s="11"/>
      <c r="AO98" s="11"/>
      <c r="AP98" s="11"/>
      <c r="AQ98" s="11"/>
      <c r="AR98" s="11"/>
      <c r="AS98" s="11"/>
      <c r="AT98" s="10"/>
      <c r="AU98" s="11"/>
      <c r="AV98" s="10"/>
      <c r="AW98" s="10"/>
      <c r="AX98" s="10"/>
      <c r="AY98" s="10"/>
      <c r="AZ98" s="11"/>
      <c r="BA98" s="11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</row>
    <row r="99" ht="28" spans="1:99">
      <c r="A99" s="5"/>
      <c r="B99" s="5"/>
      <c r="C99" s="5" t="s">
        <v>259</v>
      </c>
      <c r="D99" s="5" t="s">
        <v>260</v>
      </c>
      <c r="E99" s="5" t="s">
        <v>55</v>
      </c>
      <c r="F99" s="5">
        <f t="shared" ref="F99:F122" si="10">L99+M99+N99+O99+P99+Q99+R99+S99+T99+U99+V99+W99+X99+Y99+Z99+AA99+AB99+AC99+AD99+AE99+AF99+AG99+AH99+AI99+AJ99+AK99+AL99+AM99+AN99+AO99+AP99+AQ99+AR99+AS99+AT99+AU99+AV99+AW99+AX99+AY99+AZ99</f>
        <v>494</v>
      </c>
      <c r="G99" s="5">
        <v>360</v>
      </c>
      <c r="H99" s="5">
        <f t="shared" si="5"/>
        <v>177840</v>
      </c>
      <c r="I99" s="6" t="s">
        <v>254</v>
      </c>
      <c r="J99" s="6" t="s">
        <v>261</v>
      </c>
      <c r="K99" s="6" t="s">
        <v>262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>
        <v>377</v>
      </c>
      <c r="AK99" s="11"/>
      <c r="AL99" s="29">
        <v>117</v>
      </c>
      <c r="AM99" s="11"/>
      <c r="AN99" s="11"/>
      <c r="AO99" s="11"/>
      <c r="AP99" s="11"/>
      <c r="AQ99" s="11"/>
      <c r="AR99" s="11"/>
      <c r="AS99" s="11"/>
      <c r="AT99" s="10"/>
      <c r="AU99" s="11"/>
      <c r="AV99" s="10"/>
      <c r="AW99" s="10"/>
      <c r="AX99" s="10"/>
      <c r="AY99" s="10"/>
      <c r="AZ99" s="11"/>
      <c r="BA99" s="11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</row>
    <row r="100" ht="28" spans="1:99">
      <c r="A100" s="5"/>
      <c r="B100" s="5"/>
      <c r="C100" s="5"/>
      <c r="D100" s="5" t="s">
        <v>180</v>
      </c>
      <c r="E100" s="5" t="s">
        <v>166</v>
      </c>
      <c r="F100" s="5">
        <f t="shared" si="9"/>
        <v>47.431</v>
      </c>
      <c r="G100" s="30">
        <v>1319.94</v>
      </c>
      <c r="H100" s="5">
        <f t="shared" ref="H100:H131" si="11">F100*G100</f>
        <v>62606.07414</v>
      </c>
      <c r="I100" s="6" t="s">
        <v>167</v>
      </c>
      <c r="J100" s="6" t="s">
        <v>168</v>
      </c>
      <c r="K100" s="6" t="s">
        <v>169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>
        <v>36290</v>
      </c>
      <c r="AK100" s="11"/>
      <c r="AL100" s="11">
        <v>11141</v>
      </c>
      <c r="AM100" s="11"/>
      <c r="AN100" s="11"/>
      <c r="AO100" s="11"/>
      <c r="AP100" s="11"/>
      <c r="AQ100" s="11"/>
      <c r="AR100" s="11"/>
      <c r="AS100" s="11"/>
      <c r="AT100" s="10"/>
      <c r="AU100" s="11"/>
      <c r="AV100" s="10"/>
      <c r="AW100" s="10"/>
      <c r="AX100" s="10"/>
      <c r="AY100" s="10"/>
      <c r="AZ100" s="11"/>
      <c r="BA100" s="11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</row>
    <row r="101" ht="28" spans="1:99">
      <c r="A101" s="5"/>
      <c r="B101" s="5"/>
      <c r="C101" s="5"/>
      <c r="D101" s="5" t="s">
        <v>181</v>
      </c>
      <c r="E101" s="5" t="s">
        <v>166</v>
      </c>
      <c r="F101" s="5">
        <f t="shared" si="9"/>
        <v>96.433</v>
      </c>
      <c r="G101" s="30">
        <v>1440.57</v>
      </c>
      <c r="H101" s="5">
        <f t="shared" si="11"/>
        <v>138918.48681</v>
      </c>
      <c r="I101" s="6" t="s">
        <v>167</v>
      </c>
      <c r="J101" s="6" t="s">
        <v>168</v>
      </c>
      <c r="K101" s="6" t="s">
        <v>169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>
        <v>73364</v>
      </c>
      <c r="AK101" s="11"/>
      <c r="AL101" s="11">
        <v>23069</v>
      </c>
      <c r="AM101" s="11"/>
      <c r="AN101" s="11"/>
      <c r="AO101" s="11"/>
      <c r="AP101" s="11"/>
      <c r="AQ101" s="11"/>
      <c r="AR101" s="11"/>
      <c r="AS101" s="11"/>
      <c r="AT101" s="10"/>
      <c r="AU101" s="11"/>
      <c r="AV101" s="10"/>
      <c r="AW101" s="10"/>
      <c r="AX101" s="10"/>
      <c r="AY101" s="10"/>
      <c r="AZ101" s="11"/>
      <c r="BA101" s="11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</row>
    <row r="102" ht="28" spans="1:99">
      <c r="A102" s="5"/>
      <c r="B102" s="5"/>
      <c r="C102" s="5" t="s">
        <v>143</v>
      </c>
      <c r="D102" s="5" t="s">
        <v>263</v>
      </c>
      <c r="E102" s="5" t="s">
        <v>55</v>
      </c>
      <c r="F102" s="5">
        <f t="shared" si="10"/>
        <v>437</v>
      </c>
      <c r="G102" s="30">
        <v>205.46</v>
      </c>
      <c r="H102" s="5">
        <f t="shared" si="11"/>
        <v>89786.02</v>
      </c>
      <c r="I102" s="6" t="s">
        <v>75</v>
      </c>
      <c r="J102" s="6" t="s">
        <v>145</v>
      </c>
      <c r="K102" s="6" t="s">
        <v>146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>
        <v>335</v>
      </c>
      <c r="AK102" s="11"/>
      <c r="AL102" s="11">
        <v>102</v>
      </c>
      <c r="AM102" s="11"/>
      <c r="AN102" s="11"/>
      <c r="AO102" s="11"/>
      <c r="AP102" s="11"/>
      <c r="AQ102" s="11"/>
      <c r="AR102" s="11"/>
      <c r="AS102" s="11"/>
      <c r="AT102" s="10"/>
      <c r="AU102" s="11"/>
      <c r="AV102" s="10"/>
      <c r="AW102" s="10"/>
      <c r="AX102" s="10"/>
      <c r="AY102" s="10"/>
      <c r="AZ102" s="11"/>
      <c r="BA102" s="11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</row>
    <row r="103" ht="31" spans="1:99">
      <c r="A103" s="5"/>
      <c r="B103" s="5"/>
      <c r="C103" s="5"/>
      <c r="D103" s="5" t="s">
        <v>264</v>
      </c>
      <c r="E103" s="5" t="s">
        <v>105</v>
      </c>
      <c r="F103" s="5">
        <f t="shared" si="10"/>
        <v>1456</v>
      </c>
      <c r="G103" s="30">
        <v>39.74</v>
      </c>
      <c r="H103" s="5">
        <f t="shared" si="11"/>
        <v>57861.44</v>
      </c>
      <c r="I103" s="6" t="s">
        <v>75</v>
      </c>
      <c r="J103" s="6" t="s">
        <v>107</v>
      </c>
      <c r="K103" s="6" t="s">
        <v>149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>
        <v>1116</v>
      </c>
      <c r="AK103" s="11"/>
      <c r="AL103" s="11">
        <v>340</v>
      </c>
      <c r="AM103" s="11"/>
      <c r="AN103" s="11"/>
      <c r="AO103" s="11"/>
      <c r="AP103" s="11"/>
      <c r="AQ103" s="11"/>
      <c r="AR103" s="11"/>
      <c r="AS103" s="11"/>
      <c r="AT103" s="10"/>
      <c r="AU103" s="11"/>
      <c r="AV103" s="10"/>
      <c r="AW103" s="10"/>
      <c r="AX103" s="10"/>
      <c r="AY103" s="10"/>
      <c r="AZ103" s="11"/>
      <c r="BA103" s="11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</row>
    <row r="104" ht="28" spans="1:99">
      <c r="A104" s="5"/>
      <c r="B104" s="5"/>
      <c r="C104" s="5" t="s">
        <v>214</v>
      </c>
      <c r="D104" s="5" t="s">
        <v>119</v>
      </c>
      <c r="E104" s="5" t="s">
        <v>55</v>
      </c>
      <c r="F104" s="5">
        <f t="shared" si="10"/>
        <v>33</v>
      </c>
      <c r="G104" s="30">
        <v>360</v>
      </c>
      <c r="H104" s="5">
        <f t="shared" si="11"/>
        <v>11880</v>
      </c>
      <c r="I104" s="6" t="s">
        <v>215</v>
      </c>
      <c r="J104" s="6" t="s">
        <v>216</v>
      </c>
      <c r="K104" s="6" t="s">
        <v>217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>
        <v>20</v>
      </c>
      <c r="AK104" s="11"/>
      <c r="AL104" s="11">
        <v>13</v>
      </c>
      <c r="AM104" s="11"/>
      <c r="AN104" s="11"/>
      <c r="AO104" s="11"/>
      <c r="AP104" s="11"/>
      <c r="AQ104" s="11"/>
      <c r="AR104" s="11"/>
      <c r="AS104" s="11"/>
      <c r="AT104" s="10"/>
      <c r="AU104" s="11"/>
      <c r="AV104" s="10"/>
      <c r="AW104" s="10"/>
      <c r="AX104" s="10"/>
      <c r="AY104" s="10"/>
      <c r="AZ104" s="11"/>
      <c r="BA104" s="11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</row>
    <row r="105" ht="28" spans="1:99">
      <c r="A105" s="5"/>
      <c r="B105" s="5"/>
      <c r="C105" s="5" t="s">
        <v>265</v>
      </c>
      <c r="D105" s="5" t="s">
        <v>119</v>
      </c>
      <c r="E105" s="5" t="s">
        <v>55</v>
      </c>
      <c r="F105" s="5">
        <f t="shared" si="10"/>
        <v>80</v>
      </c>
      <c r="G105" s="30">
        <v>360</v>
      </c>
      <c r="H105" s="5">
        <f t="shared" si="11"/>
        <v>28800</v>
      </c>
      <c r="I105" s="6" t="s">
        <v>215</v>
      </c>
      <c r="J105" s="6" t="s">
        <v>216</v>
      </c>
      <c r="K105" s="6" t="s">
        <v>217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>
        <v>49</v>
      </c>
      <c r="AK105" s="11"/>
      <c r="AL105" s="11">
        <v>31</v>
      </c>
      <c r="AM105" s="11"/>
      <c r="AN105" s="11"/>
      <c r="AO105" s="11"/>
      <c r="AP105" s="11"/>
      <c r="AQ105" s="11"/>
      <c r="AR105" s="11"/>
      <c r="AS105" s="11"/>
      <c r="AT105" s="10"/>
      <c r="AU105" s="11"/>
      <c r="AV105" s="10"/>
      <c r="AW105" s="10"/>
      <c r="AX105" s="10"/>
      <c r="AY105" s="10"/>
      <c r="AZ105" s="11"/>
      <c r="BA105" s="11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</row>
    <row r="106" spans="1:99">
      <c r="A106" s="5"/>
      <c r="B106" s="5"/>
      <c r="C106" s="5" t="s">
        <v>266</v>
      </c>
      <c r="D106" s="5"/>
      <c r="E106" s="5" t="s">
        <v>105</v>
      </c>
      <c r="F106" s="5">
        <f t="shared" si="10"/>
        <v>2797</v>
      </c>
      <c r="G106" s="30">
        <v>25</v>
      </c>
      <c r="H106" s="5">
        <f t="shared" si="11"/>
        <v>69925</v>
      </c>
      <c r="I106" s="6"/>
      <c r="J106" s="6"/>
      <c r="K106" s="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>
        <v>2066</v>
      </c>
      <c r="AK106" s="11"/>
      <c r="AL106" s="11">
        <v>731</v>
      </c>
      <c r="AM106" s="11"/>
      <c r="AN106" s="11"/>
      <c r="AO106" s="11"/>
      <c r="AP106" s="11"/>
      <c r="AQ106" s="11"/>
      <c r="AR106" s="11"/>
      <c r="AS106" s="11"/>
      <c r="AT106" s="10"/>
      <c r="AU106" s="11"/>
      <c r="AV106" s="10"/>
      <c r="AW106" s="10"/>
      <c r="AX106" s="10"/>
      <c r="AY106" s="10"/>
      <c r="AZ106" s="11"/>
      <c r="BA106" s="11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</row>
    <row r="107" ht="31" spans="1:99">
      <c r="A107" s="5"/>
      <c r="B107" s="5"/>
      <c r="C107" s="5" t="s">
        <v>267</v>
      </c>
      <c r="D107" s="5" t="s">
        <v>268</v>
      </c>
      <c r="E107" s="5" t="s">
        <v>269</v>
      </c>
      <c r="F107" s="5">
        <f t="shared" si="10"/>
        <v>324</v>
      </c>
      <c r="G107" s="30"/>
      <c r="H107" s="5">
        <f t="shared" si="11"/>
        <v>0</v>
      </c>
      <c r="I107" s="31" t="s">
        <v>98</v>
      </c>
      <c r="J107" s="31" t="s">
        <v>168</v>
      </c>
      <c r="K107" s="31" t="s">
        <v>270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>
        <v>198</v>
      </c>
      <c r="AK107" s="11"/>
      <c r="AL107" s="11">
        <v>126</v>
      </c>
      <c r="AM107" s="11"/>
      <c r="AN107" s="11"/>
      <c r="AO107" s="11"/>
      <c r="AP107" s="11"/>
      <c r="AQ107" s="11"/>
      <c r="AR107" s="11"/>
      <c r="AS107" s="11"/>
      <c r="AT107" s="10"/>
      <c r="AU107" s="11"/>
      <c r="AV107" s="10"/>
      <c r="AW107" s="10"/>
      <c r="AX107" s="10"/>
      <c r="AY107" s="10"/>
      <c r="AZ107" s="11"/>
      <c r="BA107" s="11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</row>
    <row r="108" ht="31" spans="1:99">
      <c r="A108" s="5"/>
      <c r="B108" s="5"/>
      <c r="C108" s="5"/>
      <c r="D108" s="5" t="s">
        <v>271</v>
      </c>
      <c r="E108" s="5" t="s">
        <v>166</v>
      </c>
      <c r="F108" s="5">
        <f t="shared" si="10"/>
        <v>14</v>
      </c>
      <c r="G108" s="30">
        <v>4215.63</v>
      </c>
      <c r="H108" s="5">
        <f t="shared" si="11"/>
        <v>59018.82</v>
      </c>
      <c r="I108" s="32"/>
      <c r="J108" s="32"/>
      <c r="K108" s="32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>
        <v>5</v>
      </c>
      <c r="AK108" s="11"/>
      <c r="AL108" s="11">
        <v>9</v>
      </c>
      <c r="AM108" s="11"/>
      <c r="AN108" s="11"/>
      <c r="AO108" s="11"/>
      <c r="AP108" s="11"/>
      <c r="AQ108" s="11"/>
      <c r="AR108" s="11"/>
      <c r="AS108" s="11"/>
      <c r="AT108" s="10"/>
      <c r="AU108" s="11"/>
      <c r="AV108" s="10"/>
      <c r="AW108" s="10"/>
      <c r="AX108" s="10"/>
      <c r="AY108" s="10"/>
      <c r="AZ108" s="11"/>
      <c r="BA108" s="11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</row>
    <row r="109" ht="28" spans="1:99">
      <c r="A109" s="5"/>
      <c r="B109" s="5"/>
      <c r="C109" s="5" t="s">
        <v>221</v>
      </c>
      <c r="D109" s="5" t="s">
        <v>206</v>
      </c>
      <c r="E109" s="5" t="s">
        <v>55</v>
      </c>
      <c r="F109" s="5">
        <f t="shared" si="10"/>
        <v>39</v>
      </c>
      <c r="G109" s="30">
        <v>360</v>
      </c>
      <c r="H109" s="5">
        <f t="shared" si="11"/>
        <v>14040</v>
      </c>
      <c r="I109" s="6" t="s">
        <v>178</v>
      </c>
      <c r="J109" s="6" t="s">
        <v>99</v>
      </c>
      <c r="K109" s="6" t="s">
        <v>231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>
        <v>39</v>
      </c>
      <c r="AM109" s="11"/>
      <c r="AN109" s="11"/>
      <c r="AO109" s="11"/>
      <c r="AP109" s="11"/>
      <c r="AQ109" s="11"/>
      <c r="AR109" s="11"/>
      <c r="AS109" s="11"/>
      <c r="AT109" s="10"/>
      <c r="AU109" s="11"/>
      <c r="AV109" s="10"/>
      <c r="AW109" s="10"/>
      <c r="AX109" s="10"/>
      <c r="AY109" s="10"/>
      <c r="AZ109" s="11"/>
      <c r="BA109" s="11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</row>
    <row r="110" ht="28" spans="1:99">
      <c r="A110" s="5"/>
      <c r="B110" s="5"/>
      <c r="C110" s="5"/>
      <c r="D110" s="5" t="s">
        <v>203</v>
      </c>
      <c r="E110" s="5" t="s">
        <v>55</v>
      </c>
      <c r="F110" s="5">
        <f t="shared" si="10"/>
        <v>45</v>
      </c>
      <c r="G110" s="30">
        <v>360</v>
      </c>
      <c r="H110" s="5">
        <f t="shared" si="11"/>
        <v>16200</v>
      </c>
      <c r="I110" s="6" t="s">
        <v>178</v>
      </c>
      <c r="J110" s="6" t="s">
        <v>99</v>
      </c>
      <c r="K110" s="6" t="s">
        <v>231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>
        <v>45</v>
      </c>
      <c r="AK110" s="11"/>
      <c r="AL110" s="11"/>
      <c r="AM110" s="11"/>
      <c r="AN110" s="11"/>
      <c r="AO110" s="11"/>
      <c r="AP110" s="11"/>
      <c r="AQ110" s="11"/>
      <c r="AR110" s="11"/>
      <c r="AS110" s="11"/>
      <c r="AT110" s="10"/>
      <c r="AU110" s="11"/>
      <c r="AV110" s="10"/>
      <c r="AW110" s="10"/>
      <c r="AX110" s="10"/>
      <c r="AY110" s="10"/>
      <c r="AZ110" s="11"/>
      <c r="BA110" s="11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</row>
    <row r="111" ht="55" spans="1:99">
      <c r="A111" s="5"/>
      <c r="B111" s="5" t="s">
        <v>272</v>
      </c>
      <c r="C111" s="5" t="s">
        <v>273</v>
      </c>
      <c r="D111" s="5" t="s">
        <v>272</v>
      </c>
      <c r="E111" s="18" t="s">
        <v>105</v>
      </c>
      <c r="F111" s="18">
        <f t="shared" si="10"/>
        <v>1482</v>
      </c>
      <c r="G111" s="18">
        <v>17.44</v>
      </c>
      <c r="H111" s="5">
        <f t="shared" si="11"/>
        <v>25846.08</v>
      </c>
      <c r="I111" s="19" t="s">
        <v>274</v>
      </c>
      <c r="J111" s="19" t="s">
        <v>275</v>
      </c>
      <c r="K111" s="19" t="s">
        <v>276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>
        <v>1482</v>
      </c>
      <c r="AM111" s="11"/>
      <c r="AN111" s="11"/>
      <c r="AO111" s="11"/>
      <c r="AP111" s="11"/>
      <c r="AQ111" s="11"/>
      <c r="AR111" s="11"/>
      <c r="AS111" s="11"/>
      <c r="AT111" s="10"/>
      <c r="AU111" s="11"/>
      <c r="AV111" s="10"/>
      <c r="AW111" s="10"/>
      <c r="AX111" s="10"/>
      <c r="AY111" s="10"/>
      <c r="AZ111" s="11"/>
      <c r="BA111" s="11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</row>
    <row r="112" ht="28" spans="1:99">
      <c r="A112" s="5"/>
      <c r="B112" s="5"/>
      <c r="C112" s="5"/>
      <c r="D112" s="5" t="s">
        <v>277</v>
      </c>
      <c r="E112" s="5" t="s">
        <v>55</v>
      </c>
      <c r="F112" s="5">
        <f t="shared" si="10"/>
        <v>184</v>
      </c>
      <c r="G112" s="5">
        <v>360</v>
      </c>
      <c r="H112" s="5">
        <f t="shared" si="11"/>
        <v>66240</v>
      </c>
      <c r="I112" s="6" t="s">
        <v>215</v>
      </c>
      <c r="J112" s="6" t="s">
        <v>216</v>
      </c>
      <c r="K112" s="6" t="s">
        <v>217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>
        <v>184</v>
      </c>
      <c r="AM112" s="11"/>
      <c r="AN112" s="11"/>
      <c r="AO112" s="11"/>
      <c r="AP112" s="11"/>
      <c r="AQ112" s="11"/>
      <c r="AR112" s="11"/>
      <c r="AS112" s="11"/>
      <c r="AT112" s="10"/>
      <c r="AU112" s="11"/>
      <c r="AV112" s="10"/>
      <c r="AW112" s="10"/>
      <c r="AX112" s="10"/>
      <c r="AY112" s="10"/>
      <c r="AZ112" s="11"/>
      <c r="BA112" s="11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</row>
    <row r="113" s="2" customFormat="1" ht="55" spans="1:99">
      <c r="A113" s="33"/>
      <c r="B113" s="18" t="s">
        <v>278</v>
      </c>
      <c r="C113" s="18" t="s">
        <v>273</v>
      </c>
      <c r="D113" s="18" t="s">
        <v>278</v>
      </c>
      <c r="E113" s="18" t="s">
        <v>105</v>
      </c>
      <c r="F113" s="18">
        <f t="shared" si="10"/>
        <v>26736</v>
      </c>
      <c r="G113" s="18">
        <v>17.44</v>
      </c>
      <c r="H113" s="5">
        <f t="shared" si="11"/>
        <v>466275.84</v>
      </c>
      <c r="I113" s="19" t="s">
        <v>274</v>
      </c>
      <c r="J113" s="19" t="s">
        <v>275</v>
      </c>
      <c r="K113" s="19" t="s">
        <v>276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>
        <v>26736</v>
      </c>
      <c r="AM113" s="34"/>
      <c r="AN113" s="34"/>
      <c r="AO113" s="34"/>
      <c r="AP113" s="34"/>
      <c r="AQ113" s="34"/>
      <c r="AR113" s="34"/>
      <c r="AS113" s="34"/>
      <c r="AT113" s="35"/>
      <c r="AU113" s="34"/>
      <c r="AV113" s="35"/>
      <c r="AW113" s="35"/>
      <c r="AX113" s="35"/>
      <c r="AY113" s="35"/>
      <c r="AZ113" s="34"/>
      <c r="BA113" s="34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</row>
    <row r="114" ht="41" spans="1:99">
      <c r="A114" s="5"/>
      <c r="B114" s="5" t="s">
        <v>279</v>
      </c>
      <c r="C114" s="5" t="s">
        <v>97</v>
      </c>
      <c r="D114" s="5"/>
      <c r="E114" s="5" t="s">
        <v>55</v>
      </c>
      <c r="F114" s="5">
        <f t="shared" si="10"/>
        <v>6094</v>
      </c>
      <c r="G114" s="5">
        <v>330</v>
      </c>
      <c r="H114" s="5">
        <f t="shared" si="11"/>
        <v>2011020</v>
      </c>
      <c r="I114" s="6" t="s">
        <v>98</v>
      </c>
      <c r="J114" s="6" t="s">
        <v>99</v>
      </c>
      <c r="K114" s="6" t="s">
        <v>100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>
        <v>2940</v>
      </c>
      <c r="AC114" s="11"/>
      <c r="AD114" s="11">
        <v>215</v>
      </c>
      <c r="AE114" s="11"/>
      <c r="AF114" s="11"/>
      <c r="AG114" s="11"/>
      <c r="AH114" s="11">
        <v>614</v>
      </c>
      <c r="AI114" s="11"/>
      <c r="AJ114" s="11"/>
      <c r="AK114" s="11">
        <v>750</v>
      </c>
      <c r="AL114" s="11"/>
      <c r="AM114" s="11">
        <v>1575</v>
      </c>
      <c r="AN114" s="11"/>
      <c r="AO114" s="11"/>
      <c r="AP114" s="11"/>
      <c r="AQ114" s="11"/>
      <c r="AR114" s="11"/>
      <c r="AS114" s="11"/>
      <c r="AT114" s="10"/>
      <c r="AU114" s="11"/>
      <c r="AV114" s="10"/>
      <c r="AW114" s="10"/>
      <c r="AX114" s="10"/>
      <c r="AY114" s="10"/>
      <c r="AZ114" s="11"/>
      <c r="BA114" s="11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</row>
    <row r="115" ht="28" spans="1:99">
      <c r="A115" s="5"/>
      <c r="B115" s="5"/>
      <c r="C115" s="5" t="s">
        <v>151</v>
      </c>
      <c r="D115" s="5" t="s">
        <v>280</v>
      </c>
      <c r="E115" s="5" t="s">
        <v>55</v>
      </c>
      <c r="F115" s="5">
        <f t="shared" si="10"/>
        <v>1358</v>
      </c>
      <c r="G115" s="5">
        <v>15.04</v>
      </c>
      <c r="H115" s="5">
        <f t="shared" si="11"/>
        <v>20424.32</v>
      </c>
      <c r="I115" s="6" t="s">
        <v>56</v>
      </c>
      <c r="J115" s="6" t="s">
        <v>57</v>
      </c>
      <c r="K115" s="6" t="s">
        <v>153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>
        <v>560</v>
      </c>
      <c r="AC115" s="11"/>
      <c r="AD115" s="11">
        <v>72</v>
      </c>
      <c r="AE115" s="11"/>
      <c r="AF115" s="11"/>
      <c r="AG115" s="11"/>
      <c r="AH115" s="11">
        <v>205</v>
      </c>
      <c r="AI115" s="11"/>
      <c r="AJ115" s="11"/>
      <c r="AK115" s="11">
        <v>168</v>
      </c>
      <c r="AL115" s="11"/>
      <c r="AM115" s="11">
        <v>353</v>
      </c>
      <c r="AN115" s="11"/>
      <c r="AO115" s="11"/>
      <c r="AP115" s="11"/>
      <c r="AQ115" s="11"/>
      <c r="AR115" s="11"/>
      <c r="AS115" s="11"/>
      <c r="AT115" s="10"/>
      <c r="AU115" s="11"/>
      <c r="AV115" s="10"/>
      <c r="AW115" s="10"/>
      <c r="AX115" s="10"/>
      <c r="AY115" s="10"/>
      <c r="AZ115" s="11"/>
      <c r="BA115" s="11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</row>
    <row r="116" ht="28" spans="1:99">
      <c r="A116" s="5"/>
      <c r="B116" s="5"/>
      <c r="C116" s="5"/>
      <c r="D116" s="5" t="s">
        <v>281</v>
      </c>
      <c r="E116" s="5" t="s">
        <v>55</v>
      </c>
      <c r="F116" s="5">
        <f t="shared" si="10"/>
        <v>521</v>
      </c>
      <c r="G116" s="5">
        <v>360</v>
      </c>
      <c r="H116" s="5">
        <f t="shared" si="11"/>
        <v>187560</v>
      </c>
      <c r="I116" s="6" t="s">
        <v>215</v>
      </c>
      <c r="J116" s="6" t="s">
        <v>216</v>
      </c>
      <c r="K116" s="6" t="s">
        <v>217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>
        <v>168</v>
      </c>
      <c r="AL116" s="11"/>
      <c r="AM116" s="11">
        <v>353</v>
      </c>
      <c r="AN116" s="11"/>
      <c r="AO116" s="11"/>
      <c r="AP116" s="11"/>
      <c r="AQ116" s="11"/>
      <c r="AR116" s="11"/>
      <c r="AS116" s="11"/>
      <c r="AT116" s="10"/>
      <c r="AU116" s="11"/>
      <c r="AV116" s="10"/>
      <c r="AW116" s="10"/>
      <c r="AX116" s="10"/>
      <c r="AY116" s="10"/>
      <c r="AZ116" s="11"/>
      <c r="BA116" s="11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</row>
    <row r="117" ht="28" spans="1:99">
      <c r="A117" s="5" t="s">
        <v>242</v>
      </c>
      <c r="B117" s="5" t="s">
        <v>282</v>
      </c>
      <c r="C117" s="5"/>
      <c r="D117" s="5"/>
      <c r="E117" s="5" t="s">
        <v>105</v>
      </c>
      <c r="F117" s="5">
        <f t="shared" si="10"/>
        <v>22079</v>
      </c>
      <c r="G117" s="5">
        <v>5.18</v>
      </c>
      <c r="H117" s="5">
        <f t="shared" si="11"/>
        <v>114369.22</v>
      </c>
      <c r="I117" s="6" t="s">
        <v>283</v>
      </c>
      <c r="J117" s="6" t="s">
        <v>57</v>
      </c>
      <c r="K117" s="6" t="s">
        <v>58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>
        <v>7646</v>
      </c>
      <c r="AE117" s="11">
        <v>440</v>
      </c>
      <c r="AF117" s="11"/>
      <c r="AG117" s="11">
        <v>9921</v>
      </c>
      <c r="AH117" s="11">
        <v>396</v>
      </c>
      <c r="AI117" s="11"/>
      <c r="AJ117" s="11"/>
      <c r="AK117" s="11"/>
      <c r="AL117" s="11">
        <v>1030</v>
      </c>
      <c r="AM117" s="11">
        <v>2646</v>
      </c>
      <c r="AN117" s="11"/>
      <c r="AO117" s="11"/>
      <c r="AP117" s="11"/>
      <c r="AQ117" s="11"/>
      <c r="AR117" s="11"/>
      <c r="AS117" s="11"/>
      <c r="AT117" s="10"/>
      <c r="AU117" s="11"/>
      <c r="AV117" s="10"/>
      <c r="AW117" s="10"/>
      <c r="AX117" s="10"/>
      <c r="AY117" s="10"/>
      <c r="AZ117" s="11"/>
      <c r="BA117" s="11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</row>
    <row r="118" ht="28" spans="1:99">
      <c r="A118" s="5"/>
      <c r="B118" s="5" t="s">
        <v>284</v>
      </c>
      <c r="C118" s="5"/>
      <c r="D118" s="5"/>
      <c r="E118" s="5" t="s">
        <v>105</v>
      </c>
      <c r="F118" s="5">
        <f t="shared" si="10"/>
        <v>8308</v>
      </c>
      <c r="G118" s="5">
        <v>7.82</v>
      </c>
      <c r="H118" s="5">
        <f t="shared" si="11"/>
        <v>64968.56</v>
      </c>
      <c r="I118" s="6" t="s">
        <v>283</v>
      </c>
      <c r="J118" s="6" t="s">
        <v>57</v>
      </c>
      <c r="K118" s="6" t="s">
        <v>58</v>
      </c>
      <c r="L118" s="11"/>
      <c r="M118" s="11"/>
      <c r="N118" s="11">
        <v>3174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>
        <v>2708</v>
      </c>
      <c r="AH118" s="11"/>
      <c r="AI118" s="11"/>
      <c r="AJ118" s="11"/>
      <c r="AK118" s="11"/>
      <c r="AL118" s="11">
        <v>1701</v>
      </c>
      <c r="AM118" s="11">
        <v>725</v>
      </c>
      <c r="AN118" s="11"/>
      <c r="AO118" s="11"/>
      <c r="AP118" s="11"/>
      <c r="AQ118" s="11"/>
      <c r="AR118" s="11"/>
      <c r="AS118" s="11"/>
      <c r="AT118" s="10"/>
      <c r="AU118" s="11"/>
      <c r="AV118" s="10"/>
      <c r="AW118" s="10"/>
      <c r="AX118" s="10"/>
      <c r="AY118" s="10"/>
      <c r="AZ118" s="11"/>
      <c r="BA118" s="11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</row>
    <row r="119" ht="31" spans="1:99">
      <c r="A119" s="5"/>
      <c r="B119" s="5"/>
      <c r="C119" s="5" t="s">
        <v>285</v>
      </c>
      <c r="D119" s="5" t="s">
        <v>286</v>
      </c>
      <c r="E119" s="5" t="s">
        <v>105</v>
      </c>
      <c r="F119" s="5">
        <f t="shared" si="10"/>
        <v>18822</v>
      </c>
      <c r="G119" s="5">
        <v>8.93</v>
      </c>
      <c r="H119" s="5">
        <f t="shared" si="11"/>
        <v>168080.46</v>
      </c>
      <c r="I119" s="5" t="s">
        <v>106</v>
      </c>
      <c r="J119" s="5" t="s">
        <v>107</v>
      </c>
      <c r="K119" s="5" t="s">
        <v>108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>
        <v>9302</v>
      </c>
      <c r="AI119" s="11"/>
      <c r="AJ119" s="11"/>
      <c r="AK119" s="11"/>
      <c r="AL119" s="11"/>
      <c r="AM119" s="11">
        <v>9520</v>
      </c>
      <c r="AN119" s="11"/>
      <c r="AO119" s="11"/>
      <c r="AP119" s="11"/>
      <c r="AQ119" s="11"/>
      <c r="AR119" s="11"/>
      <c r="AS119" s="11"/>
      <c r="AT119" s="10"/>
      <c r="AU119" s="11"/>
      <c r="AV119" s="10"/>
      <c r="AW119" s="10"/>
      <c r="AX119" s="10"/>
      <c r="AY119" s="10"/>
      <c r="AZ119" s="11"/>
      <c r="BA119" s="11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</row>
    <row r="120" ht="31" spans="1:99">
      <c r="A120" s="5"/>
      <c r="B120" s="5"/>
      <c r="C120" s="5" t="s">
        <v>287</v>
      </c>
      <c r="D120" s="5" t="s">
        <v>288</v>
      </c>
      <c r="E120" s="5" t="s">
        <v>55</v>
      </c>
      <c r="F120" s="5">
        <f t="shared" si="10"/>
        <v>8219</v>
      </c>
      <c r="G120" s="5">
        <v>181.93</v>
      </c>
      <c r="H120" s="5">
        <f t="shared" si="11"/>
        <v>1495282.67</v>
      </c>
      <c r="I120" s="5" t="s">
        <v>75</v>
      </c>
      <c r="J120" s="5" t="s">
        <v>145</v>
      </c>
      <c r="K120" s="5" t="s">
        <v>146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>
        <v>4252</v>
      </c>
      <c r="AI120" s="11"/>
      <c r="AJ120" s="11"/>
      <c r="AK120" s="11"/>
      <c r="AL120" s="11"/>
      <c r="AM120" s="11">
        <v>3967</v>
      </c>
      <c r="AN120" s="11"/>
      <c r="AO120" s="11"/>
      <c r="AP120" s="11"/>
      <c r="AQ120" s="11"/>
      <c r="AR120" s="11"/>
      <c r="AS120" s="11"/>
      <c r="AT120" s="10"/>
      <c r="AU120" s="11"/>
      <c r="AV120" s="10"/>
      <c r="AW120" s="10"/>
      <c r="AX120" s="10"/>
      <c r="AY120" s="10"/>
      <c r="AZ120" s="11"/>
      <c r="BA120" s="11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</row>
    <row r="121" ht="31" spans="1:99">
      <c r="A121" s="5" t="s">
        <v>289</v>
      </c>
      <c r="B121" s="5" t="s">
        <v>290</v>
      </c>
      <c r="C121" s="5" t="s">
        <v>291</v>
      </c>
      <c r="D121" s="33" t="s">
        <v>292</v>
      </c>
      <c r="E121" s="33" t="s">
        <v>193</v>
      </c>
      <c r="F121" s="33">
        <f t="shared" si="10"/>
        <v>2258</v>
      </c>
      <c r="G121" s="33"/>
      <c r="H121" s="33">
        <f t="shared" si="11"/>
        <v>0</v>
      </c>
      <c r="I121" s="37"/>
      <c r="J121" s="37"/>
      <c r="K121" s="37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0">
        <v>1150</v>
      </c>
      <c r="AU121" s="11"/>
      <c r="AV121" s="10"/>
      <c r="AW121" s="10"/>
      <c r="AX121" s="10">
        <v>1108</v>
      </c>
      <c r="AY121" s="10"/>
      <c r="AZ121" s="11"/>
      <c r="BA121" s="11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</row>
    <row r="122" ht="28" spans="1:99">
      <c r="A122" s="5"/>
      <c r="B122" s="5" t="s">
        <v>293</v>
      </c>
      <c r="C122" s="5" t="s">
        <v>294</v>
      </c>
      <c r="D122" s="5" t="s">
        <v>119</v>
      </c>
      <c r="E122" s="5" t="s">
        <v>55</v>
      </c>
      <c r="F122" s="5">
        <f t="shared" si="10"/>
        <v>7814</v>
      </c>
      <c r="G122" s="5">
        <v>360</v>
      </c>
      <c r="H122" s="5">
        <f t="shared" si="11"/>
        <v>2813040</v>
      </c>
      <c r="I122" s="6" t="s">
        <v>185</v>
      </c>
      <c r="J122" s="6" t="s">
        <v>99</v>
      </c>
      <c r="K122" s="6" t="s">
        <v>186</v>
      </c>
      <c r="L122" s="11">
        <v>600</v>
      </c>
      <c r="M122" s="11">
        <v>675</v>
      </c>
      <c r="N122" s="11">
        <v>880</v>
      </c>
      <c r="O122" s="11"/>
      <c r="P122" s="11"/>
      <c r="Q122" s="11"/>
      <c r="R122" s="11"/>
      <c r="S122" s="11"/>
      <c r="T122" s="11"/>
      <c r="U122" s="11"/>
      <c r="V122" s="11">
        <v>375</v>
      </c>
      <c r="W122" s="11">
        <v>525</v>
      </c>
      <c r="X122" s="11"/>
      <c r="Y122" s="11"/>
      <c r="Z122" s="11">
        <v>732</v>
      </c>
      <c r="AA122" s="11">
        <v>100</v>
      </c>
      <c r="AB122" s="11"/>
      <c r="AC122" s="11">
        <v>245</v>
      </c>
      <c r="AD122" s="11">
        <v>1047</v>
      </c>
      <c r="AE122" s="11">
        <v>350</v>
      </c>
      <c r="AF122" s="11"/>
      <c r="AG122" s="11">
        <v>211</v>
      </c>
      <c r="AH122" s="11">
        <v>461</v>
      </c>
      <c r="AI122" s="11"/>
      <c r="AJ122" s="11">
        <v>455</v>
      </c>
      <c r="AK122" s="11"/>
      <c r="AL122" s="11">
        <v>60</v>
      </c>
      <c r="AM122" s="11">
        <v>73</v>
      </c>
      <c r="AN122" s="11"/>
      <c r="AO122" s="11"/>
      <c r="AP122" s="11"/>
      <c r="AQ122" s="11"/>
      <c r="AR122" s="11"/>
      <c r="AS122" s="11"/>
      <c r="AT122" s="10">
        <v>471</v>
      </c>
      <c r="AU122" s="11"/>
      <c r="AV122" s="10"/>
      <c r="AW122" s="10"/>
      <c r="AX122" s="10">
        <v>554</v>
      </c>
      <c r="AY122" s="10"/>
      <c r="AZ122" s="11"/>
      <c r="BA122" s="11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</row>
    <row r="123" ht="28" spans="1:99">
      <c r="A123" s="5"/>
      <c r="B123" s="5"/>
      <c r="C123" s="5" t="s">
        <v>295</v>
      </c>
      <c r="D123" s="5"/>
      <c r="E123" s="5" t="s">
        <v>166</v>
      </c>
      <c r="F123" s="5">
        <f>(L123+M123+N123+O123+P123+Q123+R123+S123+T123+U123+V123+W123+X123+Y123+Z123+AA123+AB123+AC123+AD123+AE123+AF123+AG123+AH123+AI123+AJ123+AK123+AL123+AM123+AN123+AO123+AP123+AQ123+AR123+AS123+AT123+AU123+AV123+AW123+AX123+AY123+AZ123)/1000</f>
        <v>341.154</v>
      </c>
      <c r="G123" s="5">
        <v>1440.57</v>
      </c>
      <c r="H123" s="5">
        <f t="shared" si="11"/>
        <v>491456.21778</v>
      </c>
      <c r="I123" s="6" t="s">
        <v>167</v>
      </c>
      <c r="J123" s="6" t="s">
        <v>168</v>
      </c>
      <c r="K123" s="6" t="s">
        <v>169</v>
      </c>
      <c r="L123" s="11">
        <v>25890</v>
      </c>
      <c r="M123" s="11">
        <v>29126</v>
      </c>
      <c r="N123" s="11">
        <v>37972</v>
      </c>
      <c r="O123" s="11"/>
      <c r="P123" s="11"/>
      <c r="Q123" s="11"/>
      <c r="R123" s="11"/>
      <c r="S123" s="11"/>
      <c r="T123" s="11"/>
      <c r="U123" s="11"/>
      <c r="V123" s="11">
        <v>16181</v>
      </c>
      <c r="W123" s="11">
        <v>22654</v>
      </c>
      <c r="X123" s="11"/>
      <c r="Y123" s="11"/>
      <c r="Z123" s="11">
        <v>31564</v>
      </c>
      <c r="AA123" s="11">
        <v>4315</v>
      </c>
      <c r="AB123" s="11"/>
      <c r="AC123" s="11">
        <v>10572</v>
      </c>
      <c r="AD123" s="11">
        <v>45178</v>
      </c>
      <c r="AE123" s="11">
        <v>15103</v>
      </c>
      <c r="AF123" s="11"/>
      <c r="AG123" s="11">
        <v>9083</v>
      </c>
      <c r="AH123" s="11">
        <v>19892</v>
      </c>
      <c r="AI123" s="11"/>
      <c r="AJ123" s="11">
        <v>19633</v>
      </c>
      <c r="AK123" s="11"/>
      <c r="AL123" s="11">
        <v>2589</v>
      </c>
      <c r="AM123" s="11">
        <v>3128</v>
      </c>
      <c r="AN123" s="11"/>
      <c r="AO123" s="11"/>
      <c r="AP123" s="11"/>
      <c r="AQ123" s="11"/>
      <c r="AR123" s="11"/>
      <c r="AS123" s="11"/>
      <c r="AT123" s="10">
        <v>25736</v>
      </c>
      <c r="AU123" s="11"/>
      <c r="AV123" s="10"/>
      <c r="AW123" s="10"/>
      <c r="AX123" s="10">
        <v>22538</v>
      </c>
      <c r="AY123" s="10"/>
      <c r="AZ123" s="11"/>
      <c r="BA123" s="11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</row>
    <row r="124" ht="41" spans="1:99">
      <c r="A124" s="5"/>
      <c r="B124" s="5"/>
      <c r="C124" s="5" t="s">
        <v>157</v>
      </c>
      <c r="D124" s="5"/>
      <c r="E124" s="5" t="s">
        <v>55</v>
      </c>
      <c r="F124" s="5">
        <f t="shared" ref="F124:F132" si="12">L124+M124+N124+O124+P124+Q124+R124+S124+T124+U124+V124+W124+X124+Y124+Z124+AA124+AB124+AC124+AD124+AE124+AF124+AG124+AH124+AI124+AJ124+AK124+AL124+AM124+AN124+AO124+AP124+AQ124+AR124+AS124+AT124+AU124+AV124+AW124+AX124+AY124+AZ124</f>
        <v>23348</v>
      </c>
      <c r="G124" s="5">
        <v>18.91</v>
      </c>
      <c r="H124" s="5">
        <f t="shared" si="11"/>
        <v>441510.68</v>
      </c>
      <c r="I124" s="6" t="s">
        <v>75</v>
      </c>
      <c r="J124" s="6" t="s">
        <v>76</v>
      </c>
      <c r="K124" s="6" t="s">
        <v>77</v>
      </c>
      <c r="L124" s="11">
        <v>2064</v>
      </c>
      <c r="M124" s="11">
        <v>2322</v>
      </c>
      <c r="N124" s="11">
        <v>3027</v>
      </c>
      <c r="O124" s="11"/>
      <c r="P124" s="11"/>
      <c r="Q124" s="11"/>
      <c r="R124" s="11"/>
      <c r="S124" s="11"/>
      <c r="T124" s="11"/>
      <c r="U124" s="11"/>
      <c r="V124" s="11">
        <v>1290</v>
      </c>
      <c r="W124" s="11">
        <v>1806</v>
      </c>
      <c r="X124" s="11"/>
      <c r="Y124" s="11"/>
      <c r="Z124" s="11">
        <v>2516</v>
      </c>
      <c r="AA124" s="11">
        <v>344</v>
      </c>
      <c r="AB124" s="11"/>
      <c r="AC124" s="11">
        <v>843</v>
      </c>
      <c r="AD124" s="11">
        <v>3602</v>
      </c>
      <c r="AE124" s="11">
        <v>1204</v>
      </c>
      <c r="AF124" s="11"/>
      <c r="AG124" s="11">
        <v>724</v>
      </c>
      <c r="AH124" s="11">
        <v>1586</v>
      </c>
      <c r="AI124" s="11"/>
      <c r="AJ124" s="11">
        <v>1565</v>
      </c>
      <c r="AK124" s="11"/>
      <c r="AL124" s="11">
        <v>206</v>
      </c>
      <c r="AM124" s="11">
        <v>249</v>
      </c>
      <c r="AN124" s="11"/>
      <c r="AO124" s="11"/>
      <c r="AP124" s="11"/>
      <c r="AQ124" s="11"/>
      <c r="AR124" s="11"/>
      <c r="AS124" s="11"/>
      <c r="AT124" s="10"/>
      <c r="AU124" s="11"/>
      <c r="AV124" s="10"/>
      <c r="AW124" s="10"/>
      <c r="AX124" s="10"/>
      <c r="AY124" s="10"/>
      <c r="AZ124" s="11"/>
      <c r="BA124" s="11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</row>
    <row r="125" ht="41" spans="1:99">
      <c r="A125" s="5"/>
      <c r="B125" s="5"/>
      <c r="C125" s="5" t="s">
        <v>296</v>
      </c>
      <c r="D125" s="5"/>
      <c r="E125" s="5" t="s">
        <v>55</v>
      </c>
      <c r="F125" s="5">
        <f t="shared" si="12"/>
        <v>3347</v>
      </c>
      <c r="G125" s="5">
        <v>18.91</v>
      </c>
      <c r="H125" s="5">
        <f t="shared" si="11"/>
        <v>63291.77</v>
      </c>
      <c r="I125" s="6" t="s">
        <v>75</v>
      </c>
      <c r="J125" s="6" t="s">
        <v>76</v>
      </c>
      <c r="K125" s="6" t="s">
        <v>77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0">
        <v>3347</v>
      </c>
      <c r="AU125" s="11"/>
      <c r="AV125" s="10"/>
      <c r="AW125" s="10"/>
      <c r="AX125" s="10"/>
      <c r="AY125" s="10"/>
      <c r="AZ125" s="11"/>
      <c r="BA125" s="11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</row>
    <row r="126" ht="28" spans="1:99">
      <c r="A126" s="5"/>
      <c r="B126" s="5"/>
      <c r="C126" s="5" t="s">
        <v>297</v>
      </c>
      <c r="D126" s="5"/>
      <c r="E126" s="5" t="s">
        <v>55</v>
      </c>
      <c r="F126" s="5">
        <f t="shared" si="12"/>
        <v>63</v>
      </c>
      <c r="G126" s="5">
        <v>18.91</v>
      </c>
      <c r="H126" s="5">
        <f t="shared" si="11"/>
        <v>1191.33</v>
      </c>
      <c r="I126" s="6" t="s">
        <v>75</v>
      </c>
      <c r="J126" s="6" t="s">
        <v>82</v>
      </c>
      <c r="K126" s="6" t="s">
        <v>76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>
        <v>63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0"/>
      <c r="AU126" s="11"/>
      <c r="AV126" s="10"/>
      <c r="AW126" s="10"/>
      <c r="AX126" s="10"/>
      <c r="AY126" s="10"/>
      <c r="AZ126" s="11"/>
      <c r="BA126" s="11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</row>
    <row r="127" ht="28" spans="1:99">
      <c r="A127" s="5"/>
      <c r="B127" s="5"/>
      <c r="C127" s="5" t="s">
        <v>298</v>
      </c>
      <c r="D127" s="5" t="s">
        <v>119</v>
      </c>
      <c r="E127" s="5" t="s">
        <v>55</v>
      </c>
      <c r="F127" s="5">
        <f t="shared" si="12"/>
        <v>143</v>
      </c>
      <c r="G127" s="5">
        <v>360</v>
      </c>
      <c r="H127" s="5">
        <f t="shared" si="11"/>
        <v>51480</v>
      </c>
      <c r="I127" s="6" t="s">
        <v>185</v>
      </c>
      <c r="J127" s="6" t="s">
        <v>99</v>
      </c>
      <c r="K127" s="6" t="s">
        <v>186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>
        <v>41</v>
      </c>
      <c r="W127" s="11">
        <v>22</v>
      </c>
      <c r="X127" s="11"/>
      <c r="Y127" s="11"/>
      <c r="Z127" s="11">
        <v>80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0"/>
      <c r="AU127" s="11"/>
      <c r="AV127" s="10"/>
      <c r="AW127" s="10"/>
      <c r="AX127" s="10"/>
      <c r="AY127" s="10"/>
      <c r="AZ127" s="11"/>
      <c r="BA127" s="11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</row>
    <row r="128" ht="28" spans="1:99">
      <c r="A128" s="5"/>
      <c r="B128" s="5"/>
      <c r="C128" s="5"/>
      <c r="D128" s="5" t="s">
        <v>299</v>
      </c>
      <c r="E128" s="23" t="s">
        <v>105</v>
      </c>
      <c r="F128" s="5">
        <f t="shared" si="12"/>
        <v>16734</v>
      </c>
      <c r="G128" s="5">
        <v>1440.57</v>
      </c>
      <c r="H128" s="5">
        <f t="shared" si="11"/>
        <v>24106498.38</v>
      </c>
      <c r="I128" s="6" t="s">
        <v>167</v>
      </c>
      <c r="J128" s="6" t="s">
        <v>168</v>
      </c>
      <c r="K128" s="6" t="s">
        <v>169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>
        <v>4803</v>
      </c>
      <c r="W128" s="11">
        <v>2562</v>
      </c>
      <c r="X128" s="11"/>
      <c r="Y128" s="11"/>
      <c r="Z128" s="11">
        <v>9369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0"/>
      <c r="AU128" s="11"/>
      <c r="AV128" s="10"/>
      <c r="AW128" s="10"/>
      <c r="AX128" s="10"/>
      <c r="AY128" s="10"/>
      <c r="AZ128" s="11"/>
      <c r="BA128" s="11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</row>
    <row r="129" ht="28" spans="1:99">
      <c r="A129" s="5"/>
      <c r="B129" s="5"/>
      <c r="C129" s="5" t="s">
        <v>242</v>
      </c>
      <c r="D129" s="5" t="s">
        <v>208</v>
      </c>
      <c r="E129" s="5" t="s">
        <v>55</v>
      </c>
      <c r="F129" s="5">
        <f t="shared" si="12"/>
        <v>1427</v>
      </c>
      <c r="G129" s="5">
        <v>19.72</v>
      </c>
      <c r="H129" s="5">
        <f t="shared" si="11"/>
        <v>28140.44</v>
      </c>
      <c r="I129" s="6" t="s">
        <v>209</v>
      </c>
      <c r="J129" s="6" t="s">
        <v>210</v>
      </c>
      <c r="K129" s="6" t="s">
        <v>211</v>
      </c>
      <c r="L129" s="11">
        <v>126</v>
      </c>
      <c r="M129" s="11">
        <v>142</v>
      </c>
      <c r="N129" s="11">
        <v>185</v>
      </c>
      <c r="O129" s="11"/>
      <c r="P129" s="11"/>
      <c r="Q129" s="11"/>
      <c r="R129" s="11"/>
      <c r="S129" s="11"/>
      <c r="T129" s="11"/>
      <c r="U129" s="11"/>
      <c r="V129" s="11">
        <v>79</v>
      </c>
      <c r="W129" s="11">
        <v>110</v>
      </c>
      <c r="X129" s="11"/>
      <c r="Y129" s="11"/>
      <c r="Z129" s="11">
        <v>154</v>
      </c>
      <c r="AA129" s="11">
        <v>21</v>
      </c>
      <c r="AB129" s="11"/>
      <c r="AC129" s="11">
        <v>51</v>
      </c>
      <c r="AD129" s="11">
        <v>220</v>
      </c>
      <c r="AE129" s="11">
        <v>74</v>
      </c>
      <c r="AF129" s="11"/>
      <c r="AG129" s="11">
        <v>44</v>
      </c>
      <c r="AH129" s="11">
        <v>97</v>
      </c>
      <c r="AI129" s="11"/>
      <c r="AJ129" s="11">
        <v>96</v>
      </c>
      <c r="AK129" s="11"/>
      <c r="AL129" s="11">
        <v>13</v>
      </c>
      <c r="AM129" s="11">
        <v>15</v>
      </c>
      <c r="AN129" s="11"/>
      <c r="AO129" s="11"/>
      <c r="AP129" s="11"/>
      <c r="AQ129" s="11"/>
      <c r="AR129" s="11"/>
      <c r="AS129" s="11"/>
      <c r="AT129" s="10"/>
      <c r="AU129" s="11"/>
      <c r="AV129" s="10"/>
      <c r="AW129" s="10"/>
      <c r="AX129" s="10"/>
      <c r="AY129" s="10"/>
      <c r="AZ129" s="11"/>
      <c r="BA129" s="11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</row>
    <row r="130" spans="1:99">
      <c r="A130" s="5"/>
      <c r="B130" s="5" t="s">
        <v>300</v>
      </c>
      <c r="C130" s="5" t="s">
        <v>97</v>
      </c>
      <c r="D130" s="5"/>
      <c r="E130" s="5" t="s">
        <v>55</v>
      </c>
      <c r="F130" s="5">
        <f t="shared" si="12"/>
        <v>5668</v>
      </c>
      <c r="G130" s="15">
        <v>360</v>
      </c>
      <c r="H130" s="5">
        <f t="shared" si="11"/>
        <v>2040480</v>
      </c>
      <c r="I130" s="31" t="s">
        <v>98</v>
      </c>
      <c r="J130" s="31" t="s">
        <v>99</v>
      </c>
      <c r="K130" s="31" t="s">
        <v>187</v>
      </c>
      <c r="L130" s="11">
        <v>720</v>
      </c>
      <c r="M130" s="11"/>
      <c r="N130" s="11">
        <v>1056</v>
      </c>
      <c r="O130" s="11"/>
      <c r="P130" s="11"/>
      <c r="Q130" s="11"/>
      <c r="R130" s="11"/>
      <c r="S130" s="11"/>
      <c r="T130" s="11"/>
      <c r="U130" s="11"/>
      <c r="V130" s="11"/>
      <c r="W130" s="11">
        <v>30</v>
      </c>
      <c r="X130" s="11"/>
      <c r="Y130" s="11"/>
      <c r="Z130" s="11"/>
      <c r="AA130" s="11">
        <v>120</v>
      </c>
      <c r="AB130" s="11"/>
      <c r="AC130" s="11"/>
      <c r="AD130" s="11">
        <v>1261</v>
      </c>
      <c r="AE130" s="11">
        <v>420</v>
      </c>
      <c r="AF130" s="11"/>
      <c r="AG130" s="11">
        <v>253</v>
      </c>
      <c r="AH130" s="11">
        <v>510</v>
      </c>
      <c r="AI130" s="11"/>
      <c r="AJ130" s="11">
        <v>546</v>
      </c>
      <c r="AK130" s="11"/>
      <c r="AL130" s="11"/>
      <c r="AM130" s="11">
        <v>87</v>
      </c>
      <c r="AN130" s="11"/>
      <c r="AO130" s="11"/>
      <c r="AP130" s="11"/>
      <c r="AQ130" s="11"/>
      <c r="AR130" s="11"/>
      <c r="AS130" s="11"/>
      <c r="AT130" s="10"/>
      <c r="AU130" s="11"/>
      <c r="AV130" s="10"/>
      <c r="AW130" s="10"/>
      <c r="AX130" s="10">
        <v>665</v>
      </c>
      <c r="AY130" s="10"/>
      <c r="AZ130" s="11"/>
      <c r="BA130" s="11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</row>
    <row r="131" spans="1:99">
      <c r="A131" s="5"/>
      <c r="B131" s="5"/>
      <c r="C131" s="5" t="s">
        <v>301</v>
      </c>
      <c r="D131" s="5"/>
      <c r="E131" s="5" t="s">
        <v>105</v>
      </c>
      <c r="F131" s="5">
        <f t="shared" si="12"/>
        <v>16676</v>
      </c>
      <c r="G131" s="17">
        <v>8.02</v>
      </c>
      <c r="H131" s="5">
        <f t="shared" si="11"/>
        <v>133741.52</v>
      </c>
      <c r="I131" s="32"/>
      <c r="J131" s="32"/>
      <c r="K131" s="32"/>
      <c r="L131" s="11">
        <v>2400</v>
      </c>
      <c r="M131" s="11"/>
      <c r="N131" s="11">
        <v>3520</v>
      </c>
      <c r="O131" s="11"/>
      <c r="P131" s="11"/>
      <c r="Q131" s="11"/>
      <c r="R131" s="11"/>
      <c r="S131" s="11"/>
      <c r="T131" s="11"/>
      <c r="U131" s="11"/>
      <c r="V131" s="11"/>
      <c r="W131" s="11">
        <v>100</v>
      </c>
      <c r="X131" s="11"/>
      <c r="Y131" s="11"/>
      <c r="Z131" s="11"/>
      <c r="AA131" s="11">
        <v>400</v>
      </c>
      <c r="AB131" s="11"/>
      <c r="AC131" s="11"/>
      <c r="AD131" s="11">
        <v>4204</v>
      </c>
      <c r="AE131" s="11">
        <v>1400</v>
      </c>
      <c r="AF131" s="11"/>
      <c r="AG131" s="11">
        <v>842</v>
      </c>
      <c r="AH131" s="11">
        <v>1700</v>
      </c>
      <c r="AI131" s="11"/>
      <c r="AJ131" s="11">
        <v>1820</v>
      </c>
      <c r="AK131" s="11"/>
      <c r="AL131" s="11"/>
      <c r="AM131" s="11">
        <v>290</v>
      </c>
      <c r="AN131" s="11"/>
      <c r="AO131" s="11"/>
      <c r="AP131" s="11"/>
      <c r="AQ131" s="11"/>
      <c r="AR131" s="11"/>
      <c r="AS131" s="11"/>
      <c r="AT131" s="10"/>
      <c r="AU131" s="11"/>
      <c r="AV131" s="10"/>
      <c r="AW131" s="10"/>
      <c r="AX131" s="10"/>
      <c r="AY131" s="10"/>
      <c r="AZ131" s="11"/>
      <c r="BA131" s="11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</row>
    <row r="132" ht="28" spans="1:99">
      <c r="A132" s="5"/>
      <c r="B132" s="5" t="s">
        <v>302</v>
      </c>
      <c r="C132" s="5" t="s">
        <v>294</v>
      </c>
      <c r="D132" s="5" t="s">
        <v>119</v>
      </c>
      <c r="E132" s="5" t="s">
        <v>55</v>
      </c>
      <c r="F132" s="5">
        <f t="shared" si="12"/>
        <v>2404</v>
      </c>
      <c r="G132" s="5">
        <v>360</v>
      </c>
      <c r="H132" s="5">
        <f t="shared" ref="H132:H153" si="13">F132*G132</f>
        <v>865440</v>
      </c>
      <c r="I132" s="6" t="s">
        <v>185</v>
      </c>
      <c r="J132" s="6" t="s">
        <v>99</v>
      </c>
      <c r="K132" s="6" t="s">
        <v>186</v>
      </c>
      <c r="L132" s="11"/>
      <c r="M132" s="11">
        <v>41</v>
      </c>
      <c r="N132" s="11"/>
      <c r="O132" s="11">
        <v>436</v>
      </c>
      <c r="P132" s="11"/>
      <c r="Q132" s="11"/>
      <c r="R132" s="11"/>
      <c r="S132" s="11"/>
      <c r="T132" s="11"/>
      <c r="U132" s="11"/>
      <c r="V132" s="11">
        <v>249</v>
      </c>
      <c r="W132" s="11"/>
      <c r="X132" s="11"/>
      <c r="Y132" s="11"/>
      <c r="Z132" s="11"/>
      <c r="AA132" s="11"/>
      <c r="AB132" s="11"/>
      <c r="AC132" s="11">
        <v>75</v>
      </c>
      <c r="AD132" s="11">
        <v>157</v>
      </c>
      <c r="AE132" s="11">
        <v>124</v>
      </c>
      <c r="AF132" s="11">
        <v>414</v>
      </c>
      <c r="AG132" s="11">
        <v>463</v>
      </c>
      <c r="AH132" s="11">
        <v>70</v>
      </c>
      <c r="AI132" s="11"/>
      <c r="AJ132" s="11"/>
      <c r="AK132" s="11"/>
      <c r="AL132" s="11">
        <v>218</v>
      </c>
      <c r="AM132" s="11">
        <v>157</v>
      </c>
      <c r="AN132" s="11"/>
      <c r="AO132" s="11"/>
      <c r="AP132" s="11"/>
      <c r="AQ132" s="11"/>
      <c r="AR132" s="11"/>
      <c r="AS132" s="11"/>
      <c r="AT132" s="10"/>
      <c r="AU132" s="11"/>
      <c r="AV132" s="10"/>
      <c r="AW132" s="10"/>
      <c r="AX132" s="10"/>
      <c r="AY132" s="10"/>
      <c r="AZ132" s="11"/>
      <c r="BA132" s="11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</row>
    <row r="133" ht="28" spans="1:99">
      <c r="A133" s="5"/>
      <c r="B133" s="5"/>
      <c r="C133" s="5" t="s">
        <v>299</v>
      </c>
      <c r="D133" s="5"/>
      <c r="E133" s="5" t="s">
        <v>166</v>
      </c>
      <c r="F133" s="5">
        <f>(L133+M133+N133+O133+P133+Q133+R133+S133+T133+U133+V133+W133+X133+Y133+Z133+AA133+AB133+AC133+AD133+AE133+AF133+AG133+AH133+AI133+AJ133+AK133+AL133+AM133+AN133+AO133+AP133+AQ133+AR133+AS133+AT133+AU133+AV133+AW133+AX133+AY133+AZ133)/1000</f>
        <v>121.611</v>
      </c>
      <c r="G133" s="5">
        <v>1440.57</v>
      </c>
      <c r="H133" s="5">
        <f t="shared" si="13"/>
        <v>175189.15827</v>
      </c>
      <c r="I133" s="6" t="s">
        <v>167</v>
      </c>
      <c r="J133" s="6" t="s">
        <v>168</v>
      </c>
      <c r="K133" s="6" t="s">
        <v>169</v>
      </c>
      <c r="L133" s="11"/>
      <c r="M133" s="11">
        <v>2237</v>
      </c>
      <c r="N133" s="11"/>
      <c r="O133" s="11">
        <v>17917</v>
      </c>
      <c r="P133" s="11"/>
      <c r="Q133" s="11"/>
      <c r="R133" s="11"/>
      <c r="S133" s="11"/>
      <c r="T133" s="11"/>
      <c r="U133" s="11"/>
      <c r="V133" s="11">
        <v>13467</v>
      </c>
      <c r="W133" s="11"/>
      <c r="X133" s="11"/>
      <c r="Y133" s="11"/>
      <c r="Z133" s="11"/>
      <c r="AA133" s="11"/>
      <c r="AB133" s="11"/>
      <c r="AC133" s="11">
        <v>4027</v>
      </c>
      <c r="AD133" s="11">
        <v>8501</v>
      </c>
      <c r="AE133" s="11">
        <v>6711</v>
      </c>
      <c r="AF133" s="11">
        <v>22349</v>
      </c>
      <c r="AG133" s="11">
        <v>22331</v>
      </c>
      <c r="AH133" s="11">
        <v>3781</v>
      </c>
      <c r="AI133" s="11"/>
      <c r="AJ133" s="11"/>
      <c r="AK133" s="11"/>
      <c r="AL133" s="11">
        <v>11789</v>
      </c>
      <c r="AM133" s="11">
        <v>8501</v>
      </c>
      <c r="AN133" s="11"/>
      <c r="AO133" s="11"/>
      <c r="AP133" s="11"/>
      <c r="AQ133" s="11"/>
      <c r="AR133" s="11"/>
      <c r="AS133" s="11"/>
      <c r="AT133" s="10"/>
      <c r="AU133" s="11"/>
      <c r="AV133" s="10"/>
      <c r="AW133" s="10"/>
      <c r="AX133" s="10"/>
      <c r="AY133" s="10"/>
      <c r="AZ133" s="11"/>
      <c r="BA133" s="11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</row>
    <row r="134" ht="41" spans="1:99">
      <c r="A134" s="5"/>
      <c r="B134" s="5"/>
      <c r="C134" s="5" t="s">
        <v>157</v>
      </c>
      <c r="D134" s="5"/>
      <c r="E134" s="5" t="s">
        <v>55</v>
      </c>
      <c r="F134" s="5">
        <f t="shared" ref="F134:F136" si="14">L134+M134+N134+O134+P134+Q134+R134+S134+T134+U134+V134+W134+X134+Y134+Z134+AA134+AB134+AC134+AD134+AE134+AF134+AG134+AH134+AI134+AJ134+AK134+AL134+AM134+AN134+AO134+AP134+AQ134+AR134+AS134+AT134+AU134+AV134+AW134+AX134+AY134+AZ134</f>
        <v>6945</v>
      </c>
      <c r="G134" s="5">
        <v>18.91</v>
      </c>
      <c r="H134" s="5">
        <f t="shared" si="13"/>
        <v>131329.95</v>
      </c>
      <c r="I134" s="6" t="s">
        <v>75</v>
      </c>
      <c r="J134" s="6" t="s">
        <v>76</v>
      </c>
      <c r="K134" s="6" t="s">
        <v>77</v>
      </c>
      <c r="L134" s="11"/>
      <c r="M134" s="11">
        <v>112</v>
      </c>
      <c r="N134" s="11"/>
      <c r="O134" s="11">
        <v>1616</v>
      </c>
      <c r="P134" s="11"/>
      <c r="Q134" s="11"/>
      <c r="R134" s="11"/>
      <c r="S134" s="11"/>
      <c r="T134" s="11"/>
      <c r="U134" s="11"/>
      <c r="V134" s="11">
        <v>672</v>
      </c>
      <c r="W134" s="11"/>
      <c r="X134" s="11"/>
      <c r="Y134" s="11"/>
      <c r="Z134" s="11"/>
      <c r="AA134" s="11"/>
      <c r="AB134" s="11"/>
      <c r="AC134" s="11">
        <v>201</v>
      </c>
      <c r="AD134" s="11">
        <v>424</v>
      </c>
      <c r="AE134" s="11">
        <v>335</v>
      </c>
      <c r="AF134" s="11">
        <v>1114</v>
      </c>
      <c r="AG134" s="11">
        <v>1270</v>
      </c>
      <c r="AH134" s="11">
        <v>189</v>
      </c>
      <c r="AI134" s="11"/>
      <c r="AJ134" s="11"/>
      <c r="AK134" s="11"/>
      <c r="AL134" s="11">
        <v>588</v>
      </c>
      <c r="AM134" s="11">
        <v>424</v>
      </c>
      <c r="AN134" s="11"/>
      <c r="AO134" s="11"/>
      <c r="AP134" s="11"/>
      <c r="AQ134" s="11"/>
      <c r="AR134" s="11"/>
      <c r="AS134" s="11"/>
      <c r="AT134" s="10"/>
      <c r="AU134" s="11"/>
      <c r="AV134" s="10"/>
      <c r="AW134" s="10"/>
      <c r="AX134" s="10"/>
      <c r="AY134" s="10"/>
      <c r="AZ134" s="11"/>
      <c r="BA134" s="11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</row>
    <row r="135" ht="28" spans="1:99">
      <c r="A135" s="5"/>
      <c r="B135" s="5"/>
      <c r="C135" s="5" t="s">
        <v>297</v>
      </c>
      <c r="D135" s="5"/>
      <c r="E135" s="5" t="s">
        <v>55</v>
      </c>
      <c r="F135" s="5">
        <f t="shared" si="14"/>
        <v>0</v>
      </c>
      <c r="G135" s="5"/>
      <c r="H135" s="5">
        <f t="shared" si="13"/>
        <v>0</v>
      </c>
      <c r="I135" s="6" t="s">
        <v>75</v>
      </c>
      <c r="J135" s="6" t="s">
        <v>82</v>
      </c>
      <c r="K135" s="6" t="s">
        <v>76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>
        <v>0</v>
      </c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0"/>
      <c r="AU135" s="11"/>
      <c r="AV135" s="10"/>
      <c r="AW135" s="10"/>
      <c r="AX135" s="10"/>
      <c r="AY135" s="10"/>
      <c r="AZ135" s="11"/>
      <c r="BA135" s="11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</row>
    <row r="136" ht="28" spans="1:99">
      <c r="A136" s="5"/>
      <c r="B136" s="5"/>
      <c r="C136" s="5" t="s">
        <v>242</v>
      </c>
      <c r="D136" s="5" t="s">
        <v>208</v>
      </c>
      <c r="E136" s="5" t="s">
        <v>55</v>
      </c>
      <c r="F136" s="5">
        <f t="shared" si="14"/>
        <v>591</v>
      </c>
      <c r="G136" s="30">
        <v>19.72</v>
      </c>
      <c r="H136" s="5">
        <f t="shared" si="13"/>
        <v>11654.52</v>
      </c>
      <c r="I136" s="6" t="s">
        <v>209</v>
      </c>
      <c r="J136" s="6" t="s">
        <v>210</v>
      </c>
      <c r="K136" s="6" t="s">
        <v>211</v>
      </c>
      <c r="L136" s="11"/>
      <c r="M136" s="11">
        <v>11</v>
      </c>
      <c r="N136" s="11"/>
      <c r="O136" s="11">
        <v>81</v>
      </c>
      <c r="P136" s="11"/>
      <c r="Q136" s="11"/>
      <c r="R136" s="11"/>
      <c r="S136" s="11"/>
      <c r="T136" s="11"/>
      <c r="U136" s="11"/>
      <c r="V136" s="11">
        <v>66</v>
      </c>
      <c r="W136" s="11"/>
      <c r="X136" s="11"/>
      <c r="Y136" s="11"/>
      <c r="Z136" s="11"/>
      <c r="AA136" s="11"/>
      <c r="AB136" s="11"/>
      <c r="AC136" s="11">
        <v>20</v>
      </c>
      <c r="AD136" s="11">
        <v>42</v>
      </c>
      <c r="AE136" s="11">
        <v>33</v>
      </c>
      <c r="AF136" s="11">
        <v>110</v>
      </c>
      <c r="AG136" s="11">
        <v>109</v>
      </c>
      <c r="AH136" s="10">
        <v>19</v>
      </c>
      <c r="AI136" s="11"/>
      <c r="AJ136" s="11"/>
      <c r="AK136" s="11"/>
      <c r="AL136" s="11">
        <v>58</v>
      </c>
      <c r="AM136" s="11">
        <v>42</v>
      </c>
      <c r="AN136" s="11"/>
      <c r="AO136" s="11"/>
      <c r="AP136" s="11"/>
      <c r="AQ136" s="11"/>
      <c r="AR136" s="11"/>
      <c r="AS136" s="11"/>
      <c r="AT136" s="10"/>
      <c r="AU136" s="11"/>
      <c r="AV136" s="10"/>
      <c r="AW136" s="10"/>
      <c r="AX136" s="10"/>
      <c r="AY136" s="10"/>
      <c r="AZ136" s="11"/>
      <c r="BA136" s="11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</row>
    <row r="137" ht="17" spans="1:99">
      <c r="A137" s="38"/>
      <c r="B137" s="38" t="s">
        <v>303</v>
      </c>
      <c r="C137" s="38" t="s">
        <v>304</v>
      </c>
      <c r="D137" s="39" t="s">
        <v>305</v>
      </c>
      <c r="E137" s="39" t="s">
        <v>193</v>
      </c>
      <c r="F137" s="38">
        <f>L137+M137+N137+O137+P137+Q137+R137+S137+U137+V137+W137+X137+Y137+Z137+AA137+AB137+AC137+AD137+AF137+AE137+AG137+AH137+AI137+AJ137+AK137+AL137+AM137+AN137+AO137+AQ137+AR137+AS137+AU137+AV137+AZ137+Q137+T137+AP137+AT137+AW137+AX137+AY137</f>
        <v>0</v>
      </c>
      <c r="G137" s="30"/>
      <c r="H137" s="5">
        <f t="shared" si="13"/>
        <v>0</v>
      </c>
      <c r="I137" s="6"/>
      <c r="J137" s="6"/>
      <c r="K137" s="6"/>
      <c r="L137" s="40"/>
      <c r="M137" s="12"/>
      <c r="N137" s="41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42"/>
      <c r="AU137" s="12"/>
      <c r="AV137" s="42"/>
      <c r="AW137" s="42"/>
      <c r="AX137" s="42"/>
      <c r="AY137" s="4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</row>
    <row r="138" ht="17" spans="1:99">
      <c r="A138" s="38"/>
      <c r="B138" s="38"/>
      <c r="C138" s="38"/>
      <c r="D138" s="39" t="s">
        <v>306</v>
      </c>
      <c r="E138" s="39" t="s">
        <v>193</v>
      </c>
      <c r="F138" s="38">
        <f>L138+M138+N138+O138+P138+Q138+R138+S138+U138+V138+W138+X138+Y138+Z138+AA138+AB138+AC138+AD138+AF138+AE138+AG138+AH138+AI138+AJ138+AK138+AL138+AM138+AN138+AO138+AQ138+AR138+AS138+AU138+AV138+AZ138+Q138+T138+AP138+AT138+AW138+AX138+AY138</f>
        <v>1150</v>
      </c>
      <c r="G138" s="30"/>
      <c r="H138" s="5">
        <f t="shared" si="13"/>
        <v>0</v>
      </c>
      <c r="I138" s="6"/>
      <c r="J138" s="6"/>
      <c r="K138" s="6"/>
      <c r="L138" s="40"/>
      <c r="M138" s="12"/>
      <c r="N138" s="41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42">
        <v>1150</v>
      </c>
      <c r="AU138" s="12"/>
      <c r="AV138" s="42"/>
      <c r="AW138" s="42"/>
      <c r="AX138" s="42"/>
      <c r="AY138" s="4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</row>
    <row r="139" ht="28" spans="1:99">
      <c r="A139" s="5"/>
      <c r="B139" s="5"/>
      <c r="C139" s="5" t="s">
        <v>294</v>
      </c>
      <c r="D139" s="5" t="s">
        <v>119</v>
      </c>
      <c r="E139" s="5" t="s">
        <v>55</v>
      </c>
      <c r="F139" s="5">
        <f t="shared" ref="F139:F150" si="15">L139+M139+N139+O139+P139+Q139+R139+S139+T139+U139+V139+W139+X139+Y139+Z139+AA139+AB139+AC139+AD139+AE139+AF139+AG139+AH139+AI139+AJ139+AK139+AL139+AM139+AN139+AO139+AP139+AQ139+AR139+AS139+AT139+AU139+AV139+AW139+AX139+AY139+AZ139</f>
        <v>3958</v>
      </c>
      <c r="G139" s="30">
        <v>360</v>
      </c>
      <c r="H139" s="5">
        <f t="shared" si="13"/>
        <v>1424880</v>
      </c>
      <c r="I139" s="6" t="s">
        <v>185</v>
      </c>
      <c r="J139" s="6" t="s">
        <v>99</v>
      </c>
      <c r="K139" s="6" t="s">
        <v>186</v>
      </c>
      <c r="L139" s="11">
        <v>497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>
        <v>331</v>
      </c>
      <c r="W139" s="11"/>
      <c r="X139" s="11"/>
      <c r="Y139" s="11"/>
      <c r="Z139" s="11">
        <v>117</v>
      </c>
      <c r="AA139" s="11"/>
      <c r="AB139" s="11"/>
      <c r="AC139" s="11"/>
      <c r="AD139" s="11">
        <v>605</v>
      </c>
      <c r="AE139" s="11">
        <v>178</v>
      </c>
      <c r="AF139" s="11"/>
      <c r="AG139" s="11">
        <v>50</v>
      </c>
      <c r="AH139" s="11">
        <v>226</v>
      </c>
      <c r="AI139" s="11"/>
      <c r="AJ139" s="11">
        <v>160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0">
        <v>471</v>
      </c>
      <c r="AU139" s="11"/>
      <c r="AV139" s="10">
        <v>948</v>
      </c>
      <c r="AW139" s="10"/>
      <c r="AX139" s="10"/>
      <c r="AY139" s="10">
        <v>375</v>
      </c>
      <c r="AZ139" s="11"/>
      <c r="BA139" s="11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</row>
    <row r="140" ht="28" spans="1:99">
      <c r="A140" s="5"/>
      <c r="B140" s="5"/>
      <c r="C140" s="5" t="s">
        <v>299</v>
      </c>
      <c r="D140" s="5"/>
      <c r="E140" s="5" t="s">
        <v>166</v>
      </c>
      <c r="F140" s="5">
        <f>(L140+M140+N140+O140+P140+Q140+R140+S140+T140+U140+V140+W140+X140+Y140+Z140+AA140+AB140+AC140+AD140+AE140+AF140+AG140+AH140+AI140+AJ140+AK140+AL140+AM140+AN140+AO140+AP140+AQ140+AR140+AS140+AT140+AU140+AV140+AW140+AX140+AY140+AZ140)/1000</f>
        <v>214.156</v>
      </c>
      <c r="G140" s="30">
        <v>1440.57</v>
      </c>
      <c r="H140" s="5">
        <f t="shared" si="13"/>
        <v>308506.70892</v>
      </c>
      <c r="I140" s="6" t="s">
        <v>167</v>
      </c>
      <c r="J140" s="6" t="s">
        <v>168</v>
      </c>
      <c r="K140" s="6" t="s">
        <v>169</v>
      </c>
      <c r="L140" s="11">
        <v>26845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>
        <v>17897</v>
      </c>
      <c r="W140" s="11"/>
      <c r="X140" s="11"/>
      <c r="Y140" s="11"/>
      <c r="Z140" s="11">
        <v>6331</v>
      </c>
      <c r="AA140" s="11"/>
      <c r="AB140" s="11"/>
      <c r="AC140" s="11"/>
      <c r="AD140" s="11">
        <v>32705</v>
      </c>
      <c r="AE140" s="11">
        <v>9605</v>
      </c>
      <c r="AF140" s="11"/>
      <c r="AG140" s="11">
        <v>2685</v>
      </c>
      <c r="AH140" s="11">
        <v>11462</v>
      </c>
      <c r="AI140" s="11"/>
      <c r="AJ140" s="11">
        <v>8632</v>
      </c>
      <c r="AK140" s="11"/>
      <c r="AL140" s="11"/>
      <c r="AM140" s="11"/>
      <c r="AN140" s="11"/>
      <c r="AO140" s="11"/>
      <c r="AP140" s="11"/>
      <c r="AQ140" s="11"/>
      <c r="AR140" s="11"/>
      <c r="AS140" s="11"/>
      <c r="AT140" s="10">
        <v>25736</v>
      </c>
      <c r="AU140" s="11"/>
      <c r="AV140" s="10">
        <v>51789</v>
      </c>
      <c r="AW140" s="10"/>
      <c r="AX140" s="10"/>
      <c r="AY140" s="10">
        <v>20469</v>
      </c>
      <c r="AZ140" s="11"/>
      <c r="BA140" s="11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</row>
    <row r="141" ht="41" spans="1:99">
      <c r="A141" s="5"/>
      <c r="B141" s="5"/>
      <c r="C141" s="5" t="s">
        <v>157</v>
      </c>
      <c r="D141" s="5" t="s">
        <v>296</v>
      </c>
      <c r="E141" s="5" t="s">
        <v>55</v>
      </c>
      <c r="F141" s="5">
        <f t="shared" si="15"/>
        <v>13631</v>
      </c>
      <c r="G141" s="30">
        <v>18.91</v>
      </c>
      <c r="H141" s="5">
        <f t="shared" si="13"/>
        <v>257762.21</v>
      </c>
      <c r="I141" s="6" t="s">
        <v>75</v>
      </c>
      <c r="J141" s="6" t="s">
        <v>76</v>
      </c>
      <c r="K141" s="6" t="s">
        <v>77</v>
      </c>
      <c r="L141" s="11">
        <v>1339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>
        <v>1279</v>
      </c>
      <c r="W141" s="11"/>
      <c r="X141" s="11"/>
      <c r="Y141" s="11"/>
      <c r="Z141" s="11">
        <v>316</v>
      </c>
      <c r="AA141" s="11"/>
      <c r="AB141" s="11"/>
      <c r="AC141" s="11"/>
      <c r="AD141" s="11">
        <v>2337</v>
      </c>
      <c r="AE141" s="11">
        <v>686</v>
      </c>
      <c r="AF141" s="11"/>
      <c r="AG141" s="11">
        <v>134</v>
      </c>
      <c r="AH141" s="11">
        <v>914</v>
      </c>
      <c r="AI141" s="11"/>
      <c r="AJ141" s="11">
        <v>617</v>
      </c>
      <c r="AK141" s="11"/>
      <c r="AL141" s="11"/>
      <c r="AM141" s="11"/>
      <c r="AN141" s="11"/>
      <c r="AO141" s="11"/>
      <c r="AP141" s="11"/>
      <c r="AQ141" s="11"/>
      <c r="AR141" s="11"/>
      <c r="AS141" s="11"/>
      <c r="AT141" s="10">
        <v>3347</v>
      </c>
      <c r="AU141" s="11"/>
      <c r="AV141" s="10"/>
      <c r="AW141" s="10"/>
      <c r="AX141" s="10"/>
      <c r="AY141" s="10">
        <v>2662</v>
      </c>
      <c r="AZ141" s="11"/>
      <c r="BA141" s="11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</row>
    <row r="142" ht="28" spans="1:99">
      <c r="A142" s="5"/>
      <c r="B142" s="5"/>
      <c r="C142" s="43" t="s">
        <v>297</v>
      </c>
      <c r="D142" s="44"/>
      <c r="E142" s="5" t="s">
        <v>55</v>
      </c>
      <c r="F142" s="5">
        <f t="shared" si="15"/>
        <v>192</v>
      </c>
      <c r="G142" s="30">
        <v>18.91</v>
      </c>
      <c r="H142" s="5">
        <f t="shared" si="13"/>
        <v>3630.72</v>
      </c>
      <c r="I142" s="6" t="s">
        <v>75</v>
      </c>
      <c r="J142" s="6" t="s">
        <v>82</v>
      </c>
      <c r="K142" s="6" t="s">
        <v>76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>
        <v>192</v>
      </c>
      <c r="AH142" s="11">
        <v>0</v>
      </c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0"/>
      <c r="AU142" s="11"/>
      <c r="AV142" s="10"/>
      <c r="AW142" s="10"/>
      <c r="AX142" s="10"/>
      <c r="AY142" s="10"/>
      <c r="AZ142" s="11"/>
      <c r="BA142" s="11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</row>
    <row r="143" ht="31" spans="1:99">
      <c r="A143" s="5"/>
      <c r="B143" s="5"/>
      <c r="C143" s="5" t="s">
        <v>307</v>
      </c>
      <c r="D143" s="5" t="s">
        <v>308</v>
      </c>
      <c r="E143" s="5" t="s">
        <v>105</v>
      </c>
      <c r="F143" s="5">
        <f t="shared" si="15"/>
        <v>3856</v>
      </c>
      <c r="G143" s="30">
        <v>107.21</v>
      </c>
      <c r="H143" s="5">
        <f t="shared" si="13"/>
        <v>413401.76</v>
      </c>
      <c r="I143" s="6" t="s">
        <v>135</v>
      </c>
      <c r="J143" s="6" t="s">
        <v>309</v>
      </c>
      <c r="K143" s="6" t="s">
        <v>310</v>
      </c>
      <c r="L143" s="11">
        <v>50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>
        <v>33</v>
      </c>
      <c r="W143" s="11"/>
      <c r="X143" s="11"/>
      <c r="Y143" s="11"/>
      <c r="Z143" s="11">
        <v>12</v>
      </c>
      <c r="AA143" s="11"/>
      <c r="AB143" s="11"/>
      <c r="AC143" s="11"/>
      <c r="AD143" s="11">
        <v>61</v>
      </c>
      <c r="AE143" s="11">
        <v>18</v>
      </c>
      <c r="AF143" s="11"/>
      <c r="AG143" s="11">
        <v>5</v>
      </c>
      <c r="AH143" s="11">
        <v>27</v>
      </c>
      <c r="AI143" s="11"/>
      <c r="AJ143" s="11">
        <v>16</v>
      </c>
      <c r="AK143" s="11"/>
      <c r="AL143" s="11"/>
      <c r="AM143" s="11"/>
      <c r="AN143" s="11"/>
      <c r="AO143" s="11"/>
      <c r="AP143" s="11"/>
      <c r="AQ143" s="11"/>
      <c r="AR143" s="11"/>
      <c r="AS143" s="11"/>
      <c r="AT143" s="10">
        <v>2024</v>
      </c>
      <c r="AU143" s="11"/>
      <c r="AV143" s="10"/>
      <c r="AW143" s="10"/>
      <c r="AX143" s="10"/>
      <c r="AY143" s="10">
        <v>1610</v>
      </c>
      <c r="AZ143" s="11"/>
      <c r="BA143" s="11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</row>
    <row r="144" ht="28" spans="1:99">
      <c r="A144" s="5"/>
      <c r="B144" s="5"/>
      <c r="C144" s="5" t="s">
        <v>214</v>
      </c>
      <c r="D144" s="5" t="s">
        <v>311</v>
      </c>
      <c r="E144" s="5" t="s">
        <v>105</v>
      </c>
      <c r="F144" s="5">
        <f t="shared" si="15"/>
        <v>4073</v>
      </c>
      <c r="G144" s="30">
        <v>29.72</v>
      </c>
      <c r="H144" s="5">
        <f t="shared" si="13"/>
        <v>121049.56</v>
      </c>
      <c r="I144" s="6" t="s">
        <v>209</v>
      </c>
      <c r="J144" s="6" t="s">
        <v>210</v>
      </c>
      <c r="K144" s="6" t="s">
        <v>211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0"/>
      <c r="AU144" s="11"/>
      <c r="AV144" s="10">
        <v>4073</v>
      </c>
      <c r="AW144" s="10"/>
      <c r="AX144" s="10"/>
      <c r="AY144" s="10"/>
      <c r="AZ144" s="11"/>
      <c r="BA144" s="11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</row>
    <row r="145" ht="28" spans="1:99">
      <c r="A145" s="5"/>
      <c r="B145" s="5"/>
      <c r="C145" s="5" t="s">
        <v>242</v>
      </c>
      <c r="D145" s="5" t="s">
        <v>208</v>
      </c>
      <c r="E145" s="5" t="s">
        <v>55</v>
      </c>
      <c r="F145" s="5">
        <f t="shared" si="15"/>
        <v>571</v>
      </c>
      <c r="G145" s="30">
        <v>29.72</v>
      </c>
      <c r="H145" s="5">
        <f t="shared" si="13"/>
        <v>16970.12</v>
      </c>
      <c r="I145" s="6" t="s">
        <v>209</v>
      </c>
      <c r="J145" s="6" t="s">
        <v>210</v>
      </c>
      <c r="K145" s="6" t="s">
        <v>211</v>
      </c>
      <c r="L145" s="11">
        <v>132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>
        <v>88</v>
      </c>
      <c r="W145" s="11"/>
      <c r="X145" s="11"/>
      <c r="Y145" s="11"/>
      <c r="Z145" s="11">
        <v>31</v>
      </c>
      <c r="AA145" s="11"/>
      <c r="AB145" s="11"/>
      <c r="AC145" s="11"/>
      <c r="AD145" s="11">
        <v>161</v>
      </c>
      <c r="AE145" s="11">
        <v>47</v>
      </c>
      <c r="AF145" s="11"/>
      <c r="AG145" s="11">
        <v>13</v>
      </c>
      <c r="AH145" s="11">
        <v>56</v>
      </c>
      <c r="AI145" s="11"/>
      <c r="AJ145" s="11">
        <v>43</v>
      </c>
      <c r="AK145" s="11"/>
      <c r="AL145" s="11"/>
      <c r="AM145" s="11"/>
      <c r="AN145" s="11"/>
      <c r="AO145" s="11"/>
      <c r="AP145" s="11"/>
      <c r="AQ145" s="11"/>
      <c r="AR145" s="11"/>
      <c r="AS145" s="11"/>
      <c r="AT145" s="10"/>
      <c r="AU145" s="11"/>
      <c r="AV145" s="10"/>
      <c r="AW145" s="10"/>
      <c r="AX145" s="10"/>
      <c r="AY145" s="10"/>
      <c r="AZ145" s="11"/>
      <c r="BA145" s="11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</row>
    <row r="146" ht="28" spans="1:99">
      <c r="A146" s="5"/>
      <c r="B146" s="5" t="s">
        <v>312</v>
      </c>
      <c r="C146" s="5" t="s">
        <v>313</v>
      </c>
      <c r="D146" s="5" t="s">
        <v>119</v>
      </c>
      <c r="E146" s="5" t="s">
        <v>55</v>
      </c>
      <c r="F146" s="5">
        <f t="shared" si="15"/>
        <v>13</v>
      </c>
      <c r="G146" s="30">
        <v>360</v>
      </c>
      <c r="H146" s="5">
        <f t="shared" si="13"/>
        <v>4680</v>
      </c>
      <c r="I146" s="6" t="s">
        <v>185</v>
      </c>
      <c r="J146" s="6" t="s">
        <v>99</v>
      </c>
      <c r="K146" s="6" t="s">
        <v>186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>
        <v>3</v>
      </c>
      <c r="AE146" s="11">
        <v>3</v>
      </c>
      <c r="AF146" s="11"/>
      <c r="AG146" s="11"/>
      <c r="AH146" s="11"/>
      <c r="AI146" s="11"/>
      <c r="AJ146" s="11">
        <v>7</v>
      </c>
      <c r="AK146" s="11"/>
      <c r="AL146" s="11"/>
      <c r="AM146" s="11"/>
      <c r="AN146" s="11"/>
      <c r="AO146" s="11"/>
      <c r="AP146" s="11"/>
      <c r="AQ146" s="11"/>
      <c r="AR146" s="11"/>
      <c r="AS146" s="11"/>
      <c r="AT146" s="10"/>
      <c r="AU146" s="11"/>
      <c r="AV146" s="10"/>
      <c r="AW146" s="10"/>
      <c r="AX146" s="10"/>
      <c r="AY146" s="10"/>
      <c r="AZ146" s="11"/>
      <c r="BA146" s="11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</row>
    <row r="147" ht="28" spans="1:99">
      <c r="A147" s="5"/>
      <c r="B147" s="5"/>
      <c r="C147" s="5" t="s">
        <v>314</v>
      </c>
      <c r="D147" s="5"/>
      <c r="E147" s="5" t="s">
        <v>55</v>
      </c>
      <c r="F147" s="5">
        <f t="shared" si="15"/>
        <v>6</v>
      </c>
      <c r="G147" s="30">
        <v>360</v>
      </c>
      <c r="H147" s="5">
        <f t="shared" si="13"/>
        <v>2160</v>
      </c>
      <c r="I147" s="6" t="s">
        <v>254</v>
      </c>
      <c r="J147" s="6" t="s">
        <v>261</v>
      </c>
      <c r="K147" s="6" t="s">
        <v>262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>
        <v>2</v>
      </c>
      <c r="AE147" s="11">
        <v>2</v>
      </c>
      <c r="AF147" s="11"/>
      <c r="AG147" s="11"/>
      <c r="AH147" s="11"/>
      <c r="AI147" s="11"/>
      <c r="AJ147" s="11">
        <v>2</v>
      </c>
      <c r="AK147" s="11"/>
      <c r="AL147" s="11"/>
      <c r="AM147" s="11"/>
      <c r="AN147" s="11"/>
      <c r="AO147" s="11"/>
      <c r="AP147" s="11"/>
      <c r="AQ147" s="11"/>
      <c r="AR147" s="11"/>
      <c r="AS147" s="11"/>
      <c r="AT147" s="10"/>
      <c r="AU147" s="11"/>
      <c r="AV147" s="10"/>
      <c r="AW147" s="10"/>
      <c r="AX147" s="10"/>
      <c r="AY147" s="10"/>
      <c r="AZ147" s="11"/>
      <c r="BA147" s="11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</row>
    <row r="148" ht="28" spans="1:99">
      <c r="A148" s="5"/>
      <c r="B148" s="6" t="s">
        <v>315</v>
      </c>
      <c r="C148" s="6" t="s">
        <v>315</v>
      </c>
      <c r="D148" s="5" t="s">
        <v>97</v>
      </c>
      <c r="E148" s="5" t="s">
        <v>55</v>
      </c>
      <c r="F148" s="5">
        <f t="shared" si="15"/>
        <v>135.6</v>
      </c>
      <c r="G148" s="30">
        <v>330</v>
      </c>
      <c r="H148" s="5">
        <f t="shared" si="13"/>
        <v>44748</v>
      </c>
      <c r="I148" s="6" t="s">
        <v>98</v>
      </c>
      <c r="J148" s="6" t="s">
        <v>99</v>
      </c>
      <c r="K148" s="6" t="s">
        <v>316</v>
      </c>
      <c r="L148" s="11"/>
      <c r="M148" s="11"/>
      <c r="N148" s="11"/>
      <c r="O148" s="11">
        <v>13.6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>
        <v>7</v>
      </c>
      <c r="AC148" s="11">
        <v>7</v>
      </c>
      <c r="AD148" s="11">
        <v>27</v>
      </c>
      <c r="AE148" s="11">
        <v>20</v>
      </c>
      <c r="AF148" s="11">
        <v>7</v>
      </c>
      <c r="AG148" s="11"/>
      <c r="AH148" s="11">
        <v>34</v>
      </c>
      <c r="AI148" s="11"/>
      <c r="AJ148" s="11">
        <v>20</v>
      </c>
      <c r="AK148" s="11"/>
      <c r="AL148" s="11"/>
      <c r="AM148" s="11"/>
      <c r="AN148" s="11"/>
      <c r="AO148" s="11"/>
      <c r="AP148" s="11"/>
      <c r="AQ148" s="11"/>
      <c r="AR148" s="11"/>
      <c r="AS148" s="11"/>
      <c r="AT148" s="10"/>
      <c r="AU148" s="11"/>
      <c r="AV148" s="10"/>
      <c r="AW148" s="10"/>
      <c r="AX148" s="10"/>
      <c r="AY148" s="10"/>
      <c r="AZ148" s="11"/>
      <c r="BA148" s="11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</row>
    <row r="149" spans="1:99">
      <c r="A149" s="5"/>
      <c r="B149" s="6" t="s">
        <v>317</v>
      </c>
      <c r="C149" s="5" t="s">
        <v>318</v>
      </c>
      <c r="D149" s="5" t="s">
        <v>319</v>
      </c>
      <c r="E149" s="5" t="s">
        <v>55</v>
      </c>
      <c r="F149" s="5">
        <f t="shared" si="15"/>
        <v>3780</v>
      </c>
      <c r="G149" s="30">
        <v>330</v>
      </c>
      <c r="H149" s="5">
        <f t="shared" si="13"/>
        <v>1247400</v>
      </c>
      <c r="I149" s="6" t="s">
        <v>249</v>
      </c>
      <c r="J149" s="6" t="s">
        <v>250</v>
      </c>
      <c r="K149" s="6" t="s">
        <v>251</v>
      </c>
      <c r="L149" s="11">
        <v>948</v>
      </c>
      <c r="M149" s="11"/>
      <c r="N149" s="25">
        <v>1390</v>
      </c>
      <c r="O149" s="11"/>
      <c r="P149" s="11"/>
      <c r="Q149" s="11"/>
      <c r="R149" s="11"/>
      <c r="S149" s="11"/>
      <c r="T149" s="11"/>
      <c r="U149" s="11"/>
      <c r="V149" s="11"/>
      <c r="W149" s="11">
        <v>830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>
        <v>280</v>
      </c>
      <c r="AK149" s="11"/>
      <c r="AL149" s="11"/>
      <c r="AM149" s="11"/>
      <c r="AN149" s="11"/>
      <c r="AO149" s="11"/>
      <c r="AP149" s="11"/>
      <c r="AQ149" s="11"/>
      <c r="AR149" s="11"/>
      <c r="AS149" s="11"/>
      <c r="AT149" s="10"/>
      <c r="AU149" s="11"/>
      <c r="AV149" s="10"/>
      <c r="AW149" s="10"/>
      <c r="AX149" s="10"/>
      <c r="AY149" s="10"/>
      <c r="AZ149" s="11">
        <v>332</v>
      </c>
      <c r="BA149" s="11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</row>
    <row r="150" ht="28" spans="1:99">
      <c r="A150" s="5"/>
      <c r="B150" s="6" t="s">
        <v>320</v>
      </c>
      <c r="C150" s="5" t="s">
        <v>294</v>
      </c>
      <c r="D150" s="5" t="s">
        <v>119</v>
      </c>
      <c r="E150" s="5" t="s">
        <v>55</v>
      </c>
      <c r="F150" s="5">
        <f t="shared" si="15"/>
        <v>2306</v>
      </c>
      <c r="G150" s="30">
        <v>360</v>
      </c>
      <c r="H150" s="5">
        <f t="shared" si="13"/>
        <v>830160</v>
      </c>
      <c r="I150" s="6" t="s">
        <v>185</v>
      </c>
      <c r="J150" s="6" t="s">
        <v>99</v>
      </c>
      <c r="K150" s="6" t="s">
        <v>186</v>
      </c>
      <c r="L150" s="11"/>
      <c r="M150" s="11"/>
      <c r="N150" s="11"/>
      <c r="O150" s="11"/>
      <c r="P150" s="11"/>
      <c r="Q150" s="11"/>
      <c r="R150" s="11"/>
      <c r="S150" s="11"/>
      <c r="T150" s="11">
        <v>1642</v>
      </c>
      <c r="U150" s="11"/>
      <c r="V150" s="11"/>
      <c r="W150" s="11"/>
      <c r="X150" s="11"/>
      <c r="Y150" s="11"/>
      <c r="Z150" s="11"/>
      <c r="AA150" s="11">
        <v>207</v>
      </c>
      <c r="AB150" s="11">
        <v>391</v>
      </c>
      <c r="AC150" s="11"/>
      <c r="AD150" s="11"/>
      <c r="AE150" s="11"/>
      <c r="AF150" s="11"/>
      <c r="AG150" s="11"/>
      <c r="AH150" s="11">
        <v>66</v>
      </c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0"/>
      <c r="AU150" s="11"/>
      <c r="AV150" s="10"/>
      <c r="AW150" s="10"/>
      <c r="AX150" s="10"/>
      <c r="AY150" s="10"/>
      <c r="AZ150" s="11"/>
      <c r="BA150" s="11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</row>
    <row r="151" ht="28" spans="1:99">
      <c r="A151" s="5"/>
      <c r="B151" s="6"/>
      <c r="C151" s="5" t="s">
        <v>299</v>
      </c>
      <c r="D151" s="5"/>
      <c r="E151" s="5" t="s">
        <v>166</v>
      </c>
      <c r="F151" s="5">
        <f>(L151+M151+N151+O151+P151+Q151+R151+S151+T151+U151+V151+W151+X151+Y151+Z151+AA151+AB151+AC151+AD151+AE151+AF151+AG151+AH151+AI151+AJ151+AK151+AL151+AM151+AN151+AO151+AP151+AQ151+AR151+AS151+AT151+AU151+AV151+AW151+AX151+AY151+AZ151)/1000</f>
        <v>92.729</v>
      </c>
      <c r="G151" s="30">
        <v>1440.57</v>
      </c>
      <c r="H151" s="5">
        <f t="shared" si="13"/>
        <v>133582.61553</v>
      </c>
      <c r="I151" s="6" t="s">
        <v>167</v>
      </c>
      <c r="J151" s="6" t="s">
        <v>168</v>
      </c>
      <c r="K151" s="6" t="s">
        <v>169</v>
      </c>
      <c r="L151" s="11"/>
      <c r="M151" s="11"/>
      <c r="N151" s="11"/>
      <c r="O151" s="11"/>
      <c r="P151" s="11"/>
      <c r="Q151" s="11"/>
      <c r="R151" s="11"/>
      <c r="S151" s="11"/>
      <c r="T151" s="11">
        <v>65280</v>
      </c>
      <c r="U151" s="11"/>
      <c r="V151" s="11"/>
      <c r="W151" s="11"/>
      <c r="X151" s="11"/>
      <c r="Y151" s="11"/>
      <c r="Z151" s="11"/>
      <c r="AA151" s="11">
        <v>8190</v>
      </c>
      <c r="AB151" s="11">
        <v>15803</v>
      </c>
      <c r="AC151" s="11"/>
      <c r="AD151" s="11"/>
      <c r="AE151" s="11"/>
      <c r="AF151" s="11"/>
      <c r="AG151" s="11"/>
      <c r="AH151" s="11">
        <v>3456</v>
      </c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0"/>
      <c r="AU151" s="11"/>
      <c r="AV151" s="10"/>
      <c r="AW151" s="10"/>
      <c r="AX151" s="10"/>
      <c r="AY151" s="10"/>
      <c r="AZ151" s="11"/>
      <c r="BA151" s="11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</row>
    <row r="152" ht="41" spans="1:99">
      <c r="A152" s="5"/>
      <c r="B152" s="6"/>
      <c r="C152" s="5" t="s">
        <v>157</v>
      </c>
      <c r="D152" s="5"/>
      <c r="E152" s="5" t="s">
        <v>55</v>
      </c>
      <c r="F152" s="5">
        <f>L152+M152+N152+O152+P152+Q152+R152+S152+T152+U152+V152+W152+X152+Y152+Z152+AA152+AB152+AC152+AD152+AE152+AF152+AG152+AH152+AI152+AJ152+AK152+AL152+AM152+AN152+AO152+AP152+AQ152+AR152+AS152+AT152+AU152+AV152+AW152+AX152+AY152+AZ152</f>
        <v>3870</v>
      </c>
      <c r="G152" s="30">
        <v>18.91</v>
      </c>
      <c r="H152" s="5">
        <f t="shared" si="13"/>
        <v>73181.7</v>
      </c>
      <c r="I152" s="6" t="s">
        <v>75</v>
      </c>
      <c r="J152" s="6" t="s">
        <v>76</v>
      </c>
      <c r="K152" s="6" t="s">
        <v>77</v>
      </c>
      <c r="L152" s="11"/>
      <c r="M152" s="11"/>
      <c r="N152" s="11"/>
      <c r="O152" s="11"/>
      <c r="P152" s="11"/>
      <c r="Q152" s="11"/>
      <c r="R152" s="11"/>
      <c r="S152" s="11"/>
      <c r="T152" s="11">
        <v>2346</v>
      </c>
      <c r="U152" s="11"/>
      <c r="V152" s="11"/>
      <c r="W152" s="11"/>
      <c r="X152" s="11"/>
      <c r="Y152" s="11"/>
      <c r="Z152" s="11"/>
      <c r="AA152" s="11">
        <v>420</v>
      </c>
      <c r="AB152" s="11">
        <v>621</v>
      </c>
      <c r="AC152" s="11"/>
      <c r="AD152" s="11"/>
      <c r="AE152" s="11"/>
      <c r="AF152" s="11"/>
      <c r="AG152" s="11"/>
      <c r="AH152" s="11">
        <v>483</v>
      </c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0"/>
      <c r="AU152" s="11"/>
      <c r="AV152" s="10"/>
      <c r="AW152" s="10"/>
      <c r="AX152" s="10"/>
      <c r="AY152" s="10"/>
      <c r="AZ152" s="11"/>
      <c r="BA152" s="11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</row>
    <row r="153" ht="28" spans="1:99">
      <c r="A153" s="5"/>
      <c r="B153" s="6"/>
      <c r="C153" s="5" t="s">
        <v>242</v>
      </c>
      <c r="D153" s="5" t="s">
        <v>208</v>
      </c>
      <c r="E153" s="5" t="s">
        <v>55</v>
      </c>
      <c r="F153" s="5">
        <f>L153+M153+N153+O153+P153+Q153+R153+S153+T153+U153+V153+W153+X153+Y153+Z153+AA153+AB153+AC153+AD153+AE153+AF153+AG153+AH153+AI153+AJ153+AK153+AL153+AM153+AN153+AO153+AP153+AQ153+AR153+AS153+AT153+AU153+AV153+AW153+AX153+AY153+AZ153</f>
        <v>526</v>
      </c>
      <c r="G153" s="30">
        <v>29.72</v>
      </c>
      <c r="H153" s="5">
        <f t="shared" si="13"/>
        <v>15632.72</v>
      </c>
      <c r="I153" s="6" t="s">
        <v>209</v>
      </c>
      <c r="J153" s="6" t="s">
        <v>210</v>
      </c>
      <c r="K153" s="6" t="s">
        <v>211</v>
      </c>
      <c r="L153" s="11"/>
      <c r="M153" s="11"/>
      <c r="N153" s="11"/>
      <c r="O153" s="11"/>
      <c r="P153" s="11"/>
      <c r="Q153" s="11"/>
      <c r="R153" s="11"/>
      <c r="S153" s="11"/>
      <c r="T153" s="11">
        <v>265</v>
      </c>
      <c r="U153" s="11"/>
      <c r="V153" s="11"/>
      <c r="W153" s="11"/>
      <c r="X153" s="11"/>
      <c r="Y153" s="11"/>
      <c r="Z153" s="11"/>
      <c r="AA153" s="11">
        <v>39</v>
      </c>
      <c r="AB153" s="11">
        <v>71</v>
      </c>
      <c r="AC153" s="11"/>
      <c r="AD153" s="11"/>
      <c r="AE153" s="11"/>
      <c r="AF153" s="11"/>
      <c r="AG153" s="11"/>
      <c r="AH153" s="11">
        <v>151</v>
      </c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0"/>
      <c r="AU153" s="11"/>
      <c r="AV153" s="10"/>
      <c r="AW153" s="10"/>
      <c r="AX153" s="10"/>
      <c r="AY153" s="10"/>
      <c r="AZ153" s="11"/>
      <c r="BA153" s="11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</row>
    <row r="154" ht="34" customHeight="1" spans="1:99">
      <c r="B154" s="45" t="s">
        <v>321</v>
      </c>
      <c r="H154" s="46">
        <f>SUM(H3:H153)</f>
        <v>177488261.64606</v>
      </c>
    </row>
  </sheetData>
  <autoFilter xmlns:etc="http://www.wps.cn/officeDocument/2017/etCustomData" ref="A1:BB154" etc:filterBottomFollowUsedRange="0">
    <extLst/>
  </autoFilter>
  <mergeCells count="102">
    <mergeCell ref="C19:D19"/>
    <mergeCell ref="C20:D20"/>
    <mergeCell ref="C21:D21"/>
    <mergeCell ref="C22:D22"/>
    <mergeCell ref="C23:D23"/>
    <mergeCell ref="C24:D24"/>
    <mergeCell ref="C25:D25"/>
    <mergeCell ref="C35:D35"/>
    <mergeCell ref="C36:D36"/>
    <mergeCell ref="C43:D43"/>
    <mergeCell ref="C44:D44"/>
    <mergeCell ref="C64:D64"/>
    <mergeCell ref="C106:D106"/>
    <mergeCell ref="C114:D114"/>
    <mergeCell ref="B117:D117"/>
    <mergeCell ref="B118:D118"/>
    <mergeCell ref="C123:D123"/>
    <mergeCell ref="C124:D124"/>
    <mergeCell ref="C125:D125"/>
    <mergeCell ref="C126:D126"/>
    <mergeCell ref="C130:D130"/>
    <mergeCell ref="C131:D131"/>
    <mergeCell ref="C133:D133"/>
    <mergeCell ref="C134:D134"/>
    <mergeCell ref="C135:D135"/>
    <mergeCell ref="C140:D140"/>
    <mergeCell ref="C142:D142"/>
    <mergeCell ref="C147:D147"/>
    <mergeCell ref="C151:D151"/>
    <mergeCell ref="C152:D152"/>
    <mergeCell ref="A3:A18"/>
    <mergeCell ref="A19:A20"/>
    <mergeCell ref="A21:A116"/>
    <mergeCell ref="A117:A120"/>
    <mergeCell ref="A121:A153"/>
    <mergeCell ref="B3:B10"/>
    <mergeCell ref="B11:B15"/>
    <mergeCell ref="B16:B18"/>
    <mergeCell ref="B22:B25"/>
    <mergeCell ref="B27:B28"/>
    <mergeCell ref="B29:B30"/>
    <mergeCell ref="B31:B32"/>
    <mergeCell ref="B33:B34"/>
    <mergeCell ref="B35:B40"/>
    <mergeCell ref="B41:B42"/>
    <mergeCell ref="B43:B54"/>
    <mergeCell ref="B55:B63"/>
    <mergeCell ref="B64:B66"/>
    <mergeCell ref="B67:B69"/>
    <mergeCell ref="B70:B90"/>
    <mergeCell ref="B91:B110"/>
    <mergeCell ref="B111:B112"/>
    <mergeCell ref="B114:B116"/>
    <mergeCell ref="B119:B120"/>
    <mergeCell ref="B122:B129"/>
    <mergeCell ref="B130:B131"/>
    <mergeCell ref="B132:B136"/>
    <mergeCell ref="B137:B145"/>
    <mergeCell ref="B146:B147"/>
    <mergeCell ref="B150:B153"/>
    <mergeCell ref="C3:C4"/>
    <mergeCell ref="C5:C6"/>
    <mergeCell ref="C7:C8"/>
    <mergeCell ref="C11:C14"/>
    <mergeCell ref="C31:C32"/>
    <mergeCell ref="C33:C34"/>
    <mergeCell ref="C37:C38"/>
    <mergeCell ref="C39:C40"/>
    <mergeCell ref="C45:C47"/>
    <mergeCell ref="C48:C50"/>
    <mergeCell ref="C52:C53"/>
    <mergeCell ref="C56:C58"/>
    <mergeCell ref="C59:C61"/>
    <mergeCell ref="C62:C63"/>
    <mergeCell ref="C65:C66"/>
    <mergeCell ref="C67:C69"/>
    <mergeCell ref="C72:C73"/>
    <mergeCell ref="C74:C75"/>
    <mergeCell ref="C80:C82"/>
    <mergeCell ref="C85:C88"/>
    <mergeCell ref="C91:C93"/>
    <mergeCell ref="C95:C98"/>
    <mergeCell ref="C99:C101"/>
    <mergeCell ref="C102:C103"/>
    <mergeCell ref="C107:C108"/>
    <mergeCell ref="C109:C110"/>
    <mergeCell ref="C115:C116"/>
    <mergeCell ref="C127:C128"/>
    <mergeCell ref="C137:C138"/>
    <mergeCell ref="E1:E2"/>
    <mergeCell ref="F1:F2"/>
    <mergeCell ref="I1:I2"/>
    <mergeCell ref="I107:I108"/>
    <mergeCell ref="I130:I131"/>
    <mergeCell ref="J1:J2"/>
    <mergeCell ref="J107:J108"/>
    <mergeCell ref="J130:J131"/>
    <mergeCell ref="K1:K2"/>
    <mergeCell ref="K107:K108"/>
    <mergeCell ref="K130:K131"/>
    <mergeCell ref="BA1:BA2"/>
    <mergeCell ref="A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中华人民共和国国务院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区间路基附属 工程量会总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萝卜</dc:creator>
  <cp:lastModifiedBy>scad</cp:lastModifiedBy>
  <dcterms:created xsi:type="dcterms:W3CDTF">2026-01-12T11:26:00Z</dcterms:created>
  <dcterms:modified xsi:type="dcterms:W3CDTF">2026-04-19T09:57:14Z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B6BBA5DCA03F061B7A36E46953242DEE_43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