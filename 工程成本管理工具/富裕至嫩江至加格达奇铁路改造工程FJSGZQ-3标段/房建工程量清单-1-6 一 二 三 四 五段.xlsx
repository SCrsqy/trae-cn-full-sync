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22240" tabRatio="614"/>
  </bookViews>
  <sheets>
    <sheet name="第一区段" sheetId="9" r:id="rId1"/>
    <sheet name="第二区段" sheetId="4" r:id="rId2"/>
    <sheet name="第三区段" sheetId="5" r:id="rId3"/>
    <sheet name="第四区段" sheetId="10" r:id="rId4"/>
    <sheet name="第五区段" sheetId="11" r:id="rId5"/>
  </sheets>
  <definedNames>
    <definedName name="_xlnm._FilterDatabase" localSheetId="1" hidden="1">第二区段!$A$3:$T$399</definedName>
    <definedName name="_xlnm._FilterDatabase" localSheetId="2" hidden="1">第三区段!$A$4:$H$227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<sst xmlns="http://schemas.openxmlformats.org/spreadsheetml/2006/main" count="3803" uniqueCount="559">
  <si>
    <t>（2）已标价工程量清单章节表</t>
  </si>
  <si>
    <t>房屋名称</t>
  </si>
  <si>
    <r>
      <rPr>
        <sz val="10.5"/>
        <color rgb="FF000000"/>
        <rFont val="宋体"/>
        <charset val="134"/>
      </rPr>
      <t>序号</t>
    </r>
  </si>
  <si>
    <r>
      <rPr>
        <sz val="10.5"/>
        <color rgb="FF000000"/>
        <rFont val="宋体"/>
        <charset val="134"/>
      </rPr>
      <t>子目编码</t>
    </r>
  </si>
  <si>
    <r>
      <rPr>
        <sz val="10.5"/>
        <color rgb="FF000000"/>
        <rFont val="宋体"/>
        <charset val="134"/>
      </rPr>
      <t>名称</t>
    </r>
  </si>
  <si>
    <r>
      <rPr>
        <sz val="10.5"/>
        <color rgb="FF000000"/>
        <rFont val="宋体"/>
        <charset val="134"/>
      </rPr>
      <t>计量单位</t>
    </r>
  </si>
  <si>
    <r>
      <rPr>
        <sz val="10.5"/>
        <color rgb="FF000000"/>
        <rFont val="宋体"/>
        <charset val="134"/>
      </rPr>
      <t>工程数量</t>
    </r>
  </si>
  <si>
    <t>不含税金额</t>
  </si>
  <si>
    <r>
      <rPr>
        <sz val="10.5"/>
        <color rgb="FF000000"/>
        <rFont val="宋体"/>
        <charset val="134"/>
      </rPr>
      <t>综合单价</t>
    </r>
  </si>
  <si>
    <r>
      <rPr>
        <sz val="10.5"/>
        <color rgb="FF000000"/>
        <rFont val="宋体"/>
        <charset val="134"/>
      </rPr>
      <t>合价</t>
    </r>
  </si>
  <si>
    <t>红外轴温探测站（杨木山）（K54+465）</t>
  </si>
  <si>
    <t>12）红外轴温探测站（杨木山）（K54+465）</t>
  </si>
  <si>
    <t>平方米</t>
  </si>
  <si>
    <t>①基础</t>
  </si>
  <si>
    <t>2201030902170101</t>
  </si>
  <si>
    <t>A.砖石基础</t>
  </si>
  <si>
    <t>立方米</t>
  </si>
  <si>
    <t>2201030902170102</t>
  </si>
  <si>
    <t>B.钢筋混凝土基础</t>
  </si>
  <si>
    <t>圬工方</t>
  </si>
  <si>
    <t>②结构</t>
  </si>
  <si>
    <t>2201030902170202</t>
  </si>
  <si>
    <t>B.框架结构</t>
  </si>
  <si>
    <t>③装饰</t>
  </si>
  <si>
    <t>④屋面</t>
  </si>
  <si>
    <t>⑤地基处理</t>
  </si>
  <si>
    <t>2201030902170501</t>
  </si>
  <si>
    <t>A.基底填筑（垫层）</t>
  </si>
  <si>
    <t>220103090217050102</t>
  </si>
  <si>
    <t>b.填筑砂石</t>
  </si>
  <si>
    <t>22010309021705010201</t>
  </si>
  <si>
    <t>（a）填砂</t>
  </si>
  <si>
    <t>220103090217050103</t>
  </si>
  <si>
    <t>c.换填</t>
  </si>
  <si>
    <t>硬化面</t>
  </si>
  <si>
    <t>（三）道路及硬化面</t>
  </si>
  <si>
    <t>5.硬化面</t>
  </si>
  <si>
    <t>信号楼（杨木山）</t>
  </si>
  <si>
    <t>（24）信号楼（杨木山）</t>
  </si>
  <si>
    <t>2201030229050102</t>
  </si>
  <si>
    <t>220103022905010201</t>
  </si>
  <si>
    <t>2201030229050103</t>
  </si>
  <si>
    <t>杨木山（给排水、消防）</t>
  </si>
  <si>
    <t>26.杨木山（给排水、消防）</t>
  </si>
  <si>
    <t>（1）信号楼</t>
  </si>
  <si>
    <t>杨木山杨木山（采暖）</t>
  </si>
  <si>
    <t>26.杨木山（采暖）</t>
  </si>
  <si>
    <t>26.杨木山（通风、空调）</t>
  </si>
  <si>
    <t>红外轴温探测站（杨木山）（K55+900）</t>
  </si>
  <si>
    <t>12）红外轴温探测站（杨木山）（K55+900）</t>
  </si>
  <si>
    <t>（2）红外线轴温探测站</t>
  </si>
  <si>
    <t>锅炉房（杨木山站）</t>
  </si>
  <si>
    <t>3.锅炉房（杨木山站）</t>
  </si>
  <si>
    <t>（2）建筑装饰改造</t>
  </si>
  <si>
    <t>K61+000RRU机房</t>
  </si>
  <si>
    <t>（1）区间 RRU 机房一(K61+000RRU机房)</t>
  </si>
  <si>
    <t>2201030106050102</t>
  </si>
  <si>
    <t>220103010605010201</t>
  </si>
  <si>
    <t>2201030106050103</t>
  </si>
  <si>
    <t>22.区间（通风、空调）</t>
  </si>
  <si>
    <t>（4）区间 RRU 机房一（K61+000RRU机房）</t>
  </si>
  <si>
    <t>K67+100RRU机房</t>
  </si>
  <si>
    <t>1.通信房屋(K67+100RRU机房)</t>
  </si>
  <si>
    <t>（1）区间 RRU 机房一</t>
  </si>
  <si>
    <t>（4）区间 RRU 机房一（K67+100RRU机房）</t>
  </si>
  <si>
    <t>K69+930区间网开关控制室</t>
  </si>
  <si>
    <t>（8）网隔开关控制室（区间）</t>
  </si>
  <si>
    <t>2201030613050102</t>
  </si>
  <si>
    <t>220103061305010201</t>
  </si>
  <si>
    <t>2201030613050103</t>
  </si>
  <si>
    <t>（2）区间网隔开关控制室一</t>
  </si>
  <si>
    <t>信号楼（达拉滨）</t>
  </si>
  <si>
    <t>（25）信号楼（达拉滨）</t>
  </si>
  <si>
    <t>2201030230050102</t>
  </si>
  <si>
    <t>220103023005010201</t>
  </si>
  <si>
    <t>2201030230050103</t>
  </si>
  <si>
    <t>27.达拉滨（给排水、消防）</t>
  </si>
  <si>
    <t>27.达拉滨（采暖）</t>
  </si>
  <si>
    <t>27.达拉滨（通风、空调）</t>
  </si>
  <si>
    <t>锅炉房（达拉滨）</t>
  </si>
  <si>
    <t>4.锅炉房（达拉滨站）</t>
  </si>
  <si>
    <t>K78+800RRU机房</t>
  </si>
  <si>
    <t>1.通信房屋(K78+800RRU机房)</t>
  </si>
  <si>
    <t>（4）区间 RRU 机房一（K78+800RRU机房）</t>
  </si>
  <si>
    <t>红外轴温探测站（大杨树东）（K84+510）</t>
  </si>
  <si>
    <t>13）红外轴温探测站（大杨树东）（K84+510）</t>
  </si>
  <si>
    <t>2201030902180101</t>
  </si>
  <si>
    <t>2201030902180102</t>
  </si>
  <si>
    <t>2201030902180202</t>
  </si>
  <si>
    <t>2201030902180501</t>
  </si>
  <si>
    <t>220103090218050102</t>
  </si>
  <si>
    <t>22010309021805010201</t>
  </si>
  <si>
    <t>220103090218050103</t>
  </si>
  <si>
    <t>28.大杨树东（通风、空调）</t>
  </si>
  <si>
    <t>信号楼（大杨树东）</t>
  </si>
  <si>
    <t>（26）信号楼（大杨树东）</t>
  </si>
  <si>
    <t>2201030231050102</t>
  </si>
  <si>
    <t>220103023105010201</t>
  </si>
  <si>
    <t>2201030231050103</t>
  </si>
  <si>
    <t>28.大杨树东（给排水、消防）</t>
  </si>
  <si>
    <t>28.大杨树东（采暖）</t>
  </si>
  <si>
    <t>（3）货运楼</t>
  </si>
  <si>
    <t>红外轴温探测站（大杨树东）（K86+470）</t>
  </si>
  <si>
    <t>13）红外轴温探测站（大杨树东）（K86+470）</t>
  </si>
  <si>
    <t>锅炉房（大杨树东站）</t>
  </si>
  <si>
    <t>锅炉房（大杨树东货运）</t>
  </si>
  <si>
    <t>22010408</t>
  </si>
  <si>
    <t>5.锅炉房（大杨树东站）</t>
  </si>
  <si>
    <t>2201040802</t>
  </si>
  <si>
    <t>6.锅炉房（大杨树东货运）</t>
  </si>
  <si>
    <t>信号楼（大杨树）</t>
  </si>
  <si>
    <t>（27）信号楼（大杨树）</t>
  </si>
  <si>
    <t>2201030232050102</t>
  </si>
  <si>
    <t>轨道车库及边跨（大杨树）</t>
  </si>
  <si>
    <t>220103023205010201</t>
  </si>
  <si>
    <t>2201030232050103</t>
  </si>
  <si>
    <t>（19）轨道车库及边跨（大杨树）</t>
  </si>
  <si>
    <t>2201031024050102</t>
  </si>
  <si>
    <t>接触网工区综合办公楼（大杨树）</t>
  </si>
  <si>
    <t>220103102405010201</t>
  </si>
  <si>
    <t>2201031024050103</t>
  </si>
  <si>
    <t>5.接触网工区综合办公楼（大杨树）</t>
  </si>
  <si>
    <t>2202011005010201</t>
  </si>
  <si>
    <t>绿化</t>
  </si>
  <si>
    <t>（七）绿化（美化）</t>
  </si>
  <si>
    <t>1.栽植花草</t>
  </si>
  <si>
    <t>锅炉房（大杨树房建工区）</t>
  </si>
  <si>
    <t>7.锅炉房（大杨树房建工区）</t>
  </si>
  <si>
    <t>锅炉房（大杨树二货运）</t>
  </si>
  <si>
    <t>13.锅炉房（大杨树二货运）</t>
  </si>
  <si>
    <t>既有 10KV 配电所（大杨树站）</t>
  </si>
  <si>
    <t>15.既有 10KV 配电所（大杨树站）</t>
  </si>
  <si>
    <t>储油间（大杨树）</t>
  </si>
  <si>
    <t>（20）储油间（大杨树）</t>
  </si>
  <si>
    <t>2201031025050102</t>
  </si>
  <si>
    <t>220103102505010201</t>
  </si>
  <si>
    <t>2201031025050103</t>
  </si>
  <si>
    <t>门卫（大杨树）</t>
  </si>
  <si>
    <t>（21）门卫（大杨树）</t>
  </si>
  <si>
    <t>2201031026050102</t>
  </si>
  <si>
    <t>220103102605010201</t>
  </si>
  <si>
    <t>2201031026050103</t>
  </si>
  <si>
    <t>大杨树（给排水、消防）</t>
  </si>
  <si>
    <t>29.大杨树（给排水、消防）</t>
  </si>
  <si>
    <t>（2）10KV 配电所</t>
  </si>
  <si>
    <t>（4）轨道车库及边跨</t>
  </si>
  <si>
    <t>（5）接触网工区办公及宿舍</t>
  </si>
  <si>
    <t>（7）门卫</t>
  </si>
  <si>
    <t>大杨树（采暖）</t>
  </si>
  <si>
    <t>29.大杨树（采暖）</t>
  </si>
  <si>
    <t>（6）储油间</t>
  </si>
  <si>
    <t>2203023008</t>
  </si>
  <si>
    <t>（8）二货运锅炉房</t>
  </si>
  <si>
    <t>（9）接触网工区新建锅炉房</t>
  </si>
  <si>
    <t>（10）房建工区锅炉房</t>
  </si>
  <si>
    <t>大杨树（通风、空调）</t>
  </si>
  <si>
    <t>29.大杨树（通风、空调）</t>
  </si>
  <si>
    <t>2203033008</t>
  </si>
  <si>
    <t>（8）既有 10KV 配电所装修</t>
  </si>
  <si>
    <t>K93+192牵引变电所</t>
  </si>
  <si>
    <t>（12）牵引变电所（区间）</t>
  </si>
  <si>
    <t>2201030617050102</t>
  </si>
  <si>
    <t>220103061705010201</t>
  </si>
  <si>
    <t>2201030617050103</t>
  </si>
  <si>
    <t>K93+192水源井泵房</t>
  </si>
  <si>
    <t>（6）区间水源井泵房一</t>
  </si>
  <si>
    <t>2201030711050103</t>
  </si>
  <si>
    <t>区间（给排水、消防）</t>
  </si>
  <si>
    <t>22.区间（给排水、消防）</t>
  </si>
  <si>
    <t>（1）区间牵引变电所一</t>
  </si>
  <si>
    <t>（3）区间水源井泵房一</t>
  </si>
  <si>
    <t>区间（通风、空调）</t>
  </si>
  <si>
    <t>室外给水消防</t>
  </si>
  <si>
    <t>序号</t>
  </si>
  <si>
    <t>子目编码</t>
  </si>
  <si>
    <t>名称</t>
  </si>
  <si>
    <t>计量单位</t>
  </si>
  <si>
    <t>工程数量</t>
  </si>
  <si>
    <t>综合单价</t>
  </si>
  <si>
    <t>合价</t>
  </si>
  <si>
    <t>杨木山站信号楼</t>
  </si>
  <si>
    <t>给排水</t>
  </si>
  <si>
    <t>正线公里</t>
  </si>
  <si>
    <t>一、给水</t>
  </si>
  <si>
    <t>元</t>
  </si>
  <si>
    <t>Ⅰ.建筑工程费</t>
  </si>
  <si>
    <t>（二）管道</t>
  </si>
  <si>
    <t>米</t>
  </si>
  <si>
    <t>4.聚乙烯（PE）管</t>
  </si>
  <si>
    <t>Ⅱ.安装工程费</t>
  </si>
  <si>
    <t>（一）设备安装</t>
  </si>
  <si>
    <t>二、排水</t>
  </si>
  <si>
    <t>（一）管道</t>
  </si>
  <si>
    <t>4.双壁波纹管（HDPE）管</t>
  </si>
  <si>
    <t>（三）其他建筑物</t>
  </si>
  <si>
    <t>座</t>
  </si>
  <si>
    <t>1.化粪池</t>
  </si>
  <si>
    <t>（2）容积≥10 立方米</t>
  </si>
  <si>
    <t>达拉滨站信号楼</t>
  </si>
  <si>
    <t xml:space="preserve"> 大杨树东站信号楼</t>
  </si>
  <si>
    <t>大杨树区间牵引变电所</t>
  </si>
  <si>
    <t>（一）水源</t>
  </si>
  <si>
    <t>处</t>
  </si>
  <si>
    <t>1.管井</t>
  </si>
  <si>
    <t>（三）建筑物</t>
  </si>
  <si>
    <t>2.蓄水池</t>
  </si>
  <si>
    <t>大杨树新建接触网工区</t>
  </si>
  <si>
    <t>2.球墨铸铁管</t>
  </si>
  <si>
    <t>2.混凝土管</t>
  </si>
  <si>
    <t>大杨树车站信号楼</t>
  </si>
  <si>
    <t>1.钢管</t>
  </si>
  <si>
    <t>杨木山站K54+465红外轴温探测站</t>
  </si>
  <si>
    <t>八、车辆 5T 及车号自动识别设备</t>
  </si>
  <si>
    <t>（一）车辆行车安全监控系统</t>
  </si>
  <si>
    <t>1.设备基础工程</t>
  </si>
  <si>
    <t>杨木山站K55+900红外轴温探测站</t>
  </si>
  <si>
    <t>大杨树东站K84+510红外轴温探测站</t>
  </si>
  <si>
    <t>大杨树东站K86+470红外轴温探测站</t>
  </si>
  <si>
    <t>K98+370RRU机房</t>
  </si>
  <si>
    <t>1.通信房屋(K98+370RRU机房)</t>
  </si>
  <si>
    <t>（4）区间 RRU 机房一（K98+370RRU机房）</t>
  </si>
  <si>
    <t>信号楼（春亭阁）</t>
  </si>
  <si>
    <t>（28）信号楼（春亭阁）</t>
  </si>
  <si>
    <t>2201030233050102</t>
  </si>
  <si>
    <t>220103023305010201</t>
  </si>
  <si>
    <t>2201030233050103</t>
  </si>
  <si>
    <t>30.春亭阁（给排水、消防）</t>
  </si>
  <si>
    <t>30.春亭阁（采暖）</t>
  </si>
  <si>
    <t>30.春亭阁（通风、空调）</t>
  </si>
  <si>
    <t>锅炉房（春亭阁站）</t>
  </si>
  <si>
    <t>8.锅炉房（春亭阁站）</t>
  </si>
  <si>
    <t>K103+500RRU机房</t>
  </si>
  <si>
    <t>1.通信房屋(K103+500RRU机房)</t>
  </si>
  <si>
    <t>（4）区间 RRU 机房一（K103+500RRU机房）</t>
  </si>
  <si>
    <t>K106+900RRU机房</t>
  </si>
  <si>
    <t>1.通信房屋(K106+900RRU机房)</t>
  </si>
  <si>
    <t>（4）区间 RRU 机房一（K106+900RRU机房）</t>
  </si>
  <si>
    <t>K111+300RRU机房</t>
  </si>
  <si>
    <t>1.通信房屋(K111+300RRU机房)</t>
  </si>
  <si>
    <t>（4）区间 RRU 机房一（K111+300RRU机房）</t>
  </si>
  <si>
    <t>K114+100RRU机房</t>
  </si>
  <si>
    <t>1.通信房屋(K114+100RRU机房)</t>
  </si>
  <si>
    <t>（4）区间 RRU 机房一（K114+100RRU机房）</t>
  </si>
  <si>
    <t>K114+203区间网开关控制室</t>
  </si>
  <si>
    <t>K115+970红外轴温探测站（乌鲁布铁）</t>
  </si>
  <si>
    <t>14）红外轴温探测站（乌鲁布铁）</t>
  </si>
  <si>
    <t>2201030902190101</t>
  </si>
  <si>
    <t>2201030902190102</t>
  </si>
  <si>
    <t>2201030902190202</t>
  </si>
  <si>
    <t>2201030902190501</t>
  </si>
  <si>
    <t>220103090219050102</t>
  </si>
  <si>
    <t>22010309021905010201</t>
  </si>
  <si>
    <t>220103090219050103</t>
  </si>
  <si>
    <t>（5）红外线轴温探测站</t>
  </si>
  <si>
    <t>K116+56 10KV 配电所（乌鲁布铁）</t>
  </si>
  <si>
    <t>（7）10KV 配电所（乌鲁布铁）</t>
  </si>
  <si>
    <t>2201030512050102</t>
  </si>
  <si>
    <t>220103051205010201</t>
  </si>
  <si>
    <t>2201030512050103</t>
  </si>
  <si>
    <t>K116+657信号楼（乌鲁布铁）</t>
  </si>
  <si>
    <t>（29）信号楼（乌鲁布铁）</t>
  </si>
  <si>
    <t>2201030234050102</t>
  </si>
  <si>
    <t>220103023405010201</t>
  </si>
  <si>
    <t>2201030234050103</t>
  </si>
  <si>
    <t>锅炉房（乌鲁布铁站）</t>
  </si>
  <si>
    <t>9.锅炉房（乌鲁布铁站）</t>
  </si>
  <si>
    <t>给排水、消防</t>
  </si>
  <si>
    <t>31.乌鲁布铁（给排水、消防）</t>
  </si>
  <si>
    <t>采暖</t>
  </si>
  <si>
    <t>31.乌鲁布铁（采暖）</t>
  </si>
  <si>
    <t>通风、空调</t>
  </si>
  <si>
    <t>31.乌鲁布铁（通风、空调）</t>
  </si>
  <si>
    <t>（3）红外线轴温探测站</t>
  </si>
  <si>
    <t>K119+072RRU机房</t>
  </si>
  <si>
    <t>1.通信房屋(K119+072RRU机房)</t>
  </si>
  <si>
    <t>（4）区间 RRU 机房一（K119+072RRU机房）</t>
  </si>
  <si>
    <t>K120+300红外轴温探测站（区间）</t>
  </si>
  <si>
    <t>16）红外轴温探测站（区间）（K120+300）</t>
  </si>
  <si>
    <t>2201030902210101</t>
  </si>
  <si>
    <t>2201030902210102</t>
  </si>
  <si>
    <t>2201030902210202</t>
  </si>
  <si>
    <t>2201030902210501</t>
  </si>
  <si>
    <t>220103090221050102</t>
  </si>
  <si>
    <t>22010309022105010201</t>
  </si>
  <si>
    <t>220103090221050103</t>
  </si>
  <si>
    <t>K123+700RRU机房</t>
  </si>
  <si>
    <t>1.通信房屋（K123+700RRU机房)</t>
  </si>
  <si>
    <t>（4）区间 RRU 机房一（K123+700RRU机房）</t>
  </si>
  <si>
    <t>K127+400RRU机房</t>
  </si>
  <si>
    <t>1.通信房屋（K127+400RRU机房)</t>
  </si>
  <si>
    <t>（4）区间 RRU 机房一（K127+400RRU机房）</t>
  </si>
  <si>
    <t>K131+100区间网开关控制室</t>
  </si>
  <si>
    <t>K133+711水源井泵房(朝阳村)</t>
  </si>
  <si>
    <t>（7）水源井泵房（朝阳村）</t>
  </si>
  <si>
    <t>2201030712050102</t>
  </si>
  <si>
    <t>220103071205010201</t>
  </si>
  <si>
    <t>2201030712050103</t>
  </si>
  <si>
    <t>K133+711牵引变电所</t>
  </si>
  <si>
    <t>（11）牵引变电所（朝阳村）</t>
  </si>
  <si>
    <t>2201030616050102</t>
  </si>
  <si>
    <t>220103061605010201</t>
  </si>
  <si>
    <t>2201030616050103</t>
  </si>
  <si>
    <t>K134+118信号综合房屋</t>
  </si>
  <si>
    <t>（30）信号楼（朝阳村）</t>
  </si>
  <si>
    <t>2201030235050102</t>
  </si>
  <si>
    <t>220103023505010201</t>
  </si>
  <si>
    <t>2201030235050103</t>
  </si>
  <si>
    <t>锅炉房</t>
  </si>
  <si>
    <t>11.锅炉房（朝阳村站）</t>
  </si>
  <si>
    <t>32.朝阳村（给排水、消防）</t>
  </si>
  <si>
    <t>（2）牵引变电所</t>
  </si>
  <si>
    <t>（3）水源井泵房</t>
  </si>
  <si>
    <t>32.朝阳村（采暖）</t>
  </si>
  <si>
    <t>32.朝阳村（通风、空调）</t>
  </si>
  <si>
    <t>K135+800RRU机房</t>
  </si>
  <si>
    <t>1.通信房屋（K135+800RRU机房)</t>
  </si>
  <si>
    <t>（4）区间 RRU 机房一（K135+800RRU机房）</t>
  </si>
  <si>
    <t>K137+750RRU机房</t>
  </si>
  <si>
    <t>1.通信房屋（K137+750RRU机房)</t>
  </si>
  <si>
    <t>（4）区间 RRU 机房一（K137+750RRU机房）</t>
  </si>
  <si>
    <t>K139+500RRU机房</t>
  </si>
  <si>
    <t>1.通信房屋（K139+500RRU机房)</t>
  </si>
  <si>
    <t>（4）区间 RRU 机房一（K139+500RRU机房）</t>
  </si>
  <si>
    <t>K142+500RRU机房</t>
  </si>
  <si>
    <t>1.通信房屋（K142+500RRU机房)</t>
  </si>
  <si>
    <t>（4）区间 RRU 机房一（K142+500RRU机房）</t>
  </si>
  <si>
    <t>K144+300RRU机房</t>
  </si>
  <si>
    <t>1.通信房屋（K144+300RRU机房)</t>
  </si>
  <si>
    <t>（4）区间 RRU 机房一（K144+300RRU机房）</t>
  </si>
  <si>
    <t>K146+300RRU机房</t>
  </si>
  <si>
    <t>1.通信房屋（K146+300RRU机房)</t>
  </si>
  <si>
    <t>（4）区间 RRU 机房一（K146+300RRU机房）</t>
  </si>
  <si>
    <t>春亭阁站信号楼</t>
  </si>
  <si>
    <t>乌鲁布铁站信号楼、10KV配电所</t>
  </si>
  <si>
    <t>朝阳村站信号楼</t>
  </si>
  <si>
    <t>朝阳村牵引变电所</t>
  </si>
  <si>
    <t>讷尔克气站信号楼</t>
  </si>
  <si>
    <t>乌鲁布铁站K115+970红外轴温探测站</t>
  </si>
  <si>
    <t>K120+300（右侧）红外轴温探测室</t>
  </si>
  <si>
    <t>K149+700红外轴温探测站（讷尔克气）</t>
  </si>
  <si>
    <t>15）红外轴温探测站（讷尔克气）</t>
  </si>
  <si>
    <t>2201030902200101</t>
  </si>
  <si>
    <t>2201030902200102</t>
  </si>
  <si>
    <t>2201030902200202</t>
  </si>
  <si>
    <t>2201030902200501</t>
  </si>
  <si>
    <t>220103090220050102</t>
  </si>
  <si>
    <t>22010309022005010201</t>
  </si>
  <si>
    <t>220103090220050103</t>
  </si>
  <si>
    <t>K150+601信号楼（讷尔克气）</t>
  </si>
  <si>
    <t>（31）信号楼（讷尔克气）</t>
  </si>
  <si>
    <t>2201030236050102</t>
  </si>
  <si>
    <t>220103023605010201</t>
  </si>
  <si>
    <t>2201030236050103</t>
  </si>
  <si>
    <t>讷尔克气（给排水、消防）</t>
  </si>
  <si>
    <t>33.讷尔克气（给排水、消防）</t>
  </si>
  <si>
    <t>讷尔克气（采暖）</t>
  </si>
  <si>
    <t>33.讷尔克气（采暖）</t>
  </si>
  <si>
    <t>讷尔克气（通风、空调）</t>
  </si>
  <si>
    <t>33.讷尔克气（通风、空调）</t>
  </si>
  <si>
    <t>锅炉房（讷尔克气站）</t>
  </si>
  <si>
    <t>12.锅炉房（讷尔克气站）</t>
  </si>
  <si>
    <t>K151+860RRU机房</t>
  </si>
  <si>
    <t>1.通信房屋（K151+860RRU机房)</t>
  </si>
  <si>
    <t>（4）区间 RRU 机房一（K151+860RRU机房）</t>
  </si>
  <si>
    <t>K155+000红外轴温探测站（区间）</t>
  </si>
  <si>
    <t>16）红外轴温探测站（区间）（K155+000）</t>
  </si>
  <si>
    <t>K155+200RRU机房</t>
  </si>
  <si>
    <t>1.通信房屋（K155+200RRU机房)</t>
  </si>
  <si>
    <t>（4）区间 RRU 机房一（K155+200RRU机房）</t>
  </si>
  <si>
    <t>（8）网隔开关控制室（区间）(K69+930区间网开关控制室)</t>
  </si>
  <si>
    <t>K161+600RRU机房</t>
  </si>
  <si>
    <t>1.通信房屋（K161+600RRU机房)</t>
  </si>
  <si>
    <t>（4）区间 RRU 机房一（K161+600RRU机房）</t>
  </si>
  <si>
    <t>K163+875新建信号综合房屋</t>
  </si>
  <si>
    <t>（18）信号楼（白桦排）</t>
  </si>
  <si>
    <t>2201030223050103</t>
  </si>
  <si>
    <t>18.白桦排（给排水、消防）</t>
  </si>
  <si>
    <t>18.白桦排（通风、空调）</t>
  </si>
  <si>
    <t>K168+050RRU机房</t>
  </si>
  <si>
    <t>1.通信房屋（K168+050RRU机房)</t>
  </si>
  <si>
    <t>（4）区间 RRU 机房一（K168+050RRU机房）</t>
  </si>
  <si>
    <t>K172+700RRU机房</t>
  </si>
  <si>
    <t>1.通信房屋（K172+700RRU机房)</t>
  </si>
  <si>
    <t>（4）区间 RRU 机房一（K172+700RRU机房）</t>
  </si>
  <si>
    <t>K174+986.67新建信号综合房屋</t>
  </si>
  <si>
    <t>（19）信号楼（加南）</t>
  </si>
  <si>
    <t>2201030224050103</t>
  </si>
  <si>
    <t>19.加南（给排水、消防）</t>
  </si>
  <si>
    <t>19.加南（采暖）</t>
  </si>
  <si>
    <t>19.加南（通风、空调）</t>
  </si>
  <si>
    <t>K176+350TADS/TPDS机房</t>
  </si>
  <si>
    <t>7）TADS 机房、TPDS 机房（加南）</t>
  </si>
  <si>
    <t>2201030902120102</t>
  </si>
  <si>
    <t>2201030902120202</t>
  </si>
  <si>
    <t>2201030902120501</t>
  </si>
  <si>
    <t>220103090212050103</t>
  </si>
  <si>
    <t>（2）TADS-TPDS 机房</t>
  </si>
  <si>
    <t>锅炉房（加南）</t>
  </si>
  <si>
    <t>25.锅炉房（加南）</t>
  </si>
  <si>
    <t>K178+950RRU机房</t>
  </si>
  <si>
    <t>1.通信房屋（K178+950RRU机房)</t>
  </si>
  <si>
    <t>（4）区间 RRU 机房一（K178+950RRU机房）</t>
  </si>
  <si>
    <t>K182+991.9RRU机房</t>
  </si>
  <si>
    <t>1.通信房屋（K182+991.9RRU机房)</t>
  </si>
  <si>
    <t>（4）区间 RRU 机房一（K182+991.9RRU机房）</t>
  </si>
  <si>
    <t>白桦排站信号楼</t>
  </si>
  <si>
    <t>加南站信号楼</t>
  </si>
  <si>
    <t>讷尔克气站K149+700红外轴温探测站</t>
  </si>
  <si>
    <t>K155+000（右侧）红外轴温探测室</t>
  </si>
  <si>
    <t>K176+330既有TFDS设备增加图像自动识别功能，无设备基础</t>
  </si>
  <si>
    <t>红外线车号综合探测站（加格达奇）</t>
  </si>
  <si>
    <t>6）红外线车号综合探测站（加格达奇）</t>
  </si>
  <si>
    <t>2201030902110102</t>
  </si>
  <si>
    <t>2201030902110202</t>
  </si>
  <si>
    <t>2201030902110501</t>
  </si>
  <si>
    <t>220103090211050103</t>
  </si>
  <si>
    <t>机务段整备棚（加格达奇）</t>
  </si>
  <si>
    <t>220103080201</t>
  </si>
  <si>
    <t>1）机务段整备棚（加格达奇）</t>
  </si>
  <si>
    <t>22010308020101</t>
  </si>
  <si>
    <t>2201030802010102</t>
  </si>
  <si>
    <t>22010308020102</t>
  </si>
  <si>
    <t>2201030802010202</t>
  </si>
  <si>
    <t>22010308020103</t>
  </si>
  <si>
    <t>22010308020104</t>
  </si>
  <si>
    <t>22010308020105</t>
  </si>
  <si>
    <t>2201030802010501</t>
  </si>
  <si>
    <t>220103080201050103</t>
  </si>
  <si>
    <t>机务段整备综合楼及附属房屋（加格达奇）</t>
  </si>
  <si>
    <t>220103080203</t>
  </si>
  <si>
    <t>1）机务段整备综合楼及附属房屋（加格达奇）</t>
  </si>
  <si>
    <t>22010308020301</t>
  </si>
  <si>
    <t>2201030802030102</t>
  </si>
  <si>
    <t>22010308020302</t>
  </si>
  <si>
    <t>2201030802030202</t>
  </si>
  <si>
    <t>22010308020303</t>
  </si>
  <si>
    <t>22010308020304</t>
  </si>
  <si>
    <t>22010308020305</t>
  </si>
  <si>
    <t>2201030802030501</t>
  </si>
  <si>
    <t>220103080203050103</t>
  </si>
  <si>
    <t>热网管道</t>
  </si>
  <si>
    <t>（五）热网管道</t>
  </si>
  <si>
    <t>1.管道</t>
  </si>
  <si>
    <t>机务段轮对检测间（加格达奇）</t>
  </si>
  <si>
    <t>220103080202</t>
  </si>
  <si>
    <t>2）机务段轮对检测间（加格达奇）</t>
  </si>
  <si>
    <t>22010308020201</t>
  </si>
  <si>
    <t>2201030802020102</t>
  </si>
  <si>
    <t>22010308020202</t>
  </si>
  <si>
    <t>2201030802020202</t>
  </si>
  <si>
    <t>22010308020203</t>
  </si>
  <si>
    <t>22010308020204</t>
  </si>
  <si>
    <t>22010308020205</t>
  </si>
  <si>
    <t>2201030802020501</t>
  </si>
  <si>
    <t>220103080202050103</t>
  </si>
  <si>
    <t>卸污机房（加格达奇）</t>
  </si>
  <si>
    <t>（1）卸污机房（加格达奇）</t>
  </si>
  <si>
    <t>2201030706050103</t>
  </si>
  <si>
    <t>公安派出所（加格达奇）</t>
  </si>
  <si>
    <t>（1）公安派出所（加格达奇）</t>
  </si>
  <si>
    <t>2201031206050103</t>
  </si>
  <si>
    <t>围墙</t>
  </si>
  <si>
    <t>（四）围墙</t>
  </si>
  <si>
    <t>1.实体围墙</t>
  </si>
  <si>
    <t>信号楼（加格达奇）</t>
  </si>
  <si>
    <t>（20）信号楼（加格达奇）</t>
  </si>
  <si>
    <t>2201030225050102</t>
  </si>
  <si>
    <t>220103022505010201</t>
  </si>
  <si>
    <t>2201030225050103</t>
  </si>
  <si>
    <t>F.其他地基处理方式</t>
  </si>
  <si>
    <t>2201030225050605</t>
  </si>
  <si>
    <t>e.钢支撑</t>
  </si>
  <si>
    <t>吨</t>
  </si>
  <si>
    <t>超偏载控制室（加格达奇）</t>
  </si>
  <si>
    <t>（15）超偏载控制室（加格达奇）</t>
  </si>
  <si>
    <t>2201031020050103</t>
  </si>
  <si>
    <t>红外线车号综合探测站（加格达奇）(K187+430（左）)</t>
  </si>
  <si>
    <t>6）红外线车号综合探测站（加格达奇）(K187+430（左）)</t>
  </si>
  <si>
    <t>红外线车号综合探测站（加格达奇）(K187+430（右）)</t>
  </si>
  <si>
    <t>6）红外线车号综合探测站（加格达奇）(K187+430（右）)</t>
  </si>
  <si>
    <t>门卫（加格达奇）</t>
  </si>
  <si>
    <t>（14）门卫（加格达奇）</t>
  </si>
  <si>
    <t>2201031019050103</t>
  </si>
  <si>
    <t>储油间（加格达奇）</t>
  </si>
  <si>
    <t>（13）储油间（加格达奇）</t>
  </si>
  <si>
    <t>2201031018050103</t>
  </si>
  <si>
    <t>20.加格达奇（通风、空调）</t>
  </si>
  <si>
    <t>（2）公安派出所</t>
  </si>
  <si>
    <t>2203032108</t>
  </si>
  <si>
    <t>（8）超偏载控制室</t>
  </si>
  <si>
    <t>（9）红外线车号综合探测站</t>
  </si>
  <si>
    <t>（11）机务段轮对检测间</t>
  </si>
  <si>
    <t>（12）卸污机房</t>
  </si>
  <si>
    <t>加格达奇（给排水、消防）</t>
  </si>
  <si>
    <t>20.加格达奇（给排水、消防）</t>
  </si>
  <si>
    <t>2203012107</t>
  </si>
  <si>
    <t>（10）机务段整备棚</t>
  </si>
  <si>
    <t>20.加格达奇（采暖）</t>
  </si>
  <si>
    <t>2203022108</t>
  </si>
  <si>
    <t>5#区间牵引变电所</t>
  </si>
  <si>
    <t>（6）5#区间牵引变电所</t>
  </si>
  <si>
    <t>2201030611050103</t>
  </si>
  <si>
    <t>水源井泵房（区间）</t>
  </si>
  <si>
    <t>（8）水源井泵房（区间）</t>
  </si>
  <si>
    <t>2201030713050102</t>
  </si>
  <si>
    <t>220103071305010201</t>
  </si>
  <si>
    <t>2201030713050103</t>
  </si>
  <si>
    <t>因施工现场场地条件受限，引发多项施工工序无法按原方案实施，产生各类额外费用，具体如下：
1. 场地空间不足致材料无法直运施工点位，产生材料二次转运额外人工费；
2. 现场条件不满足塔吊安装要求，塔吊无法正常投入使用，进一步增加人工转运成本；
3. 现场无钢筋加工区域，需场外加工后运输至现场，产生钢筋场外加工费、成品二次转运费及配套人工费；
4. 现场无堆土条件，土石方需外运至9公里外场地堆放，回填时再二次运回，产生往返运输、装卸及机械台班等额外费用；
5. 现场未设置工人住宿区域，需在外租赁宿舍，产生房屋租赁费及工人通勤相关费用。
以上均为非施工单位原因造成的施工额外支出</t>
  </si>
  <si>
    <t>加格达奇站机务段整备棚、还建机务段整备综合楼及附属房屋</t>
  </si>
  <si>
    <t>7.防护涵管</t>
  </si>
  <si>
    <t>2.沉淀池</t>
  </si>
  <si>
    <t>加格达奇站轮对检测间</t>
  </si>
  <si>
    <t>8.聚乙烯（PE）管</t>
  </si>
  <si>
    <t>6.污（雨）水泵站</t>
  </si>
  <si>
    <t>加格达奇站站房</t>
  </si>
  <si>
    <t>加格达奇站站台、信号楼、公安派出所</t>
  </si>
  <si>
    <t>机务</t>
  </si>
  <si>
    <t>一、机务段</t>
  </si>
  <si>
    <t>（一）整备设备</t>
  </si>
  <si>
    <t>2.生产车间内的建筑</t>
  </si>
  <si>
    <t>（1）整备场</t>
  </si>
  <si>
    <t>（9）油脂（水）发放间</t>
  </si>
  <si>
    <t>5.受电弓测试装置</t>
  </si>
  <si>
    <t>2.生产车间</t>
  </si>
  <si>
    <t>（三）室外工艺管道</t>
  </si>
  <si>
    <t>1.管道工程</t>
  </si>
  <si>
    <t>三、整备所</t>
  </si>
  <si>
    <t>（三）检修地沟</t>
  </si>
  <si>
    <t>临时过渡站房</t>
  </si>
  <si>
    <t>加格达奇牵引变电所</t>
  </si>
  <si>
    <t>2.大口井</t>
  </si>
  <si>
    <t>雨水泵站</t>
  </si>
  <si>
    <t>加格达奇站K184+088还建红外线车号综合探测站</t>
  </si>
  <si>
    <t>（二）车号自动识别系统（ATIS）</t>
  </si>
  <si>
    <t>加格达奇站K187+430（左）还建红外线车号综合探测站</t>
  </si>
  <si>
    <t>加格达奇站K187+430（右）还建红外线车号综合探测站</t>
  </si>
  <si>
    <t>加格达奇既有客车技术整备所</t>
  </si>
  <si>
    <t>车辆</t>
  </si>
  <si>
    <t>三、客车技术整备所</t>
  </si>
  <si>
    <t>（二）生产车间内的建筑</t>
  </si>
  <si>
    <t>7.客车技术整备场</t>
  </si>
  <si>
    <t>（二）生产车间</t>
  </si>
  <si>
    <t>K183接触网工区办公及宿舍楼</t>
  </si>
  <si>
    <t>（1）轨道车库及边跨（加格达奇）</t>
  </si>
  <si>
    <t>2201031006050103</t>
  </si>
  <si>
    <t>1.接触网工区办公楼及宿舍（加格达奇）</t>
  </si>
  <si>
    <t>2202010605010201</t>
  </si>
  <si>
    <t>热望管道</t>
  </si>
  <si>
    <t>K185+5001OKV配电所</t>
  </si>
  <si>
    <t>（5）10KV 配电所（加格达奇）</t>
  </si>
  <si>
    <t>2201030510050103</t>
  </si>
  <si>
    <t>既有 10KV 配电所（加格达奇）</t>
  </si>
  <si>
    <t>26.既有 10KV 配电所（加格达奇）</t>
  </si>
  <si>
    <t>（3）10KV 配电所</t>
  </si>
  <si>
    <t>（16）既有 10KV 配电所装修</t>
  </si>
  <si>
    <t>（14）既有 10KV 配电所</t>
  </si>
  <si>
    <t>（13）机务段整备综合楼及附属房屋</t>
  </si>
  <si>
    <t>加格达奇站10KV配电所</t>
  </si>
  <si>
    <t>加格达奇站接触网工区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</si>
</sst>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"/>
    <numFmt numFmtId="179" formatCode="0.000_ "/>
  </numFmts>
  <fonts count="39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0.5"/>
      <color rgb="FF000000"/>
      <name val="宋体"/>
      <charset val="134"/>
    </font>
    <font>
      <sz val="9"/>
      <name val="宋体"/>
      <charset val="134"/>
    </font>
    <font>
      <b/>
      <sz val="11"/>
      <color rgb="FF000000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9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rgb="FF000000"/>
      <name val="宋体"/>
      <charset val="134"/>
    </font>
    <font>
      <b/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0" fillId="6" borderId="9" applyNumberForma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right" vertical="center" wrapText="1"/>
    </xf>
    <xf numFmtId="176" fontId="1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/>
    </xf>
    <xf numFmtId="177" fontId="1" fillId="0" borderId="0" xfId="0" applyNumberFormat="1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right" vertical="center" wrapText="1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right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righ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top" wrapText="1"/>
    </xf>
    <xf numFmtId="178" fontId="1" fillId="0" borderId="1" xfId="0" applyNumberFormat="1" applyFont="1" applyFill="1" applyBorder="1" applyAlignment="1">
      <alignment horizontal="right" vertical="center" wrapText="1"/>
    </xf>
    <xf numFmtId="176" fontId="7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176" fontId="8" fillId="0" borderId="0" xfId="0" applyNumberFormat="1" applyFont="1">
      <alignment vertical="center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176" fontId="7" fillId="0" borderId="0" xfId="0" applyNumberFormat="1" applyFont="1" applyFill="1" applyAlignment="1">
      <alignment horizontal="left" vertical="top"/>
    </xf>
    <xf numFmtId="176" fontId="2" fillId="0" borderId="0" xfId="0" applyNumberFormat="1" applyFont="1" applyFill="1" applyAlignment="1">
      <alignment horizontal="left" vertical="top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6" fontId="7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176" fontId="7" fillId="0" borderId="1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right" vertical="center" wrapText="1"/>
    </xf>
    <xf numFmtId="176" fontId="8" fillId="3" borderId="1" xfId="0" applyNumberFormat="1" applyFont="1" applyFill="1" applyBorder="1">
      <alignment vertical="center"/>
    </xf>
    <xf numFmtId="176" fontId="8" fillId="0" borderId="1" xfId="0" applyNumberFormat="1" applyFont="1" applyBorder="1">
      <alignment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7" fontId="10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76" fontId="13" fillId="0" borderId="3" xfId="0" applyNumberFormat="1" applyFont="1" applyBorder="1" applyAlignment="1">
      <alignment horizontal="center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right" vertical="center" wrapText="1"/>
    </xf>
    <xf numFmtId="176" fontId="13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righ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top" wrapText="1"/>
    </xf>
    <xf numFmtId="177" fontId="10" fillId="0" borderId="1" xfId="0" applyNumberFormat="1" applyFont="1" applyBorder="1" applyAlignment="1">
      <alignment horizontal="right" vertical="center" wrapText="1"/>
    </xf>
    <xf numFmtId="178" fontId="10" fillId="0" borderId="1" xfId="0" applyNumberFormat="1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0" fillId="0" borderId="0" xfId="0" applyFill="1">
      <alignment vertical="center"/>
    </xf>
    <xf numFmtId="177" fontId="11" fillId="0" borderId="1" xfId="0" applyNumberFormat="1" applyFont="1" applyBorder="1" applyAlignment="1">
      <alignment horizontal="left" vertical="center" wrapText="1"/>
    </xf>
    <xf numFmtId="176" fontId="11" fillId="0" borderId="1" xfId="0" applyNumberFormat="1" applyFont="1" applyBorder="1" applyAlignment="1">
      <alignment horizontal="right" vertical="center" wrapText="1"/>
    </xf>
    <xf numFmtId="0" fontId="5" fillId="0" borderId="0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176" fontId="16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 wrapText="1"/>
    </xf>
    <xf numFmtId="176" fontId="18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right" vertical="center" wrapText="1"/>
    </xf>
    <xf numFmtId="176" fontId="1" fillId="0" borderId="0" xfId="0" applyNumberFormat="1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right" vertical="center" wrapText="1"/>
    </xf>
    <xf numFmtId="2" fontId="1" fillId="0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75BD42"/>
        </patternFill>
      </fill>
    </dxf>
    <dxf>
      <fill>
        <patternFill patternType="solid"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9"/>
  <sheetViews>
    <sheetView tabSelected="1" zoomScale="130" zoomScaleNormal="130" workbookViewId="0">
      <selection activeCell="G449" sqref="G449"/>
    </sheetView>
  </sheetViews>
  <sheetFormatPr defaultColWidth="9" defaultRowHeight="16.8"/>
  <cols>
    <col min="1" max="1" width="12.75" style="2" customWidth="1"/>
    <col min="2" max="2" width="9" style="2"/>
    <col min="3" max="3" width="16.375" style="2" customWidth="1"/>
    <col min="4" max="4" width="21.25" style="2" customWidth="1"/>
    <col min="5" max="5" width="9" style="2"/>
    <col min="6" max="6" width="12.5" style="128" customWidth="1"/>
    <col min="7" max="7" width="11.3365384615385" style="3"/>
    <col min="8" max="8" width="14.4423076923077" style="3"/>
    <col min="9" max="9" width="15.5480769230769" style="43" customWidth="1"/>
    <col min="10" max="16382" width="9" style="2"/>
  </cols>
  <sheetData>
    <row r="1" s="2" customFormat="1" ht="20.4" spans="1:10">
      <c r="A1" s="129" t="s">
        <v>0</v>
      </c>
      <c r="B1" s="130"/>
      <c r="C1" s="130"/>
      <c r="D1" s="130"/>
      <c r="E1" s="130"/>
      <c r="F1" s="131"/>
      <c r="G1" s="132"/>
      <c r="H1" s="132"/>
      <c r="I1" s="43"/>
    </row>
    <row r="2" s="2" customFormat="1" spans="1:10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133" t="s">
        <v>6</v>
      </c>
      <c r="G2" s="134" t="s">
        <v>7</v>
      </c>
      <c r="H2" s="134"/>
      <c r="I2" s="43"/>
    </row>
    <row r="3" s="2" customFormat="1" spans="1:10">
      <c r="A3" s="7"/>
      <c r="B3" s="8"/>
      <c r="C3" s="8"/>
      <c r="D3" s="8"/>
      <c r="E3" s="8"/>
      <c r="F3" s="133"/>
      <c r="G3" s="9" t="s">
        <v>8</v>
      </c>
      <c r="H3" s="9" t="s">
        <v>9</v>
      </c>
      <c r="I3" s="43"/>
    </row>
    <row r="4" s="2" customFormat="1" spans="1:10">
      <c r="A4" s="7"/>
      <c r="B4" s="8"/>
      <c r="C4" s="8"/>
      <c r="D4" s="8"/>
      <c r="E4" s="8"/>
      <c r="F4" s="133"/>
      <c r="G4" s="9"/>
      <c r="H4" s="9">
        <f>H5+H18+H20+H33+H39+H52+H54+H56+H58+H73+H89+H104+H123+H125+H141+H156+H158+H178+H191+H193+H195+H197+H199+H212+H225+H238+H240+H242+H244+H246+H259+H272+H278+H287+H294+H296+H309+H319+H322+H35+H37+H71+H87+H102+H117+H119+H121+H139+H171+H173+H176</f>
        <v>25934135.5445601</v>
      </c>
      <c r="I4" s="43"/>
      <c r="J4" s="2">
        <v>0.96</v>
      </c>
    </row>
    <row r="5" s="2" customFormat="1" ht="28" spans="1:10">
      <c r="A5" s="7" t="s">
        <v>10</v>
      </c>
      <c r="B5" s="7">
        <v>867</v>
      </c>
      <c r="C5" s="16">
        <v>220103090217</v>
      </c>
      <c r="D5" s="17" t="s">
        <v>11</v>
      </c>
      <c r="E5" s="18" t="s">
        <v>12</v>
      </c>
      <c r="F5" s="19">
        <f>F6</f>
        <v>14.05</v>
      </c>
      <c r="G5" s="20"/>
      <c r="H5" s="135">
        <f>H6+H9+H11+H12+H13</f>
        <v>210008.0264688</v>
      </c>
      <c r="I5" s="43"/>
    </row>
    <row r="6" s="2" customFormat="1" spans="1:10">
      <c r="A6" s="7"/>
      <c r="B6" s="7">
        <v>868</v>
      </c>
      <c r="C6" s="16">
        <v>22010309021701</v>
      </c>
      <c r="D6" s="17" t="s">
        <v>13</v>
      </c>
      <c r="E6" s="18" t="s">
        <v>12</v>
      </c>
      <c r="F6" s="19">
        <v>14.05</v>
      </c>
      <c r="G6" s="2">
        <v>4061.27417813541</v>
      </c>
      <c r="H6" s="20">
        <f>G6*F6</f>
        <v>57060.9022028025</v>
      </c>
      <c r="I6" s="43"/>
    </row>
    <row r="7" s="2" customFormat="1" spans="1:10">
      <c r="A7" s="7"/>
      <c r="B7" s="7">
        <v>869</v>
      </c>
      <c r="C7" s="17" t="s">
        <v>14</v>
      </c>
      <c r="D7" s="17" t="s">
        <v>15</v>
      </c>
      <c r="E7" s="18" t="s">
        <v>16</v>
      </c>
      <c r="F7" s="19">
        <v>0.38</v>
      </c>
      <c r="G7" s="20">
        <f>H7/F7</f>
        <v>345.36861859591</v>
      </c>
      <c r="H7" s="20">
        <f>0.0023*H6</f>
        <v>131.240075066446</v>
      </c>
      <c r="I7" s="43"/>
    </row>
    <row r="8" s="2" customFormat="1" spans="1:10">
      <c r="A8" s="7"/>
      <c r="B8" s="7">
        <v>870</v>
      </c>
      <c r="C8" s="17" t="s">
        <v>17</v>
      </c>
      <c r="D8" s="17" t="s">
        <v>18</v>
      </c>
      <c r="E8" s="18" t="s">
        <v>19</v>
      </c>
      <c r="F8" s="19">
        <v>17.8</v>
      </c>
      <c r="G8" s="20">
        <f>H8/F8</f>
        <v>3198.29562515371</v>
      </c>
      <c r="H8" s="20">
        <f>H6-H7</f>
        <v>56929.662127736</v>
      </c>
      <c r="I8" s="43"/>
    </row>
    <row r="9" s="2" customFormat="1" spans="1:10">
      <c r="A9" s="7"/>
      <c r="B9" s="7">
        <v>871</v>
      </c>
      <c r="C9" s="16">
        <v>22010309021702</v>
      </c>
      <c r="D9" s="17" t="s">
        <v>20</v>
      </c>
      <c r="E9" s="18" t="s">
        <v>12</v>
      </c>
      <c r="F9" s="19">
        <v>14.05</v>
      </c>
      <c r="G9" s="2">
        <v>1043.90695193963</v>
      </c>
      <c r="H9" s="20">
        <f t="shared" ref="H9:H14" si="0">G9*F9</f>
        <v>14666.8926747517</v>
      </c>
      <c r="I9" s="43"/>
    </row>
    <row r="10" s="2" customFormat="1" spans="1:10">
      <c r="A10" s="7"/>
      <c r="B10" s="7">
        <v>872</v>
      </c>
      <c r="C10" s="17" t="s">
        <v>21</v>
      </c>
      <c r="D10" s="17" t="s">
        <v>22</v>
      </c>
      <c r="E10" s="18" t="s">
        <v>12</v>
      </c>
      <c r="F10" s="19">
        <v>14.05</v>
      </c>
      <c r="G10" s="20">
        <f>H9/F10</f>
        <v>1043.90695193963</v>
      </c>
      <c r="H10" s="20">
        <f t="shared" si="0"/>
        <v>14666.8926747517</v>
      </c>
      <c r="I10" s="43"/>
    </row>
    <row r="11" s="2" customFormat="1" spans="1:10">
      <c r="A11" s="7"/>
      <c r="B11" s="7">
        <v>873</v>
      </c>
      <c r="C11" s="16">
        <v>22010309021703</v>
      </c>
      <c r="D11" s="17" t="s">
        <v>23</v>
      </c>
      <c r="E11" s="18" t="s">
        <v>12</v>
      </c>
      <c r="F11" s="19">
        <v>14.05</v>
      </c>
      <c r="G11" s="2">
        <v>2367.22271167352</v>
      </c>
      <c r="H11" s="20">
        <f t="shared" si="0"/>
        <v>33259.479099013</v>
      </c>
      <c r="I11" s="43"/>
    </row>
    <row r="12" s="2" customFormat="1" spans="1:10">
      <c r="A12" s="7"/>
      <c r="B12" s="7">
        <v>874</v>
      </c>
      <c r="C12" s="16">
        <v>22010309021704</v>
      </c>
      <c r="D12" s="17" t="s">
        <v>24</v>
      </c>
      <c r="E12" s="18" t="s">
        <v>12</v>
      </c>
      <c r="F12" s="19">
        <v>14.05</v>
      </c>
      <c r="G12" s="2">
        <v>333.892937624973</v>
      </c>
      <c r="H12" s="20">
        <f t="shared" si="0"/>
        <v>4691.19577363088</v>
      </c>
      <c r="I12" s="43"/>
    </row>
    <row r="13" s="2" customFormat="1" spans="1:10">
      <c r="A13" s="7"/>
      <c r="B13" s="7">
        <v>875</v>
      </c>
      <c r="C13" s="16">
        <v>22010309021705</v>
      </c>
      <c r="D13" s="17" t="s">
        <v>25</v>
      </c>
      <c r="E13" s="18" t="s">
        <v>12</v>
      </c>
      <c r="F13" s="19">
        <v>14.05</v>
      </c>
      <c r="G13" s="2">
        <v>7140.89371662647</v>
      </c>
      <c r="H13" s="20">
        <f t="shared" si="0"/>
        <v>100329.556718602</v>
      </c>
      <c r="I13" s="43"/>
    </row>
    <row r="14" s="2" customFormat="1" spans="1:10">
      <c r="A14" s="7"/>
      <c r="B14" s="7">
        <v>876</v>
      </c>
      <c r="C14" s="17" t="s">
        <v>26</v>
      </c>
      <c r="D14" s="17" t="s">
        <v>27</v>
      </c>
      <c r="E14" s="18" t="s">
        <v>16</v>
      </c>
      <c r="F14" s="19">
        <v>8.45</v>
      </c>
      <c r="G14" s="20">
        <f>H13/F14</f>
        <v>11873.320321728</v>
      </c>
      <c r="H14" s="20">
        <f t="shared" si="0"/>
        <v>100329.556718602</v>
      </c>
      <c r="I14" s="43"/>
    </row>
    <row r="15" s="2" customFormat="1" spans="1:10">
      <c r="A15" s="7"/>
      <c r="B15" s="7">
        <v>877</v>
      </c>
      <c r="C15" s="17" t="s">
        <v>28</v>
      </c>
      <c r="D15" s="17" t="s">
        <v>29</v>
      </c>
      <c r="E15" s="18" t="s">
        <v>16</v>
      </c>
      <c r="F15" s="19">
        <v>8.45</v>
      </c>
      <c r="G15" s="20">
        <f>H15/F15</f>
        <v>201.846445469377</v>
      </c>
      <c r="H15" s="20">
        <f>0.017*H14</f>
        <v>1705.60246421623</v>
      </c>
      <c r="I15" s="43"/>
    </row>
    <row r="16" s="2" customFormat="1" ht="28" spans="1:10">
      <c r="A16" s="7"/>
      <c r="B16" s="7">
        <v>878</v>
      </c>
      <c r="C16" s="17" t="s">
        <v>30</v>
      </c>
      <c r="D16" s="17" t="s">
        <v>31</v>
      </c>
      <c r="E16" s="18" t="s">
        <v>16</v>
      </c>
      <c r="F16" s="19">
        <v>8.45</v>
      </c>
      <c r="G16" s="20">
        <f>G15</f>
        <v>201.846445469377</v>
      </c>
      <c r="H16" s="20">
        <f>H15</f>
        <v>1705.60246421623</v>
      </c>
      <c r="I16" s="43"/>
    </row>
    <row r="17" s="2" customFormat="1" spans="1:9">
      <c r="A17" s="7"/>
      <c r="B17" s="7">
        <v>879</v>
      </c>
      <c r="C17" s="17" t="s">
        <v>32</v>
      </c>
      <c r="D17" s="17" t="s">
        <v>33</v>
      </c>
      <c r="E17" s="18" t="s">
        <v>16</v>
      </c>
      <c r="F17" s="19">
        <v>870</v>
      </c>
      <c r="G17" s="20">
        <v>106.1</v>
      </c>
      <c r="H17" s="20">
        <f>H14-H15</f>
        <v>98623.9542543857</v>
      </c>
      <c r="I17" s="43"/>
    </row>
    <row r="18" s="2" customFormat="1" spans="1:9">
      <c r="A18" s="7" t="s">
        <v>34</v>
      </c>
      <c r="B18" s="7">
        <v>1222</v>
      </c>
      <c r="C18" s="16">
        <v>220403</v>
      </c>
      <c r="D18" s="17" t="s">
        <v>35</v>
      </c>
      <c r="E18" s="18" t="s">
        <v>12</v>
      </c>
      <c r="F18" s="19">
        <f>F19</f>
        <v>162</v>
      </c>
      <c r="G18" s="20"/>
      <c r="H18" s="20">
        <v>19509.23</v>
      </c>
      <c r="I18" s="43"/>
    </row>
    <row r="19" s="2" customFormat="1" spans="1:9">
      <c r="A19" s="7"/>
      <c r="B19" s="7">
        <v>1223</v>
      </c>
      <c r="C19" s="16">
        <v>22040305</v>
      </c>
      <c r="D19" s="17" t="s">
        <v>36</v>
      </c>
      <c r="E19" s="18" t="s">
        <v>12</v>
      </c>
      <c r="F19" s="19">
        <v>162</v>
      </c>
      <c r="G19" s="20">
        <v>120.43</v>
      </c>
      <c r="H19" s="20">
        <v>19509.23</v>
      </c>
      <c r="I19" s="43"/>
    </row>
    <row r="20" s="2" customFormat="1" spans="1:9">
      <c r="A20" s="7" t="s">
        <v>37</v>
      </c>
      <c r="B20" s="7">
        <v>578</v>
      </c>
      <c r="C20" s="16">
        <v>2201030229</v>
      </c>
      <c r="D20" s="17" t="s">
        <v>38</v>
      </c>
      <c r="E20" s="18" t="s">
        <v>12</v>
      </c>
      <c r="F20" s="19">
        <f>F21</f>
        <v>595.35</v>
      </c>
      <c r="G20" s="20"/>
      <c r="H20" s="135">
        <f>H21+H24+H26+H27+H28</f>
        <v>2155282.831296</v>
      </c>
      <c r="I20" s="43"/>
    </row>
    <row r="21" s="2" customFormat="1" spans="1:9">
      <c r="A21" s="7"/>
      <c r="B21" s="7">
        <v>579</v>
      </c>
      <c r="C21" s="16">
        <v>220103022901</v>
      </c>
      <c r="D21" s="17" t="s">
        <v>13</v>
      </c>
      <c r="E21" s="18" t="s">
        <v>12</v>
      </c>
      <c r="F21" s="19">
        <v>595.35</v>
      </c>
      <c r="G21" s="2">
        <v>1019.33283848112</v>
      </c>
      <c r="H21" s="20">
        <f>G21*F21</f>
        <v>606859.805389735</v>
      </c>
      <c r="I21" s="43"/>
    </row>
    <row r="22" s="2" customFormat="1" spans="1:9">
      <c r="A22" s="7"/>
      <c r="B22" s="7">
        <v>580</v>
      </c>
      <c r="C22" s="16">
        <v>22010302290101</v>
      </c>
      <c r="D22" s="17" t="s">
        <v>15</v>
      </c>
      <c r="E22" s="18" t="s">
        <v>16</v>
      </c>
      <c r="F22" s="19">
        <v>17.21</v>
      </c>
      <c r="G22" s="20">
        <f>H22/F22</f>
        <v>345.568047229483</v>
      </c>
      <c r="H22" s="20">
        <f>0.0098*H21</f>
        <v>5947.2260928194</v>
      </c>
      <c r="I22" s="43"/>
    </row>
    <row r="23" s="2" customFormat="1" spans="1:9">
      <c r="A23" s="7"/>
      <c r="B23" s="7">
        <v>581</v>
      </c>
      <c r="C23" s="16">
        <v>22010302290102</v>
      </c>
      <c r="D23" s="17" t="s">
        <v>18</v>
      </c>
      <c r="E23" s="18" t="s">
        <v>19</v>
      </c>
      <c r="F23" s="19">
        <v>480.6</v>
      </c>
      <c r="G23" s="20">
        <f>H23/F23</f>
        <v>1250.33828401356</v>
      </c>
      <c r="H23" s="20">
        <f>H21-H22</f>
        <v>600912.579296915</v>
      </c>
      <c r="I23" s="43"/>
    </row>
    <row r="24" s="2" customFormat="1" spans="1:9">
      <c r="A24" s="7"/>
      <c r="B24" s="7">
        <v>582</v>
      </c>
      <c r="C24" s="16">
        <v>220103022902</v>
      </c>
      <c r="D24" s="17" t="s">
        <v>20</v>
      </c>
      <c r="E24" s="18" t="s">
        <v>12</v>
      </c>
      <c r="F24" s="19">
        <v>595.35</v>
      </c>
      <c r="G24" s="2">
        <v>916.249224348561</v>
      </c>
      <c r="H24" s="20">
        <f t="shared" ref="H24:H29" si="1">G24*F24</f>
        <v>545488.975715916</v>
      </c>
      <c r="I24" s="43"/>
    </row>
    <row r="25" s="2" customFormat="1" spans="1:9">
      <c r="A25" s="7"/>
      <c r="B25" s="7">
        <v>583</v>
      </c>
      <c r="C25" s="16">
        <v>22010302290202</v>
      </c>
      <c r="D25" s="17" t="s">
        <v>22</v>
      </c>
      <c r="E25" s="18" t="s">
        <v>12</v>
      </c>
      <c r="F25" s="19">
        <v>595.35</v>
      </c>
      <c r="G25" s="20">
        <f>H24/F25</f>
        <v>916.249224348561</v>
      </c>
      <c r="H25" s="20">
        <f t="shared" si="1"/>
        <v>545488.975715916</v>
      </c>
      <c r="I25" s="43"/>
    </row>
    <row r="26" s="2" customFormat="1" spans="1:9">
      <c r="A26" s="7"/>
      <c r="B26" s="7">
        <v>584</v>
      </c>
      <c r="C26" s="16">
        <v>220103022903</v>
      </c>
      <c r="D26" s="17" t="s">
        <v>23</v>
      </c>
      <c r="E26" s="18" t="s">
        <v>12</v>
      </c>
      <c r="F26" s="19">
        <v>595.35</v>
      </c>
      <c r="G26" s="2">
        <v>1103.35049822234</v>
      </c>
      <c r="H26" s="20">
        <f t="shared" si="1"/>
        <v>656879.71911667</v>
      </c>
      <c r="I26" s="43"/>
    </row>
    <row r="27" s="2" customFormat="1" spans="1:9">
      <c r="A27" s="7"/>
      <c r="B27" s="7">
        <v>585</v>
      </c>
      <c r="C27" s="16">
        <v>220103022904</v>
      </c>
      <c r="D27" s="17" t="s">
        <v>24</v>
      </c>
      <c r="E27" s="18" t="s">
        <v>12</v>
      </c>
      <c r="F27" s="19">
        <v>595.35</v>
      </c>
      <c r="G27" s="2">
        <v>252.754011529971</v>
      </c>
      <c r="H27" s="20">
        <f t="shared" si="1"/>
        <v>150477.100764368</v>
      </c>
      <c r="I27" s="43"/>
    </row>
    <row r="28" s="2" customFormat="1" spans="1:9">
      <c r="A28" s="7"/>
      <c r="B28" s="7">
        <v>586</v>
      </c>
      <c r="C28" s="16">
        <v>220103022905</v>
      </c>
      <c r="D28" s="17" t="s">
        <v>25</v>
      </c>
      <c r="E28" s="18" t="s">
        <v>12</v>
      </c>
      <c r="F28" s="19">
        <v>595.35</v>
      </c>
      <c r="G28" s="2">
        <v>328.507987418009</v>
      </c>
      <c r="H28" s="20">
        <f t="shared" si="1"/>
        <v>195577.230309312</v>
      </c>
      <c r="I28" s="43"/>
    </row>
    <row r="29" s="2" customFormat="1" spans="1:9">
      <c r="A29" s="7"/>
      <c r="B29" s="7">
        <v>587</v>
      </c>
      <c r="C29" s="16">
        <v>22010302290501</v>
      </c>
      <c r="D29" s="17" t="s">
        <v>27</v>
      </c>
      <c r="E29" s="18" t="s">
        <v>16</v>
      </c>
      <c r="F29" s="19">
        <v>398.35</v>
      </c>
      <c r="G29" s="20">
        <f>H28/F29</f>
        <v>490.968320093665</v>
      </c>
      <c r="H29" s="20">
        <f t="shared" si="1"/>
        <v>195577.230309312</v>
      </c>
      <c r="I29" s="43"/>
    </row>
    <row r="30" s="2" customFormat="1" spans="1:9">
      <c r="A30" s="7"/>
      <c r="B30" s="7">
        <v>588</v>
      </c>
      <c r="C30" s="17" t="s">
        <v>39</v>
      </c>
      <c r="D30" s="17" t="s">
        <v>29</v>
      </c>
      <c r="E30" s="18" t="s">
        <v>16</v>
      </c>
      <c r="F30" s="19">
        <v>398.35</v>
      </c>
      <c r="G30" s="20">
        <f>H30/F30</f>
        <v>199.824106278122</v>
      </c>
      <c r="H30" s="20">
        <f>0.407*H28</f>
        <v>79599.9327358898</v>
      </c>
      <c r="I30" s="43"/>
    </row>
    <row r="31" s="2" customFormat="1" spans="1:9">
      <c r="A31" s="7"/>
      <c r="B31" s="7">
        <v>589</v>
      </c>
      <c r="C31" s="17" t="s">
        <v>40</v>
      </c>
      <c r="D31" s="17" t="s">
        <v>31</v>
      </c>
      <c r="E31" s="18" t="s">
        <v>16</v>
      </c>
      <c r="F31" s="19">
        <v>398.35</v>
      </c>
      <c r="G31" s="20">
        <f>G30</f>
        <v>199.824106278122</v>
      </c>
      <c r="H31" s="20">
        <f>H30</f>
        <v>79599.9327358898</v>
      </c>
      <c r="I31" s="43"/>
    </row>
    <row r="32" s="2" customFormat="1" spans="1:9">
      <c r="A32" s="7"/>
      <c r="B32" s="7">
        <v>590</v>
      </c>
      <c r="C32" s="17" t="s">
        <v>41</v>
      </c>
      <c r="D32" s="17" t="s">
        <v>33</v>
      </c>
      <c r="E32" s="18" t="s">
        <v>16</v>
      </c>
      <c r="F32" s="19">
        <v>1028.38</v>
      </c>
      <c r="G32" s="20">
        <v>106.1</v>
      </c>
      <c r="H32" s="20">
        <f>H28-H30</f>
        <v>115977.297573422</v>
      </c>
      <c r="I32" s="43"/>
    </row>
    <row r="33" s="2" customFormat="1" ht="28" spans="1:9">
      <c r="A33" s="7" t="s">
        <v>42</v>
      </c>
      <c r="B33" s="7">
        <v>1102</v>
      </c>
      <c r="C33" s="16">
        <v>22030127</v>
      </c>
      <c r="D33" s="17" t="s">
        <v>43</v>
      </c>
      <c r="E33" s="18" t="s">
        <v>12</v>
      </c>
      <c r="F33" s="19">
        <f t="shared" ref="F33:F37" si="2">F34</f>
        <v>595.35</v>
      </c>
      <c r="G33" s="20"/>
      <c r="H33" s="20">
        <v>3986.41</v>
      </c>
      <c r="I33" s="43"/>
    </row>
    <row r="34" s="2" customFormat="1" spans="1:9">
      <c r="A34" s="7"/>
      <c r="B34" s="7">
        <v>1103</v>
      </c>
      <c r="C34" s="16">
        <v>2203012701</v>
      </c>
      <c r="D34" s="17" t="s">
        <v>44</v>
      </c>
      <c r="E34" s="18" t="s">
        <v>12</v>
      </c>
      <c r="F34" s="19">
        <v>595.35</v>
      </c>
      <c r="G34" s="20">
        <v>6.7</v>
      </c>
      <c r="H34" s="20">
        <v>3986.41</v>
      </c>
      <c r="I34" s="43"/>
    </row>
    <row r="35" s="2" customFormat="1" spans="1:9">
      <c r="A35" s="7" t="s">
        <v>45</v>
      </c>
      <c r="B35" s="7">
        <v>1138</v>
      </c>
      <c r="C35" s="16">
        <v>22030227</v>
      </c>
      <c r="D35" s="17" t="s">
        <v>46</v>
      </c>
      <c r="E35" s="18" t="s">
        <v>12</v>
      </c>
      <c r="F35" s="19">
        <f t="shared" si="2"/>
        <v>595.35</v>
      </c>
      <c r="G35" s="20"/>
      <c r="H35" s="20">
        <f>H36</f>
        <v>117966.261235955</v>
      </c>
      <c r="I35" s="43"/>
    </row>
    <row r="36" s="2" customFormat="1" spans="1:9">
      <c r="A36" s="7"/>
      <c r="B36" s="7">
        <v>1139</v>
      </c>
      <c r="C36" s="16">
        <v>2203022701</v>
      </c>
      <c r="D36" s="17" t="s">
        <v>44</v>
      </c>
      <c r="E36" s="18" t="s">
        <v>12</v>
      </c>
      <c r="F36" s="19">
        <v>595.35</v>
      </c>
      <c r="G36" s="20">
        <f>176.35/0.89</f>
        <v>198.14606741573</v>
      </c>
      <c r="H36" s="20">
        <f>G36*F36</f>
        <v>117966.261235955</v>
      </c>
      <c r="I36" s="43"/>
    </row>
    <row r="37" s="2" customFormat="1" spans="1:9">
      <c r="A37" s="7" t="s">
        <v>42</v>
      </c>
      <c r="B37" s="7">
        <v>1189</v>
      </c>
      <c r="C37" s="16">
        <v>22030327</v>
      </c>
      <c r="D37" s="17" t="s">
        <v>47</v>
      </c>
      <c r="E37" s="18" t="s">
        <v>12</v>
      </c>
      <c r="F37" s="19">
        <f t="shared" si="2"/>
        <v>595.35</v>
      </c>
      <c r="G37" s="20"/>
      <c r="H37" s="20">
        <v>19214.33</v>
      </c>
      <c r="I37" s="43"/>
    </row>
    <row r="38" s="2" customFormat="1" spans="1:9">
      <c r="A38" s="7"/>
      <c r="B38" s="7">
        <v>1190</v>
      </c>
      <c r="C38" s="16">
        <v>2203032701</v>
      </c>
      <c r="D38" s="17" t="s">
        <v>44</v>
      </c>
      <c r="E38" s="18" t="s">
        <v>12</v>
      </c>
      <c r="F38" s="19">
        <v>595.35</v>
      </c>
      <c r="G38" s="20">
        <v>32.28</v>
      </c>
      <c r="H38" s="20">
        <v>19214.33</v>
      </c>
      <c r="I38" s="43"/>
    </row>
    <row r="39" s="2" customFormat="1" ht="28" spans="1:9">
      <c r="A39" s="7" t="s">
        <v>48</v>
      </c>
      <c r="B39" s="7">
        <v>867</v>
      </c>
      <c r="C39" s="16">
        <v>220103090217</v>
      </c>
      <c r="D39" s="17" t="s">
        <v>49</v>
      </c>
      <c r="E39" s="18" t="s">
        <v>12</v>
      </c>
      <c r="F39" s="19">
        <f>F40</f>
        <v>14.05</v>
      </c>
      <c r="G39" s="20"/>
      <c r="H39" s="135">
        <f>H40+H43+H45+H46+H47</f>
        <v>210008.0264688</v>
      </c>
      <c r="I39" s="43"/>
    </row>
    <row r="40" s="2" customFormat="1" spans="1:9">
      <c r="A40" s="7"/>
      <c r="B40" s="7">
        <v>868</v>
      </c>
      <c r="C40" s="16">
        <v>22010309021701</v>
      </c>
      <c r="D40" s="17" t="s">
        <v>13</v>
      </c>
      <c r="E40" s="18" t="s">
        <v>12</v>
      </c>
      <c r="F40" s="19">
        <v>14.05</v>
      </c>
      <c r="G40" s="2">
        <v>4061.27417813541</v>
      </c>
      <c r="H40" s="20">
        <f>G40*F40</f>
        <v>57060.9022028025</v>
      </c>
      <c r="I40" s="43"/>
    </row>
    <row r="41" s="2" customFormat="1" spans="1:9">
      <c r="A41" s="7"/>
      <c r="B41" s="7">
        <v>869</v>
      </c>
      <c r="C41" s="17" t="s">
        <v>14</v>
      </c>
      <c r="D41" s="17" t="s">
        <v>15</v>
      </c>
      <c r="E41" s="18" t="s">
        <v>16</v>
      </c>
      <c r="F41" s="19">
        <v>0.38</v>
      </c>
      <c r="G41" s="20">
        <f>H41/F41</f>
        <v>300.320537909487</v>
      </c>
      <c r="H41" s="20">
        <f>0.002*H40</f>
        <v>114.121804405605</v>
      </c>
      <c r="I41" s="43"/>
    </row>
    <row r="42" s="2" customFormat="1" spans="1:9">
      <c r="A42" s="7"/>
      <c r="B42" s="7">
        <v>870</v>
      </c>
      <c r="C42" s="17" t="s">
        <v>17</v>
      </c>
      <c r="D42" s="17" t="s">
        <v>18</v>
      </c>
      <c r="E42" s="18" t="s">
        <v>19</v>
      </c>
      <c r="F42" s="19">
        <v>17.8</v>
      </c>
      <c r="G42" s="20">
        <f>H42/F42</f>
        <v>3199.25732575263</v>
      </c>
      <c r="H42" s="20">
        <f>H40-H41</f>
        <v>56946.7803983968</v>
      </c>
      <c r="I42" s="43"/>
    </row>
    <row r="43" s="2" customFormat="1" spans="1:9">
      <c r="A43" s="7"/>
      <c r="B43" s="7">
        <v>871</v>
      </c>
      <c r="C43" s="16">
        <v>22010309021702</v>
      </c>
      <c r="D43" s="17" t="s">
        <v>20</v>
      </c>
      <c r="E43" s="18" t="s">
        <v>12</v>
      </c>
      <c r="F43" s="19">
        <v>14.05</v>
      </c>
      <c r="G43" s="2">
        <v>1043.90695193963</v>
      </c>
      <c r="H43" s="20">
        <f t="shared" ref="H43:H48" si="3">G43*F43</f>
        <v>14666.8926747517</v>
      </c>
      <c r="I43" s="43"/>
    </row>
    <row r="44" s="2" customFormat="1" spans="1:9">
      <c r="A44" s="7"/>
      <c r="B44" s="7">
        <v>872</v>
      </c>
      <c r="C44" s="17" t="s">
        <v>21</v>
      </c>
      <c r="D44" s="17" t="s">
        <v>22</v>
      </c>
      <c r="E44" s="18" t="s">
        <v>12</v>
      </c>
      <c r="F44" s="19">
        <v>14.05</v>
      </c>
      <c r="G44" s="20">
        <f>H43/F44</f>
        <v>1043.90695193963</v>
      </c>
      <c r="H44" s="20">
        <f t="shared" si="3"/>
        <v>14666.8926747517</v>
      </c>
      <c r="I44" s="43"/>
    </row>
    <row r="45" s="2" customFormat="1" spans="1:9">
      <c r="A45" s="7"/>
      <c r="B45" s="7">
        <v>873</v>
      </c>
      <c r="C45" s="16">
        <v>22010309021703</v>
      </c>
      <c r="D45" s="17" t="s">
        <v>23</v>
      </c>
      <c r="E45" s="18" t="s">
        <v>12</v>
      </c>
      <c r="F45" s="19">
        <v>14.05</v>
      </c>
      <c r="G45" s="2">
        <v>2367.22271167352</v>
      </c>
      <c r="H45" s="20">
        <f t="shared" si="3"/>
        <v>33259.479099013</v>
      </c>
      <c r="I45" s="43"/>
    </row>
    <row r="46" s="2" customFormat="1" spans="1:9">
      <c r="A46" s="7"/>
      <c r="B46" s="7">
        <v>874</v>
      </c>
      <c r="C46" s="16">
        <v>22010309021704</v>
      </c>
      <c r="D46" s="17" t="s">
        <v>24</v>
      </c>
      <c r="E46" s="18" t="s">
        <v>12</v>
      </c>
      <c r="F46" s="19">
        <v>14.05</v>
      </c>
      <c r="G46" s="2">
        <v>333.892937624973</v>
      </c>
      <c r="H46" s="20">
        <f t="shared" si="3"/>
        <v>4691.19577363088</v>
      </c>
      <c r="I46" s="43"/>
    </row>
    <row r="47" s="2" customFormat="1" spans="1:9">
      <c r="A47" s="7"/>
      <c r="B47" s="7">
        <v>875</v>
      </c>
      <c r="C47" s="16">
        <v>22010309021705</v>
      </c>
      <c r="D47" s="17" t="s">
        <v>25</v>
      </c>
      <c r="E47" s="18" t="s">
        <v>12</v>
      </c>
      <c r="F47" s="19">
        <v>14.05</v>
      </c>
      <c r="G47" s="2">
        <v>7140.89371662647</v>
      </c>
      <c r="H47" s="20">
        <f t="shared" si="3"/>
        <v>100329.556718602</v>
      </c>
      <c r="I47" s="43"/>
    </row>
    <row r="48" s="2" customFormat="1" spans="1:9">
      <c r="A48" s="7"/>
      <c r="B48" s="7">
        <v>876</v>
      </c>
      <c r="C48" s="17" t="s">
        <v>26</v>
      </c>
      <c r="D48" s="17" t="s">
        <v>27</v>
      </c>
      <c r="E48" s="18" t="s">
        <v>16</v>
      </c>
      <c r="F48" s="19">
        <v>8.45</v>
      </c>
      <c r="G48" s="20">
        <f>H47/F48</f>
        <v>11873.320321728</v>
      </c>
      <c r="H48" s="20">
        <f t="shared" si="3"/>
        <v>100329.556718602</v>
      </c>
      <c r="I48" s="43"/>
    </row>
    <row r="49" s="2" customFormat="1" spans="1:9">
      <c r="A49" s="7"/>
      <c r="B49" s="7">
        <v>877</v>
      </c>
      <c r="C49" s="17" t="s">
        <v>28</v>
      </c>
      <c r="D49" s="17" t="s">
        <v>29</v>
      </c>
      <c r="E49" s="18" t="s">
        <v>16</v>
      </c>
      <c r="F49" s="19">
        <v>8.45</v>
      </c>
      <c r="G49" s="20">
        <f>H49/F49</f>
        <v>2006.59113437204</v>
      </c>
      <c r="H49" s="20">
        <f>0.169*H48</f>
        <v>16955.6950854437</v>
      </c>
      <c r="I49" s="43"/>
    </row>
    <row r="50" s="2" customFormat="1" ht="28" spans="1:9">
      <c r="A50" s="7"/>
      <c r="B50" s="7">
        <v>878</v>
      </c>
      <c r="C50" s="17" t="s">
        <v>30</v>
      </c>
      <c r="D50" s="17" t="s">
        <v>31</v>
      </c>
      <c r="E50" s="18" t="s">
        <v>16</v>
      </c>
      <c r="F50" s="19">
        <v>8.45</v>
      </c>
      <c r="G50" s="20">
        <f>G49</f>
        <v>2006.59113437204</v>
      </c>
      <c r="H50" s="20">
        <f>H49</f>
        <v>16955.6950854437</v>
      </c>
      <c r="I50" s="43"/>
    </row>
    <row r="51" s="2" customFormat="1" spans="1:9">
      <c r="A51" s="7"/>
      <c r="B51" s="7">
        <v>879</v>
      </c>
      <c r="C51" s="17" t="s">
        <v>32</v>
      </c>
      <c r="D51" s="17" t="s">
        <v>33</v>
      </c>
      <c r="E51" s="18" t="s">
        <v>16</v>
      </c>
      <c r="F51" s="19">
        <v>870</v>
      </c>
      <c r="G51" s="20">
        <v>106.1</v>
      </c>
      <c r="H51" s="20">
        <f>H48-H49</f>
        <v>83373.8616331582</v>
      </c>
      <c r="I51" s="43"/>
    </row>
    <row r="52" s="2" customFormat="1" spans="1:9">
      <c r="A52" s="7" t="s">
        <v>34</v>
      </c>
      <c r="B52" s="7">
        <v>1222</v>
      </c>
      <c r="C52" s="16">
        <v>220403</v>
      </c>
      <c r="D52" s="17" t="s">
        <v>35</v>
      </c>
      <c r="E52" s="18" t="s">
        <v>12</v>
      </c>
      <c r="F52" s="19">
        <f t="shared" ref="F52:F56" si="4">F53</f>
        <v>162</v>
      </c>
      <c r="G52" s="20"/>
      <c r="H52" s="20">
        <v>19509.23</v>
      </c>
      <c r="I52" s="43"/>
    </row>
    <row r="53" s="2" customFormat="1" spans="1:9">
      <c r="A53" s="7"/>
      <c r="B53" s="7">
        <v>1223</v>
      </c>
      <c r="C53" s="16">
        <v>22040305</v>
      </c>
      <c r="D53" s="17" t="s">
        <v>36</v>
      </c>
      <c r="E53" s="18" t="s">
        <v>12</v>
      </c>
      <c r="F53" s="19">
        <v>162</v>
      </c>
      <c r="G53" s="20">
        <v>120.43</v>
      </c>
      <c r="H53" s="20">
        <v>19509.23</v>
      </c>
      <c r="I53" s="43"/>
    </row>
    <row r="54" s="2" customFormat="1" spans="1:9">
      <c r="A54" s="7" t="s">
        <v>42</v>
      </c>
      <c r="B54" s="7">
        <v>1189</v>
      </c>
      <c r="C54" s="16">
        <v>22030327</v>
      </c>
      <c r="D54" s="17" t="s">
        <v>47</v>
      </c>
      <c r="E54" s="18" t="s">
        <v>12</v>
      </c>
      <c r="F54" s="19">
        <f t="shared" si="4"/>
        <v>32.96</v>
      </c>
      <c r="G54" s="20"/>
      <c r="H54" s="20">
        <v>693.61</v>
      </c>
      <c r="I54" s="43"/>
    </row>
    <row r="55" s="2" customFormat="1" spans="1:9">
      <c r="A55" s="7"/>
      <c r="B55" s="7">
        <v>1191</v>
      </c>
      <c r="C55" s="16">
        <v>2203032702</v>
      </c>
      <c r="D55" s="17" t="s">
        <v>50</v>
      </c>
      <c r="E55" s="18" t="s">
        <v>12</v>
      </c>
      <c r="F55" s="19">
        <v>32.96</v>
      </c>
      <c r="G55" s="20">
        <v>21.04</v>
      </c>
      <c r="H55" s="20">
        <v>693.61</v>
      </c>
      <c r="I55" s="43"/>
    </row>
    <row r="56" s="2" customFormat="1" spans="1:9">
      <c r="A56" s="7" t="s">
        <v>51</v>
      </c>
      <c r="B56" s="7">
        <v>1027</v>
      </c>
      <c r="C56" s="16">
        <v>22010406</v>
      </c>
      <c r="D56" s="17" t="s">
        <v>52</v>
      </c>
      <c r="E56" s="18" t="s">
        <v>12</v>
      </c>
      <c r="F56" s="19">
        <f t="shared" si="4"/>
        <v>17.63</v>
      </c>
      <c r="G56" s="20"/>
      <c r="H56" s="20">
        <v>16688.88</v>
      </c>
      <c r="I56" s="43"/>
    </row>
    <row r="57" s="2" customFormat="1" spans="1:9">
      <c r="A57" s="7"/>
      <c r="B57" s="7">
        <v>1028</v>
      </c>
      <c r="C57" s="16">
        <v>2201040602</v>
      </c>
      <c r="D57" s="17" t="s">
        <v>53</v>
      </c>
      <c r="E57" s="18" t="s">
        <v>12</v>
      </c>
      <c r="F57" s="19">
        <v>17.63</v>
      </c>
      <c r="G57" s="20">
        <v>946.62</v>
      </c>
      <c r="H57" s="20">
        <v>16688.88</v>
      </c>
      <c r="I57" s="43"/>
    </row>
    <row r="58" s="2" customFormat="1" ht="28" spans="1:9">
      <c r="A58" s="7" t="s">
        <v>54</v>
      </c>
      <c r="B58" s="7">
        <v>525</v>
      </c>
      <c r="C58" s="16">
        <v>2201030106</v>
      </c>
      <c r="D58" s="17" t="s">
        <v>55</v>
      </c>
      <c r="E58" s="18" t="s">
        <v>12</v>
      </c>
      <c r="F58" s="19">
        <f>F59</f>
        <v>26.09</v>
      </c>
      <c r="G58" s="20"/>
      <c r="H58" s="135">
        <f>H59+H62+H64+H65+H66</f>
        <v>236992.323266752</v>
      </c>
      <c r="I58" s="43"/>
    </row>
    <row r="59" s="2" customFormat="1" spans="1:9">
      <c r="A59" s="7"/>
      <c r="B59" s="7">
        <v>526</v>
      </c>
      <c r="C59" s="16">
        <v>220103010601</v>
      </c>
      <c r="D59" s="17" t="s">
        <v>13</v>
      </c>
      <c r="E59" s="18" t="s">
        <v>12</v>
      </c>
      <c r="F59" s="80">
        <v>26.09</v>
      </c>
      <c r="G59" s="2">
        <v>2003.77880519645</v>
      </c>
      <c r="H59" s="82">
        <f t="shared" ref="H59:H67" si="5">G59*F59</f>
        <v>52278.5890275753</v>
      </c>
      <c r="I59" s="43"/>
    </row>
    <row r="60" s="2" customFormat="1" spans="1:9">
      <c r="A60" s="7"/>
      <c r="B60" s="7">
        <v>527</v>
      </c>
      <c r="C60" s="16">
        <v>22010301060101</v>
      </c>
      <c r="D60" s="17" t="s">
        <v>15</v>
      </c>
      <c r="E60" s="18" t="s">
        <v>16</v>
      </c>
      <c r="F60" s="80">
        <v>0.5304</v>
      </c>
      <c r="G60" s="82">
        <f>H60/F60</f>
        <v>364.688498118455</v>
      </c>
      <c r="H60" s="82">
        <f>0.0037*H59</f>
        <v>193.430779402029</v>
      </c>
      <c r="I60" s="43"/>
    </row>
    <row r="61" s="2" customFormat="1" spans="1:9">
      <c r="A61" s="7"/>
      <c r="B61" s="7">
        <v>528</v>
      </c>
      <c r="C61" s="16">
        <v>22010301060102</v>
      </c>
      <c r="D61" s="17" t="s">
        <v>18</v>
      </c>
      <c r="E61" s="18" t="s">
        <v>19</v>
      </c>
      <c r="F61" s="80">
        <v>18.7075</v>
      </c>
      <c r="G61" s="82">
        <f>H61/F61</f>
        <v>2784.18592800605</v>
      </c>
      <c r="H61" s="82">
        <f>H59-H60</f>
        <v>52085.1582481733</v>
      </c>
      <c r="I61" s="43"/>
    </row>
    <row r="62" s="2" customFormat="1" spans="1:9">
      <c r="A62" s="7"/>
      <c r="B62" s="7">
        <v>529</v>
      </c>
      <c r="C62" s="16">
        <v>220103010602</v>
      </c>
      <c r="D62" s="17" t="s">
        <v>20</v>
      </c>
      <c r="E62" s="18" t="s">
        <v>12</v>
      </c>
      <c r="F62" s="80">
        <v>26.09</v>
      </c>
      <c r="G62" s="2">
        <v>1413.83736086286</v>
      </c>
      <c r="H62" s="82">
        <f t="shared" si="5"/>
        <v>36887.0167449119</v>
      </c>
      <c r="I62" s="43"/>
    </row>
    <row r="63" s="2" customFormat="1" spans="1:9">
      <c r="A63" s="7"/>
      <c r="B63" s="7">
        <v>530</v>
      </c>
      <c r="C63" s="16">
        <v>22010301060202</v>
      </c>
      <c r="D63" s="17" t="s">
        <v>22</v>
      </c>
      <c r="E63" s="18" t="s">
        <v>12</v>
      </c>
      <c r="F63" s="80">
        <v>26.09</v>
      </c>
      <c r="G63" s="82">
        <f>H62/F63</f>
        <v>1413.83736086286</v>
      </c>
      <c r="H63" s="82">
        <f t="shared" si="5"/>
        <v>36887.0167449119</v>
      </c>
      <c r="I63" s="43"/>
    </row>
    <row r="64" s="2" customFormat="1" spans="1:9">
      <c r="A64" s="7"/>
      <c r="B64" s="7">
        <v>531</v>
      </c>
      <c r="C64" s="16">
        <v>220103010603</v>
      </c>
      <c r="D64" s="17" t="s">
        <v>23</v>
      </c>
      <c r="E64" s="18" t="s">
        <v>12</v>
      </c>
      <c r="F64" s="80">
        <v>26.09</v>
      </c>
      <c r="G64" s="2">
        <v>2107.49578158714</v>
      </c>
      <c r="H64" s="82">
        <f t="shared" si="5"/>
        <v>54984.5649416085</v>
      </c>
      <c r="I64" s="43"/>
    </row>
    <row r="65" s="2" customFormat="1" spans="1:9">
      <c r="A65" s="7"/>
      <c r="B65" s="7">
        <v>532</v>
      </c>
      <c r="C65" s="16">
        <v>220103010604</v>
      </c>
      <c r="D65" s="17" t="s">
        <v>24</v>
      </c>
      <c r="E65" s="18" t="s">
        <v>12</v>
      </c>
      <c r="F65" s="80">
        <v>26.09</v>
      </c>
      <c r="G65" s="2">
        <v>225.715849300707</v>
      </c>
      <c r="H65" s="82">
        <f t="shared" si="5"/>
        <v>5888.92650825544</v>
      </c>
      <c r="I65" s="43"/>
    </row>
    <row r="66" s="2" customFormat="1" spans="1:9">
      <c r="A66" s="7"/>
      <c r="B66" s="7">
        <v>533</v>
      </c>
      <c r="C66" s="16">
        <v>220103010605</v>
      </c>
      <c r="D66" s="17" t="s">
        <v>25</v>
      </c>
      <c r="E66" s="18" t="s">
        <v>12</v>
      </c>
      <c r="F66" s="80">
        <v>29.35</v>
      </c>
      <c r="G66" s="2">
        <v>2962.63121105285</v>
      </c>
      <c r="H66" s="82">
        <f t="shared" si="5"/>
        <v>86953.2260444011</v>
      </c>
      <c r="I66" s="43"/>
    </row>
    <row r="67" s="2" customFormat="1" spans="1:9">
      <c r="A67" s="7"/>
      <c r="B67" s="7">
        <v>534</v>
      </c>
      <c r="C67" s="16">
        <v>22010301060501</v>
      </c>
      <c r="D67" s="17" t="s">
        <v>27</v>
      </c>
      <c r="E67" s="18" t="s">
        <v>16</v>
      </c>
      <c r="F67" s="80">
        <v>721.96</v>
      </c>
      <c r="G67" s="82">
        <f>H66/F67</f>
        <v>120.440503690511</v>
      </c>
      <c r="H67" s="82">
        <f t="shared" si="5"/>
        <v>86953.2260444011</v>
      </c>
      <c r="I67" s="43"/>
    </row>
    <row r="68" s="2" customFormat="1" spans="1:9">
      <c r="A68" s="7"/>
      <c r="B68" s="7">
        <v>535</v>
      </c>
      <c r="C68" s="17" t="s">
        <v>56</v>
      </c>
      <c r="D68" s="17" t="s">
        <v>29</v>
      </c>
      <c r="E68" s="18" t="s">
        <v>16</v>
      </c>
      <c r="F68" s="80">
        <v>11.88</v>
      </c>
      <c r="G68" s="82">
        <f>H68/F68</f>
        <v>212.259558525895</v>
      </c>
      <c r="H68" s="82">
        <f>0.029*H67</f>
        <v>2521.64355528763</v>
      </c>
      <c r="I68" s="43"/>
    </row>
    <row r="69" s="2" customFormat="1" spans="1:9">
      <c r="A69" s="7"/>
      <c r="B69" s="7">
        <v>536</v>
      </c>
      <c r="C69" s="17" t="s">
        <v>57</v>
      </c>
      <c r="D69" s="17" t="s">
        <v>31</v>
      </c>
      <c r="E69" s="18" t="s">
        <v>16</v>
      </c>
      <c r="F69" s="80">
        <v>11.88</v>
      </c>
      <c r="G69" s="82">
        <f>G68</f>
        <v>212.259558525895</v>
      </c>
      <c r="H69" s="82">
        <f>G69*F69</f>
        <v>2521.64355528763</v>
      </c>
      <c r="I69" s="43"/>
    </row>
    <row r="70" s="2" customFormat="1" spans="1:9">
      <c r="A70" s="7"/>
      <c r="B70" s="7">
        <v>537</v>
      </c>
      <c r="C70" s="17" t="s">
        <v>58</v>
      </c>
      <c r="D70" s="17" t="s">
        <v>33</v>
      </c>
      <c r="E70" s="18" t="s">
        <v>16</v>
      </c>
      <c r="F70" s="80">
        <v>710.08</v>
      </c>
      <c r="G70" s="82">
        <f>H70/F70</f>
        <v>118.904324145327</v>
      </c>
      <c r="H70" s="82">
        <f>H67-H69</f>
        <v>84431.5824891135</v>
      </c>
      <c r="I70" s="43"/>
    </row>
    <row r="71" s="2" customFormat="1" spans="1:9">
      <c r="A71" s="7"/>
      <c r="B71" s="7">
        <v>1183</v>
      </c>
      <c r="C71" s="16">
        <v>22030323</v>
      </c>
      <c r="D71" s="17" t="s">
        <v>59</v>
      </c>
      <c r="E71" s="18" t="s">
        <v>12</v>
      </c>
      <c r="F71" s="19">
        <f>F72</f>
        <v>26.09</v>
      </c>
      <c r="G71" s="20"/>
      <c r="H71" s="20">
        <v>2281.71</v>
      </c>
      <c r="I71" s="43"/>
    </row>
    <row r="72" s="2" customFormat="1" ht="28" spans="1:9">
      <c r="A72" s="7"/>
      <c r="B72" s="7">
        <v>1187</v>
      </c>
      <c r="C72" s="16">
        <v>2203032305</v>
      </c>
      <c r="D72" s="17" t="s">
        <v>60</v>
      </c>
      <c r="E72" s="18" t="s">
        <v>12</v>
      </c>
      <c r="F72" s="19">
        <v>26.09</v>
      </c>
      <c r="G72" s="20">
        <v>87.45</v>
      </c>
      <c r="H72" s="20">
        <v>2281.71</v>
      </c>
      <c r="I72" s="43"/>
    </row>
    <row r="73" s="2" customFormat="1" ht="28" spans="1:9">
      <c r="A73" s="7" t="s">
        <v>61</v>
      </c>
      <c r="B73" s="7">
        <v>524</v>
      </c>
      <c r="C73" s="16">
        <v>22010301</v>
      </c>
      <c r="D73" s="17" t="s">
        <v>62</v>
      </c>
      <c r="E73" s="18" t="s">
        <v>12</v>
      </c>
      <c r="F73" s="80">
        <f>F74</f>
        <v>26.09</v>
      </c>
      <c r="G73" s="82"/>
      <c r="H73" s="81">
        <f>H75+H78+H80+H81+H82</f>
        <v>236992.323266752</v>
      </c>
      <c r="I73" s="43"/>
    </row>
    <row r="74" s="2" customFormat="1" spans="1:9">
      <c r="A74" s="7"/>
      <c r="B74" s="7">
        <v>525</v>
      </c>
      <c r="C74" s="16">
        <v>2201030106</v>
      </c>
      <c r="D74" s="17" t="s">
        <v>63</v>
      </c>
      <c r="E74" s="18" t="s">
        <v>12</v>
      </c>
      <c r="F74" s="80">
        <v>26.09</v>
      </c>
      <c r="G74" s="82">
        <f t="shared" ref="G74:G77" si="6">H74/F74</f>
        <v>9083.64596652941</v>
      </c>
      <c r="H74" s="82">
        <f>H73</f>
        <v>236992.323266752</v>
      </c>
      <c r="I74" s="43"/>
    </row>
    <row r="75" s="2" customFormat="1" spans="1:9">
      <c r="A75" s="7"/>
      <c r="B75" s="7">
        <v>526</v>
      </c>
      <c r="C75" s="16">
        <v>220103010601</v>
      </c>
      <c r="D75" s="17" t="s">
        <v>13</v>
      </c>
      <c r="E75" s="18" t="s">
        <v>12</v>
      </c>
      <c r="F75" s="80">
        <v>26.09</v>
      </c>
      <c r="G75" s="2">
        <v>2003.77880519645</v>
      </c>
      <c r="H75" s="82">
        <f t="shared" ref="H75:H83" si="7">G75*F75</f>
        <v>52278.5890275753</v>
      </c>
      <c r="I75" s="43"/>
    </row>
    <row r="76" s="2" customFormat="1" spans="1:9">
      <c r="A76" s="7"/>
      <c r="B76" s="7">
        <v>527</v>
      </c>
      <c r="C76" s="16">
        <v>22010301060101</v>
      </c>
      <c r="D76" s="17" t="s">
        <v>15</v>
      </c>
      <c r="E76" s="18" t="s">
        <v>16</v>
      </c>
      <c r="F76" s="80">
        <v>0.5304</v>
      </c>
      <c r="G76" s="82">
        <f t="shared" si="6"/>
        <v>364.688498118455</v>
      </c>
      <c r="H76" s="82">
        <f>0.0037*H75</f>
        <v>193.430779402029</v>
      </c>
      <c r="I76" s="43"/>
    </row>
    <row r="77" s="2" customFormat="1" spans="1:9">
      <c r="A77" s="7"/>
      <c r="B77" s="7">
        <v>528</v>
      </c>
      <c r="C77" s="16">
        <v>22010301060102</v>
      </c>
      <c r="D77" s="17" t="s">
        <v>18</v>
      </c>
      <c r="E77" s="18" t="s">
        <v>19</v>
      </c>
      <c r="F77" s="80">
        <v>18.7075</v>
      </c>
      <c r="G77" s="82">
        <f t="shared" si="6"/>
        <v>2784.18592800605</v>
      </c>
      <c r="H77" s="82">
        <f>H75-H76</f>
        <v>52085.1582481733</v>
      </c>
      <c r="I77" s="43"/>
    </row>
    <row r="78" s="2" customFormat="1" spans="1:9">
      <c r="A78" s="7"/>
      <c r="B78" s="7">
        <v>529</v>
      </c>
      <c r="C78" s="16">
        <v>220103010602</v>
      </c>
      <c r="D78" s="17" t="s">
        <v>20</v>
      </c>
      <c r="E78" s="18" t="s">
        <v>12</v>
      </c>
      <c r="F78" s="80">
        <v>26.09</v>
      </c>
      <c r="G78" s="2">
        <v>1413.83736086286</v>
      </c>
      <c r="H78" s="82">
        <f t="shared" si="7"/>
        <v>36887.0167449119</v>
      </c>
      <c r="I78" s="43"/>
    </row>
    <row r="79" s="2" customFormat="1" spans="1:9">
      <c r="A79" s="7"/>
      <c r="B79" s="7">
        <v>530</v>
      </c>
      <c r="C79" s="16">
        <v>22010301060202</v>
      </c>
      <c r="D79" s="17" t="s">
        <v>22</v>
      </c>
      <c r="E79" s="18" t="s">
        <v>12</v>
      </c>
      <c r="F79" s="80">
        <v>26.09</v>
      </c>
      <c r="G79" s="82">
        <f>H78/F79</f>
        <v>1413.83736086286</v>
      </c>
      <c r="H79" s="82">
        <f t="shared" si="7"/>
        <v>36887.0167449119</v>
      </c>
      <c r="I79" s="43"/>
    </row>
    <row r="80" s="2" customFormat="1" spans="1:9">
      <c r="A80" s="7"/>
      <c r="B80" s="7">
        <v>531</v>
      </c>
      <c r="C80" s="16">
        <v>220103010603</v>
      </c>
      <c r="D80" s="17" t="s">
        <v>23</v>
      </c>
      <c r="E80" s="18" t="s">
        <v>12</v>
      </c>
      <c r="F80" s="80">
        <v>26.09</v>
      </c>
      <c r="G80" s="2">
        <v>2107.49578158714</v>
      </c>
      <c r="H80" s="82">
        <f t="shared" si="7"/>
        <v>54984.5649416085</v>
      </c>
      <c r="I80" s="43"/>
    </row>
    <row r="81" s="2" customFormat="1" spans="1:9">
      <c r="A81" s="7"/>
      <c r="B81" s="7">
        <v>532</v>
      </c>
      <c r="C81" s="16">
        <v>220103010604</v>
      </c>
      <c r="D81" s="17" t="s">
        <v>24</v>
      </c>
      <c r="E81" s="18" t="s">
        <v>12</v>
      </c>
      <c r="F81" s="80">
        <v>26.09</v>
      </c>
      <c r="G81" s="2">
        <v>225.715849300707</v>
      </c>
      <c r="H81" s="82">
        <f t="shared" si="7"/>
        <v>5888.92650825544</v>
      </c>
      <c r="I81" s="43"/>
    </row>
    <row r="82" s="2" customFormat="1" spans="1:9">
      <c r="A82" s="7"/>
      <c r="B82" s="7">
        <v>533</v>
      </c>
      <c r="C82" s="16">
        <v>220103010605</v>
      </c>
      <c r="D82" s="17" t="s">
        <v>25</v>
      </c>
      <c r="E82" s="18" t="s">
        <v>12</v>
      </c>
      <c r="F82" s="80">
        <v>29.35</v>
      </c>
      <c r="G82" s="2">
        <v>2962.63121105285</v>
      </c>
      <c r="H82" s="82">
        <f t="shared" si="7"/>
        <v>86953.2260444011</v>
      </c>
      <c r="I82" s="43"/>
    </row>
    <row r="83" s="2" customFormat="1" spans="1:9">
      <c r="A83" s="7"/>
      <c r="B83" s="7">
        <v>534</v>
      </c>
      <c r="C83" s="16">
        <v>22010301060501</v>
      </c>
      <c r="D83" s="17" t="s">
        <v>27</v>
      </c>
      <c r="E83" s="18" t="s">
        <v>16</v>
      </c>
      <c r="F83" s="80">
        <v>721.96</v>
      </c>
      <c r="G83" s="82">
        <f>H82/F83</f>
        <v>120.440503690511</v>
      </c>
      <c r="H83" s="82">
        <f t="shared" si="7"/>
        <v>86953.2260444011</v>
      </c>
      <c r="I83" s="43"/>
    </row>
    <row r="84" s="2" customFormat="1" spans="1:9">
      <c r="A84" s="7"/>
      <c r="B84" s="7">
        <v>535</v>
      </c>
      <c r="C84" s="17" t="s">
        <v>56</v>
      </c>
      <c r="D84" s="17" t="s">
        <v>29</v>
      </c>
      <c r="E84" s="18" t="s">
        <v>16</v>
      </c>
      <c r="F84" s="80">
        <v>11.88</v>
      </c>
      <c r="G84" s="82">
        <f>H84/F84</f>
        <v>212.259558525895</v>
      </c>
      <c r="H84" s="82">
        <f>0.029*H83</f>
        <v>2521.64355528763</v>
      </c>
      <c r="I84" s="43"/>
    </row>
    <row r="85" s="2" customFormat="1" spans="1:9">
      <c r="A85" s="7"/>
      <c r="B85" s="7">
        <v>536</v>
      </c>
      <c r="C85" s="17" t="s">
        <v>57</v>
      </c>
      <c r="D85" s="17" t="s">
        <v>31</v>
      </c>
      <c r="E85" s="18" t="s">
        <v>16</v>
      </c>
      <c r="F85" s="80">
        <v>11.88</v>
      </c>
      <c r="G85" s="82">
        <f>G84</f>
        <v>212.259558525895</v>
      </c>
      <c r="H85" s="82">
        <f>G85*F85</f>
        <v>2521.64355528763</v>
      </c>
      <c r="I85" s="43"/>
    </row>
    <row r="86" s="2" customFormat="1" spans="1:9">
      <c r="A86" s="7"/>
      <c r="B86" s="7">
        <v>537</v>
      </c>
      <c r="C86" s="17" t="s">
        <v>58</v>
      </c>
      <c r="D86" s="17" t="s">
        <v>33</v>
      </c>
      <c r="E86" s="18" t="s">
        <v>16</v>
      </c>
      <c r="F86" s="80">
        <v>710.08</v>
      </c>
      <c r="G86" s="82">
        <f>H86/F86</f>
        <v>118.904324145327</v>
      </c>
      <c r="H86" s="82">
        <f>H83-H85</f>
        <v>84431.5824891135</v>
      </c>
      <c r="I86" s="43"/>
    </row>
    <row r="87" s="2" customFormat="1" spans="1:9">
      <c r="A87" s="7"/>
      <c r="B87" s="7">
        <v>1183</v>
      </c>
      <c r="C87" s="16">
        <v>22030323</v>
      </c>
      <c r="D87" s="17" t="s">
        <v>59</v>
      </c>
      <c r="E87" s="18" t="s">
        <v>12</v>
      </c>
      <c r="F87" s="19">
        <f>F88</f>
        <v>26.09</v>
      </c>
      <c r="G87" s="20"/>
      <c r="H87" s="20">
        <v>2281.71</v>
      </c>
      <c r="I87" s="43"/>
    </row>
    <row r="88" s="2" customFormat="1" ht="28" spans="1:9">
      <c r="A88" s="7"/>
      <c r="B88" s="7">
        <v>1187</v>
      </c>
      <c r="C88" s="16">
        <v>2203032305</v>
      </c>
      <c r="D88" s="17" t="s">
        <v>64</v>
      </c>
      <c r="E88" s="18" t="s">
        <v>12</v>
      </c>
      <c r="F88" s="19">
        <v>26.09</v>
      </c>
      <c r="G88" s="20">
        <v>87.45</v>
      </c>
      <c r="H88" s="20">
        <v>2281.71</v>
      </c>
      <c r="I88" s="43"/>
    </row>
    <row r="89" s="2" customFormat="1" ht="28" spans="1:9">
      <c r="A89" s="7" t="s">
        <v>65</v>
      </c>
      <c r="B89" s="7">
        <v>719</v>
      </c>
      <c r="C89" s="16">
        <v>2201030613</v>
      </c>
      <c r="D89" s="17" t="s">
        <v>66</v>
      </c>
      <c r="E89" s="18" t="s">
        <v>12</v>
      </c>
      <c r="F89" s="80">
        <f>F90</f>
        <v>27.42</v>
      </c>
      <c r="G89" s="82"/>
      <c r="H89" s="81">
        <f>H90+H93+H95+H96+H97</f>
        <v>230010.53694336</v>
      </c>
      <c r="I89" s="43"/>
    </row>
    <row r="90" s="2" customFormat="1" spans="1:9">
      <c r="A90" s="7"/>
      <c r="B90" s="7">
        <v>720</v>
      </c>
      <c r="C90" s="16">
        <v>220103061301</v>
      </c>
      <c r="D90" s="17" t="s">
        <v>13</v>
      </c>
      <c r="E90" s="18" t="s">
        <v>12</v>
      </c>
      <c r="F90" s="80">
        <v>27.42</v>
      </c>
      <c r="G90" s="2">
        <v>1747.02483680591</v>
      </c>
      <c r="H90" s="82">
        <f t="shared" ref="H90:H98" si="8">G90*F90</f>
        <v>47903.421025218</v>
      </c>
      <c r="I90" s="43"/>
    </row>
    <row r="91" s="2" customFormat="1" spans="1:9">
      <c r="A91" s="7"/>
      <c r="B91" s="7">
        <v>721</v>
      </c>
      <c r="C91" s="16">
        <v>22010306130101</v>
      </c>
      <c r="D91" s="17" t="s">
        <v>15</v>
      </c>
      <c r="E91" s="18" t="s">
        <v>16</v>
      </c>
      <c r="F91" s="80">
        <v>0.42</v>
      </c>
      <c r="G91" s="82">
        <f>H91/F91</f>
        <v>342.167293037272</v>
      </c>
      <c r="H91" s="82">
        <f>H90*0.003</f>
        <v>143.710263075654</v>
      </c>
      <c r="I91" s="43"/>
    </row>
    <row r="92" s="2" customFormat="1" spans="1:9">
      <c r="A92" s="7"/>
      <c r="B92" s="7">
        <v>722</v>
      </c>
      <c r="C92" s="16">
        <v>22010306130102</v>
      </c>
      <c r="D92" s="17" t="s">
        <v>18</v>
      </c>
      <c r="E92" s="18" t="s">
        <v>19</v>
      </c>
      <c r="F92" s="80">
        <v>17.94</v>
      </c>
      <c r="G92" s="82">
        <f>H92/F92</f>
        <v>2662.19123534796</v>
      </c>
      <c r="H92" s="82">
        <f>H90-H91</f>
        <v>47759.7107621424</v>
      </c>
      <c r="I92" s="43"/>
    </row>
    <row r="93" s="2" customFormat="1" spans="1:9">
      <c r="A93" s="7"/>
      <c r="B93" s="7">
        <v>723</v>
      </c>
      <c r="C93" s="16">
        <v>220103061302</v>
      </c>
      <c r="D93" s="17" t="s">
        <v>20</v>
      </c>
      <c r="E93" s="18" t="s">
        <v>12</v>
      </c>
      <c r="F93" s="80">
        <v>27.42</v>
      </c>
      <c r="G93" s="2">
        <v>1165.7639930428</v>
      </c>
      <c r="H93" s="82">
        <f t="shared" si="8"/>
        <v>31965.2486892335</v>
      </c>
      <c r="I93" s="43"/>
    </row>
    <row r="94" s="2" customFormat="1" spans="1:9">
      <c r="A94" s="7"/>
      <c r="B94" s="7">
        <v>724</v>
      </c>
      <c r="C94" s="16">
        <v>22010306130202</v>
      </c>
      <c r="D94" s="17" t="s">
        <v>22</v>
      </c>
      <c r="E94" s="18" t="s">
        <v>12</v>
      </c>
      <c r="F94" s="80">
        <v>27.42</v>
      </c>
      <c r="G94" s="82">
        <v>1214.33749275291</v>
      </c>
      <c r="H94" s="82">
        <f t="shared" si="8"/>
        <v>33297.1340512849</v>
      </c>
      <c r="I94" s="43"/>
    </row>
    <row r="95" s="2" customFormat="1" spans="1:9">
      <c r="A95" s="7"/>
      <c r="B95" s="7">
        <v>725</v>
      </c>
      <c r="C95" s="16">
        <v>220103061303</v>
      </c>
      <c r="D95" s="17" t="s">
        <v>23</v>
      </c>
      <c r="E95" s="18" t="s">
        <v>12</v>
      </c>
      <c r="F95" s="80">
        <v>27.42</v>
      </c>
      <c r="G95" s="2">
        <v>1910.03896960943</v>
      </c>
      <c r="H95" s="82">
        <f t="shared" si="8"/>
        <v>52373.2685466906</v>
      </c>
      <c r="I95" s="43"/>
    </row>
    <row r="96" s="2" customFormat="1" spans="1:9">
      <c r="A96" s="7"/>
      <c r="B96" s="7">
        <v>726</v>
      </c>
      <c r="C96" s="16">
        <v>220103061304</v>
      </c>
      <c r="D96" s="17" t="s">
        <v>24</v>
      </c>
      <c r="E96" s="18" t="s">
        <v>12</v>
      </c>
      <c r="F96" s="80">
        <v>27.42</v>
      </c>
      <c r="G96" s="2">
        <v>215.05153124277</v>
      </c>
      <c r="H96" s="82">
        <f t="shared" si="8"/>
        <v>5896.71298667675</v>
      </c>
      <c r="I96" s="43"/>
    </row>
    <row r="97" s="2" customFormat="1" spans="1:9">
      <c r="A97" s="7"/>
      <c r="B97" s="7">
        <v>727</v>
      </c>
      <c r="C97" s="16">
        <v>220103061305</v>
      </c>
      <c r="D97" s="17" t="s">
        <v>25</v>
      </c>
      <c r="E97" s="18" t="s">
        <v>12</v>
      </c>
      <c r="F97" s="80">
        <v>27.42</v>
      </c>
      <c r="G97" s="2">
        <v>3350.54287729909</v>
      </c>
      <c r="H97" s="82">
        <f t="shared" si="8"/>
        <v>91871.8856955412</v>
      </c>
      <c r="I97" s="43"/>
    </row>
    <row r="98" s="2" customFormat="1" spans="1:9">
      <c r="A98" s="7"/>
      <c r="B98" s="7">
        <v>728</v>
      </c>
      <c r="C98" s="16">
        <v>22010306130501</v>
      </c>
      <c r="D98" s="17" t="s">
        <v>27</v>
      </c>
      <c r="E98" s="18" t="s">
        <v>16</v>
      </c>
      <c r="F98" s="80">
        <v>802.04</v>
      </c>
      <c r="G98" s="82">
        <f>H97/F98</f>
        <v>114.547760330583</v>
      </c>
      <c r="H98" s="82">
        <f t="shared" si="8"/>
        <v>91871.8856955412</v>
      </c>
      <c r="I98" s="43"/>
    </row>
    <row r="99" s="2" customFormat="1" spans="1:9">
      <c r="A99" s="7"/>
      <c r="B99" s="7">
        <v>729</v>
      </c>
      <c r="C99" s="17" t="s">
        <v>67</v>
      </c>
      <c r="D99" s="17" t="s">
        <v>29</v>
      </c>
      <c r="E99" s="18" t="s">
        <v>16</v>
      </c>
      <c r="F99" s="80">
        <v>9.29</v>
      </c>
      <c r="G99" s="82">
        <f>H99/F99</f>
        <v>197.786621518926</v>
      </c>
      <c r="H99" s="82">
        <f>0.02*H98</f>
        <v>1837.43771391082</v>
      </c>
      <c r="I99" s="43"/>
    </row>
    <row r="100" s="2" customFormat="1" spans="1:9">
      <c r="A100" s="7"/>
      <c r="B100" s="7">
        <v>730</v>
      </c>
      <c r="C100" s="17" t="s">
        <v>68</v>
      </c>
      <c r="D100" s="17" t="s">
        <v>31</v>
      </c>
      <c r="E100" s="18" t="s">
        <v>16</v>
      </c>
      <c r="F100" s="80">
        <v>9.29</v>
      </c>
      <c r="G100" s="82">
        <f>G99</f>
        <v>197.786621518926</v>
      </c>
      <c r="H100" s="82">
        <f>H99</f>
        <v>1837.43771391082</v>
      </c>
      <c r="I100" s="43"/>
    </row>
    <row r="101" s="2" customFormat="1" spans="1:9">
      <c r="A101" s="7"/>
      <c r="B101" s="7">
        <v>731</v>
      </c>
      <c r="C101" s="17" t="s">
        <v>69</v>
      </c>
      <c r="D101" s="17" t="s">
        <v>33</v>
      </c>
      <c r="E101" s="18" t="s">
        <v>16</v>
      </c>
      <c r="F101" s="80">
        <v>792.74</v>
      </c>
      <c r="G101" s="82">
        <f>H101/F101</f>
        <v>113.573741682809</v>
      </c>
      <c r="H101" s="82">
        <f>H98-H100</f>
        <v>90034.4479816304</v>
      </c>
      <c r="I101" s="43"/>
    </row>
    <row r="102" s="2" customFormat="1" spans="1:9">
      <c r="A102" s="7"/>
      <c r="B102" s="7">
        <v>1183</v>
      </c>
      <c r="C102" s="16">
        <v>22030323</v>
      </c>
      <c r="D102" s="17" t="s">
        <v>59</v>
      </c>
      <c r="E102" s="18" t="s">
        <v>12</v>
      </c>
      <c r="F102" s="19">
        <f>F103</f>
        <v>27.42</v>
      </c>
      <c r="G102" s="20"/>
      <c r="H102" s="20">
        <v>1983.05</v>
      </c>
      <c r="I102" s="43"/>
    </row>
    <row r="103" s="2" customFormat="1" ht="28" spans="1:9">
      <c r="A103" s="7"/>
      <c r="B103" s="7">
        <v>1185</v>
      </c>
      <c r="C103" s="16">
        <v>2203032303</v>
      </c>
      <c r="D103" s="17" t="s">
        <v>70</v>
      </c>
      <c r="E103" s="18" t="s">
        <v>12</v>
      </c>
      <c r="F103" s="19">
        <v>27.42</v>
      </c>
      <c r="G103" s="20">
        <v>72.31</v>
      </c>
      <c r="H103" s="20">
        <v>1983.05</v>
      </c>
      <c r="I103" s="43"/>
    </row>
    <row r="104" s="2" customFormat="1" spans="1:9">
      <c r="A104" s="7" t="s">
        <v>71</v>
      </c>
      <c r="B104" s="7">
        <v>591</v>
      </c>
      <c r="C104" s="16">
        <v>2201030230</v>
      </c>
      <c r="D104" s="17" t="s">
        <v>72</v>
      </c>
      <c r="E104" s="18" t="s">
        <v>12</v>
      </c>
      <c r="F104" s="19">
        <f>F105</f>
        <v>595.35</v>
      </c>
      <c r="G104" s="20"/>
      <c r="H104" s="135">
        <f>H105+H108+H110+H111+H112</f>
        <v>2501861.3472384</v>
      </c>
      <c r="I104" s="43"/>
    </row>
    <row r="105" s="2" customFormat="1" spans="1:9">
      <c r="A105" s="7"/>
      <c r="B105" s="7">
        <v>592</v>
      </c>
      <c r="C105" s="16">
        <v>220103023001</v>
      </c>
      <c r="D105" s="17" t="s">
        <v>13</v>
      </c>
      <c r="E105" s="18" t="s">
        <v>12</v>
      </c>
      <c r="F105" s="19">
        <v>595.35</v>
      </c>
      <c r="G105" s="2">
        <v>1175.4267935344</v>
      </c>
      <c r="H105" s="20">
        <f>G105*F105</f>
        <v>699790.341530706</v>
      </c>
      <c r="I105" s="43"/>
    </row>
    <row r="106" s="2" customFormat="1" spans="1:9">
      <c r="A106" s="7"/>
      <c r="B106" s="7">
        <v>593</v>
      </c>
      <c r="C106" s="16">
        <v>22010302300101</v>
      </c>
      <c r="D106" s="17" t="s">
        <v>15</v>
      </c>
      <c r="E106" s="18" t="s">
        <v>16</v>
      </c>
      <c r="F106" s="19">
        <v>15.4</v>
      </c>
      <c r="G106" s="20">
        <f>H106/F106</f>
        <v>345.35107763853</v>
      </c>
      <c r="H106" s="20">
        <f>0.0076*H105</f>
        <v>5318.40659563336</v>
      </c>
      <c r="I106" s="43"/>
    </row>
    <row r="107" s="2" customFormat="1" spans="1:9">
      <c r="A107" s="7"/>
      <c r="B107" s="7">
        <v>594</v>
      </c>
      <c r="C107" s="16">
        <v>22010302300102</v>
      </c>
      <c r="D107" s="17" t="s">
        <v>18</v>
      </c>
      <c r="E107" s="18" t="s">
        <v>19</v>
      </c>
      <c r="F107" s="19">
        <v>472.37</v>
      </c>
      <c r="G107" s="20">
        <f>H107/F107</f>
        <v>1470.18636859892</v>
      </c>
      <c r="H107" s="20">
        <f>H105-H106</f>
        <v>694471.934935072</v>
      </c>
      <c r="I107" s="43"/>
    </row>
    <row r="108" s="2" customFormat="1" spans="1:9">
      <c r="A108" s="7"/>
      <c r="B108" s="7">
        <v>595</v>
      </c>
      <c r="C108" s="16">
        <v>220103023002</v>
      </c>
      <c r="D108" s="17" t="s">
        <v>20</v>
      </c>
      <c r="E108" s="18" t="s">
        <v>12</v>
      </c>
      <c r="F108" s="19">
        <v>595.35</v>
      </c>
      <c r="G108" s="2">
        <v>1014.39270733571</v>
      </c>
      <c r="H108" s="20">
        <f t="shared" ref="H108:H113" si="9">G108*F108</f>
        <v>603918.698312313</v>
      </c>
      <c r="I108" s="43"/>
    </row>
    <row r="109" s="2" customFormat="1" spans="1:9">
      <c r="A109" s="7"/>
      <c r="B109" s="7">
        <v>596</v>
      </c>
      <c r="C109" s="16">
        <v>22010302300202</v>
      </c>
      <c r="D109" s="17" t="s">
        <v>22</v>
      </c>
      <c r="E109" s="18" t="s">
        <v>12</v>
      </c>
      <c r="F109" s="19">
        <v>595.35</v>
      </c>
      <c r="G109" s="20">
        <f>G108</f>
        <v>1014.39270733571</v>
      </c>
      <c r="H109" s="20">
        <f t="shared" si="9"/>
        <v>603918.698312313</v>
      </c>
      <c r="I109" s="43"/>
    </row>
    <row r="110" s="2" customFormat="1" spans="1:9">
      <c r="A110" s="7"/>
      <c r="B110" s="7">
        <v>597</v>
      </c>
      <c r="C110" s="16">
        <v>220103023003</v>
      </c>
      <c r="D110" s="17" t="s">
        <v>23</v>
      </c>
      <c r="E110" s="18" t="s">
        <v>12</v>
      </c>
      <c r="F110" s="19">
        <v>595.35</v>
      </c>
      <c r="G110" s="2">
        <v>1102.32209371082</v>
      </c>
      <c r="H110" s="20">
        <f t="shared" si="9"/>
        <v>656267.458490738</v>
      </c>
      <c r="I110" s="43"/>
    </row>
    <row r="111" s="2" customFormat="1" spans="1:9">
      <c r="A111" s="7"/>
      <c r="B111" s="7">
        <v>598</v>
      </c>
      <c r="C111" s="16">
        <v>220103023004</v>
      </c>
      <c r="D111" s="17" t="s">
        <v>24</v>
      </c>
      <c r="E111" s="18" t="s">
        <v>12</v>
      </c>
      <c r="F111" s="19">
        <v>595.35</v>
      </c>
      <c r="G111" s="2">
        <v>252.518426041787</v>
      </c>
      <c r="H111" s="20">
        <f t="shared" si="9"/>
        <v>150336.844943978</v>
      </c>
      <c r="I111" s="43"/>
    </row>
    <row r="112" s="2" customFormat="1" spans="1:9">
      <c r="A112" s="7"/>
      <c r="B112" s="7">
        <v>599</v>
      </c>
      <c r="C112" s="16">
        <v>220103023005</v>
      </c>
      <c r="D112" s="17" t="s">
        <v>25</v>
      </c>
      <c r="E112" s="18" t="s">
        <v>12</v>
      </c>
      <c r="F112" s="19">
        <v>595.35</v>
      </c>
      <c r="G112" s="2">
        <v>657.677003377282</v>
      </c>
      <c r="H112" s="20">
        <f t="shared" si="9"/>
        <v>391548.003960665</v>
      </c>
      <c r="I112" s="43"/>
    </row>
    <row r="113" s="2" customFormat="1" spans="1:9">
      <c r="A113" s="7"/>
      <c r="B113" s="7">
        <v>600</v>
      </c>
      <c r="C113" s="16">
        <v>22010302300501</v>
      </c>
      <c r="D113" s="17" t="s">
        <v>27</v>
      </c>
      <c r="E113" s="18" t="s">
        <v>16</v>
      </c>
      <c r="F113" s="19">
        <v>3276.2</v>
      </c>
      <c r="G113" s="20">
        <f>H112/F113</f>
        <v>119.512851462263</v>
      </c>
      <c r="H113" s="20">
        <f t="shared" si="9"/>
        <v>391548.003960665</v>
      </c>
      <c r="I113" s="43"/>
    </row>
    <row r="114" s="2" customFormat="1" spans="1:9">
      <c r="A114" s="7"/>
      <c r="B114" s="7">
        <v>601</v>
      </c>
      <c r="C114" s="17" t="s">
        <v>73</v>
      </c>
      <c r="D114" s="17" t="s">
        <v>29</v>
      </c>
      <c r="E114" s="18" t="s">
        <v>16</v>
      </c>
      <c r="F114" s="19">
        <v>260</v>
      </c>
      <c r="G114" s="20">
        <f>H114/F114</f>
        <v>199.840077406078</v>
      </c>
      <c r="H114" s="20">
        <f>0.1327*H112</f>
        <v>51958.4201255802</v>
      </c>
      <c r="I114" s="43"/>
    </row>
    <row r="115" s="2" customFormat="1" spans="1:9">
      <c r="A115" s="7"/>
      <c r="B115" s="7">
        <v>602</v>
      </c>
      <c r="C115" s="17" t="s">
        <v>74</v>
      </c>
      <c r="D115" s="17" t="s">
        <v>31</v>
      </c>
      <c r="E115" s="18" t="s">
        <v>16</v>
      </c>
      <c r="F115" s="19">
        <v>260</v>
      </c>
      <c r="G115" s="20">
        <f>G114</f>
        <v>199.840077406078</v>
      </c>
      <c r="H115" s="20">
        <f>H114</f>
        <v>51958.4201255802</v>
      </c>
      <c r="I115" s="43"/>
    </row>
    <row r="116" s="2" customFormat="1" spans="1:9">
      <c r="A116" s="7"/>
      <c r="B116" s="7">
        <v>603</v>
      </c>
      <c r="C116" s="17" t="s">
        <v>75</v>
      </c>
      <c r="D116" s="17" t="s">
        <v>33</v>
      </c>
      <c r="E116" s="18" t="s">
        <v>16</v>
      </c>
      <c r="F116" s="19">
        <f>H116/G116</f>
        <v>3200.65583256442</v>
      </c>
      <c r="G116" s="20">
        <v>106.1</v>
      </c>
      <c r="H116" s="20">
        <f>H112-H114</f>
        <v>339589.583835085</v>
      </c>
      <c r="I116" s="43"/>
    </row>
    <row r="117" s="2" customFormat="1" ht="28" spans="1:9">
      <c r="A117" s="7"/>
      <c r="B117" s="7">
        <v>1104</v>
      </c>
      <c r="C117" s="16">
        <v>22030128</v>
      </c>
      <c r="D117" s="17" t="s">
        <v>76</v>
      </c>
      <c r="E117" s="18" t="s">
        <v>12</v>
      </c>
      <c r="F117" s="19">
        <f t="shared" ref="F117:F121" si="10">F118</f>
        <v>595.35</v>
      </c>
      <c r="G117" s="20"/>
      <c r="H117" s="20">
        <v>3986.41</v>
      </c>
      <c r="I117" s="43"/>
    </row>
    <row r="118" s="2" customFormat="1" spans="1:9">
      <c r="A118" s="7"/>
      <c r="B118" s="7">
        <v>1105</v>
      </c>
      <c r="C118" s="16">
        <v>2203012801</v>
      </c>
      <c r="D118" s="17" t="s">
        <v>44</v>
      </c>
      <c r="E118" s="18" t="s">
        <v>12</v>
      </c>
      <c r="F118" s="19">
        <v>595.35</v>
      </c>
      <c r="G118" s="20">
        <v>6.7</v>
      </c>
      <c r="H118" s="20">
        <v>3986.41</v>
      </c>
      <c r="I118" s="43"/>
    </row>
    <row r="119" s="2" customFormat="1" spans="1:9">
      <c r="A119" s="7"/>
      <c r="B119" s="7">
        <v>1140</v>
      </c>
      <c r="C119" s="16">
        <v>22030228</v>
      </c>
      <c r="D119" s="17" t="s">
        <v>77</v>
      </c>
      <c r="E119" s="18" t="s">
        <v>12</v>
      </c>
      <c r="F119" s="19">
        <f t="shared" si="10"/>
        <v>595.35</v>
      </c>
      <c r="G119" s="20"/>
      <c r="H119" s="20">
        <f>H120</f>
        <v>140290.92</v>
      </c>
      <c r="I119" s="43"/>
    </row>
    <row r="120" s="2" customFormat="1" spans="1:9">
      <c r="A120" s="7"/>
      <c r="B120" s="7">
        <v>1141</v>
      </c>
      <c r="C120" s="16">
        <v>2203022801</v>
      </c>
      <c r="D120" s="17" t="s">
        <v>44</v>
      </c>
      <c r="E120" s="18" t="s">
        <v>12</v>
      </c>
      <c r="F120" s="19">
        <v>595.35</v>
      </c>
      <c r="G120" s="20">
        <f>212.08/0.9</f>
        <v>235.644444444444</v>
      </c>
      <c r="H120" s="20">
        <f>G120*F120</f>
        <v>140290.92</v>
      </c>
      <c r="I120" s="43"/>
    </row>
    <row r="121" s="2" customFormat="1" spans="1:9">
      <c r="A121" s="7"/>
      <c r="B121" s="7">
        <v>1192</v>
      </c>
      <c r="C121" s="16">
        <v>22030328</v>
      </c>
      <c r="D121" s="17" t="s">
        <v>78</v>
      </c>
      <c r="E121" s="18" t="s">
        <v>12</v>
      </c>
      <c r="F121" s="19">
        <f t="shared" si="10"/>
        <v>595.35</v>
      </c>
      <c r="G121" s="20"/>
      <c r="H121" s="20">
        <v>19214.33</v>
      </c>
      <c r="I121" s="43"/>
    </row>
    <row r="122" s="2" customFormat="1" spans="1:9">
      <c r="A122" s="7"/>
      <c r="B122" s="7">
        <v>1193</v>
      </c>
      <c r="C122" s="16">
        <v>2203032801</v>
      </c>
      <c r="D122" s="17" t="s">
        <v>44</v>
      </c>
      <c r="E122" s="18" t="s">
        <v>12</v>
      </c>
      <c r="F122" s="19">
        <v>595.35</v>
      </c>
      <c r="G122" s="20">
        <v>32.28</v>
      </c>
      <c r="H122" s="20">
        <v>19214.33</v>
      </c>
      <c r="I122" s="43"/>
    </row>
    <row r="123" s="2" customFormat="1" spans="1:9">
      <c r="A123" s="7" t="s">
        <v>79</v>
      </c>
      <c r="B123" s="7">
        <v>1029</v>
      </c>
      <c r="C123" s="16">
        <v>22010407</v>
      </c>
      <c r="D123" s="17" t="s">
        <v>80</v>
      </c>
      <c r="E123" s="18" t="s">
        <v>12</v>
      </c>
      <c r="F123" s="19">
        <f>F124</f>
        <v>74.61</v>
      </c>
      <c r="G123" s="20"/>
      <c r="H123" s="20">
        <v>39305.08</v>
      </c>
      <c r="I123" s="43"/>
    </row>
    <row r="124" s="2" customFormat="1" spans="1:9">
      <c r="A124" s="7"/>
      <c r="B124" s="7">
        <v>1030</v>
      </c>
      <c r="C124" s="16">
        <v>2201040702</v>
      </c>
      <c r="D124" s="17" t="s">
        <v>53</v>
      </c>
      <c r="E124" s="18" t="s">
        <v>12</v>
      </c>
      <c r="F124" s="19">
        <v>74.61</v>
      </c>
      <c r="G124" s="20">
        <v>526.81</v>
      </c>
      <c r="H124" s="20">
        <v>39305.08</v>
      </c>
      <c r="I124" s="43"/>
    </row>
    <row r="125" s="2" customFormat="1" ht="28" spans="1:9">
      <c r="A125" s="7" t="s">
        <v>81</v>
      </c>
      <c r="B125" s="7">
        <v>524</v>
      </c>
      <c r="C125" s="16">
        <v>22010301</v>
      </c>
      <c r="D125" s="17" t="s">
        <v>82</v>
      </c>
      <c r="E125" s="18" t="s">
        <v>12</v>
      </c>
      <c r="F125" s="80">
        <f>F126</f>
        <v>26.09</v>
      </c>
      <c r="G125" s="82"/>
      <c r="H125" s="81">
        <f>H127+H130+H132+H133+H134</f>
        <v>236992.323266752</v>
      </c>
      <c r="I125" s="43"/>
    </row>
    <row r="126" s="2" customFormat="1" spans="1:9">
      <c r="A126" s="7"/>
      <c r="B126" s="7">
        <v>525</v>
      </c>
      <c r="C126" s="16">
        <v>2201030106</v>
      </c>
      <c r="D126" s="17" t="s">
        <v>63</v>
      </c>
      <c r="E126" s="18" t="s">
        <v>12</v>
      </c>
      <c r="F126" s="80">
        <v>26.09</v>
      </c>
      <c r="G126" s="82">
        <f t="shared" ref="G126:G129" si="11">H126/F126</f>
        <v>9083.64596652941</v>
      </c>
      <c r="H126" s="82">
        <f>H125</f>
        <v>236992.323266752</v>
      </c>
      <c r="I126" s="43"/>
    </row>
    <row r="127" s="2" customFormat="1" spans="1:9">
      <c r="A127" s="7"/>
      <c r="B127" s="7">
        <v>526</v>
      </c>
      <c r="C127" s="16">
        <v>220103010601</v>
      </c>
      <c r="D127" s="17" t="s">
        <v>13</v>
      </c>
      <c r="E127" s="18" t="s">
        <v>12</v>
      </c>
      <c r="F127" s="80">
        <v>26.09</v>
      </c>
      <c r="G127" s="2">
        <v>2003.77880519645</v>
      </c>
      <c r="H127" s="82">
        <f t="shared" ref="H127:H135" si="12">G127*F127</f>
        <v>52278.5890275753</v>
      </c>
      <c r="I127" s="43"/>
    </row>
    <row r="128" s="2" customFormat="1" spans="1:9">
      <c r="A128" s="7"/>
      <c r="B128" s="7">
        <v>527</v>
      </c>
      <c r="C128" s="16">
        <v>22010301060101</v>
      </c>
      <c r="D128" s="17" t="s">
        <v>15</v>
      </c>
      <c r="E128" s="18" t="s">
        <v>16</v>
      </c>
      <c r="F128" s="80">
        <v>0.5304</v>
      </c>
      <c r="G128" s="82">
        <f t="shared" si="11"/>
        <v>364.688498118455</v>
      </c>
      <c r="H128" s="82">
        <f>0.0037*H127</f>
        <v>193.430779402029</v>
      </c>
      <c r="I128" s="43"/>
    </row>
    <row r="129" s="2" customFormat="1" spans="1:9">
      <c r="A129" s="7"/>
      <c r="B129" s="7">
        <v>528</v>
      </c>
      <c r="C129" s="16">
        <v>22010301060102</v>
      </c>
      <c r="D129" s="17" t="s">
        <v>18</v>
      </c>
      <c r="E129" s="18" t="s">
        <v>19</v>
      </c>
      <c r="F129" s="80">
        <v>18.7075</v>
      </c>
      <c r="G129" s="82">
        <f t="shared" si="11"/>
        <v>2784.18592800605</v>
      </c>
      <c r="H129" s="82">
        <f>H127-H128</f>
        <v>52085.1582481733</v>
      </c>
      <c r="I129" s="43"/>
    </row>
    <row r="130" s="2" customFormat="1" spans="1:9">
      <c r="A130" s="7"/>
      <c r="B130" s="7">
        <v>529</v>
      </c>
      <c r="C130" s="16">
        <v>220103010602</v>
      </c>
      <c r="D130" s="17" t="s">
        <v>20</v>
      </c>
      <c r="E130" s="18" t="s">
        <v>12</v>
      </c>
      <c r="F130" s="80">
        <v>26.09</v>
      </c>
      <c r="G130" s="2">
        <v>1413.83736086286</v>
      </c>
      <c r="H130" s="82">
        <f t="shared" si="12"/>
        <v>36887.0167449119</v>
      </c>
      <c r="I130" s="43"/>
    </row>
    <row r="131" s="2" customFormat="1" spans="1:9">
      <c r="A131" s="7"/>
      <c r="B131" s="7">
        <v>530</v>
      </c>
      <c r="C131" s="16">
        <v>22010301060202</v>
      </c>
      <c r="D131" s="17" t="s">
        <v>22</v>
      </c>
      <c r="E131" s="18" t="s">
        <v>12</v>
      </c>
      <c r="F131" s="80">
        <v>26.09</v>
      </c>
      <c r="G131" s="82">
        <f>H130/F131</f>
        <v>1413.83736086286</v>
      </c>
      <c r="H131" s="82">
        <f t="shared" si="12"/>
        <v>36887.0167449119</v>
      </c>
      <c r="I131" s="43"/>
    </row>
    <row r="132" s="2" customFormat="1" spans="1:9">
      <c r="A132" s="7"/>
      <c r="B132" s="7">
        <v>531</v>
      </c>
      <c r="C132" s="16">
        <v>220103010603</v>
      </c>
      <c r="D132" s="17" t="s">
        <v>23</v>
      </c>
      <c r="E132" s="18" t="s">
        <v>12</v>
      </c>
      <c r="F132" s="80">
        <v>26.09</v>
      </c>
      <c r="G132" s="2">
        <v>2107.49578158714</v>
      </c>
      <c r="H132" s="82">
        <f t="shared" si="12"/>
        <v>54984.5649416085</v>
      </c>
      <c r="I132" s="43"/>
    </row>
    <row r="133" s="2" customFormat="1" spans="1:9">
      <c r="A133" s="7"/>
      <c r="B133" s="7">
        <v>532</v>
      </c>
      <c r="C133" s="16">
        <v>220103010604</v>
      </c>
      <c r="D133" s="17" t="s">
        <v>24</v>
      </c>
      <c r="E133" s="18" t="s">
        <v>12</v>
      </c>
      <c r="F133" s="80">
        <v>26.09</v>
      </c>
      <c r="G133" s="2">
        <v>225.715849300707</v>
      </c>
      <c r="H133" s="82">
        <f t="shared" si="12"/>
        <v>5888.92650825544</v>
      </c>
      <c r="I133" s="43"/>
    </row>
    <row r="134" s="2" customFormat="1" spans="1:9">
      <c r="A134" s="7"/>
      <c r="B134" s="7">
        <v>533</v>
      </c>
      <c r="C134" s="16">
        <v>220103010605</v>
      </c>
      <c r="D134" s="17" t="s">
        <v>25</v>
      </c>
      <c r="E134" s="18" t="s">
        <v>12</v>
      </c>
      <c r="F134" s="80">
        <v>29.35</v>
      </c>
      <c r="G134" s="2">
        <v>2962.63121105285</v>
      </c>
      <c r="H134" s="82">
        <f t="shared" si="12"/>
        <v>86953.2260444011</v>
      </c>
      <c r="I134" s="43"/>
    </row>
    <row r="135" s="2" customFormat="1" spans="1:9">
      <c r="A135" s="7"/>
      <c r="B135" s="7">
        <v>534</v>
      </c>
      <c r="C135" s="16">
        <v>22010301060501</v>
      </c>
      <c r="D135" s="17" t="s">
        <v>27</v>
      </c>
      <c r="E135" s="18" t="s">
        <v>16</v>
      </c>
      <c r="F135" s="80">
        <v>721.96</v>
      </c>
      <c r="G135" s="82">
        <f>H134/F135</f>
        <v>120.440503690511</v>
      </c>
      <c r="H135" s="82">
        <f t="shared" si="12"/>
        <v>86953.2260444011</v>
      </c>
      <c r="I135" s="43"/>
    </row>
    <row r="136" s="2" customFormat="1" spans="1:9">
      <c r="A136" s="7"/>
      <c r="B136" s="7">
        <v>535</v>
      </c>
      <c r="C136" s="17" t="s">
        <v>56</v>
      </c>
      <c r="D136" s="17" t="s">
        <v>29</v>
      </c>
      <c r="E136" s="18" t="s">
        <v>16</v>
      </c>
      <c r="F136" s="80">
        <v>11.88</v>
      </c>
      <c r="G136" s="82">
        <f>H136/F136</f>
        <v>212.259558525895</v>
      </c>
      <c r="H136" s="82">
        <f>0.029*H135</f>
        <v>2521.64355528763</v>
      </c>
      <c r="I136" s="43"/>
    </row>
    <row r="137" s="2" customFormat="1" spans="1:9">
      <c r="A137" s="7"/>
      <c r="B137" s="7">
        <v>536</v>
      </c>
      <c r="C137" s="17" t="s">
        <v>57</v>
      </c>
      <c r="D137" s="17" t="s">
        <v>31</v>
      </c>
      <c r="E137" s="18" t="s">
        <v>16</v>
      </c>
      <c r="F137" s="80">
        <v>11.88</v>
      </c>
      <c r="G137" s="82">
        <f>G136</f>
        <v>212.259558525895</v>
      </c>
      <c r="H137" s="82">
        <f>G137*F137</f>
        <v>2521.64355528763</v>
      </c>
      <c r="I137" s="43"/>
    </row>
    <row r="138" s="2" customFormat="1" spans="1:9">
      <c r="A138" s="7"/>
      <c r="B138" s="7">
        <v>537</v>
      </c>
      <c r="C138" s="17" t="s">
        <v>58</v>
      </c>
      <c r="D138" s="17" t="s">
        <v>33</v>
      </c>
      <c r="E138" s="18" t="s">
        <v>16</v>
      </c>
      <c r="F138" s="80">
        <v>710.08</v>
      </c>
      <c r="G138" s="82">
        <f>H138/F138</f>
        <v>118.904324145327</v>
      </c>
      <c r="H138" s="82">
        <f>H135-H137</f>
        <v>84431.5824891135</v>
      </c>
      <c r="I138" s="43"/>
    </row>
    <row r="139" s="2" customFormat="1" spans="1:9">
      <c r="A139" s="7"/>
      <c r="B139" s="7">
        <v>1183</v>
      </c>
      <c r="C139" s="16">
        <v>22030323</v>
      </c>
      <c r="D139" s="17" t="s">
        <v>59</v>
      </c>
      <c r="E139" s="18" t="s">
        <v>12</v>
      </c>
      <c r="F139" s="19">
        <f>F140</f>
        <v>26.09</v>
      </c>
      <c r="G139" s="20"/>
      <c r="H139" s="20">
        <v>2281.71</v>
      </c>
      <c r="I139" s="43"/>
    </row>
    <row r="140" s="2" customFormat="1" ht="28" spans="1:9">
      <c r="A140" s="7"/>
      <c r="B140" s="7">
        <v>1187</v>
      </c>
      <c r="C140" s="16">
        <v>2203032305</v>
      </c>
      <c r="D140" s="17" t="s">
        <v>83</v>
      </c>
      <c r="E140" s="18" t="s">
        <v>12</v>
      </c>
      <c r="F140" s="19">
        <v>26.09</v>
      </c>
      <c r="G140" s="20">
        <v>87.45</v>
      </c>
      <c r="H140" s="20">
        <v>2281.71</v>
      </c>
      <c r="I140" s="43"/>
    </row>
    <row r="141" s="2" customFormat="1" ht="28" spans="1:9">
      <c r="A141" s="7" t="s">
        <v>84</v>
      </c>
      <c r="B141" s="7">
        <v>880</v>
      </c>
      <c r="C141" s="16">
        <v>220103090218</v>
      </c>
      <c r="D141" s="17" t="s">
        <v>85</v>
      </c>
      <c r="E141" s="18" t="s">
        <v>12</v>
      </c>
      <c r="F141" s="19">
        <f>F142</f>
        <v>14.05</v>
      </c>
      <c r="G141" s="20"/>
      <c r="H141" s="135">
        <f>H142+H145+H147+H148+H149</f>
        <v>210074.1244128</v>
      </c>
      <c r="I141" s="43"/>
    </row>
    <row r="142" s="2" customFormat="1" spans="1:9">
      <c r="A142" s="7"/>
      <c r="B142" s="7">
        <v>881</v>
      </c>
      <c r="C142" s="16">
        <v>22010309021801</v>
      </c>
      <c r="D142" s="17" t="s">
        <v>13</v>
      </c>
      <c r="E142" s="18" t="s">
        <v>12</v>
      </c>
      <c r="F142" s="19">
        <v>14.05</v>
      </c>
      <c r="G142" s="2">
        <v>4060.81868658816</v>
      </c>
      <c r="H142" s="20">
        <f>G142*F142</f>
        <v>57054.5025465637</v>
      </c>
      <c r="I142" s="43"/>
    </row>
    <row r="143" s="2" customFormat="1" spans="1:9">
      <c r="A143" s="7"/>
      <c r="B143" s="7">
        <v>882</v>
      </c>
      <c r="C143" s="17" t="s">
        <v>86</v>
      </c>
      <c r="D143" s="17" t="s">
        <v>15</v>
      </c>
      <c r="E143" s="18" t="s">
        <v>16</v>
      </c>
      <c r="F143" s="19">
        <v>0.38</v>
      </c>
      <c r="G143" s="20">
        <f>H143/F143</f>
        <v>345.329883834464</v>
      </c>
      <c r="H143" s="20">
        <f>0.0023*H142</f>
        <v>131.225355857096</v>
      </c>
      <c r="I143" s="43"/>
    </row>
    <row r="144" s="2" customFormat="1" spans="1:9">
      <c r="A144" s="7"/>
      <c r="B144" s="7">
        <v>883</v>
      </c>
      <c r="C144" s="17" t="s">
        <v>87</v>
      </c>
      <c r="D144" s="17" t="s">
        <v>18</v>
      </c>
      <c r="E144" s="18" t="s">
        <v>19</v>
      </c>
      <c r="F144" s="19">
        <v>17.8</v>
      </c>
      <c r="G144" s="20">
        <f>H144/F144</f>
        <v>3197.93692082621</v>
      </c>
      <c r="H144" s="20">
        <f>H142-H143</f>
        <v>56923.2771907066</v>
      </c>
      <c r="I144" s="43"/>
    </row>
    <row r="145" s="2" customFormat="1" spans="1:9">
      <c r="A145" s="7"/>
      <c r="B145" s="7">
        <v>884</v>
      </c>
      <c r="C145" s="16">
        <v>22010309021802</v>
      </c>
      <c r="D145" s="17" t="s">
        <v>20</v>
      </c>
      <c r="E145" s="18" t="s">
        <v>12</v>
      </c>
      <c r="F145" s="19">
        <v>14.05</v>
      </c>
      <c r="G145" s="2">
        <v>1043.95560346021</v>
      </c>
      <c r="H145" s="20">
        <f t="shared" ref="H145:H150" si="13">G145*F145</f>
        <v>14667.576228616</v>
      </c>
      <c r="I145" s="43"/>
    </row>
    <row r="146" s="2" customFormat="1" spans="1:9">
      <c r="A146" s="7"/>
      <c r="B146" s="7">
        <v>885</v>
      </c>
      <c r="C146" s="17" t="s">
        <v>88</v>
      </c>
      <c r="D146" s="17" t="s">
        <v>22</v>
      </c>
      <c r="E146" s="18" t="s">
        <v>12</v>
      </c>
      <c r="F146" s="19">
        <v>14.05</v>
      </c>
      <c r="G146" s="20">
        <f>H145/F146</f>
        <v>1043.95560346021</v>
      </c>
      <c r="H146" s="20">
        <f t="shared" si="13"/>
        <v>14667.576228616</v>
      </c>
      <c r="I146" s="43"/>
    </row>
    <row r="147" s="2" customFormat="1" spans="1:9">
      <c r="A147" s="7"/>
      <c r="B147" s="7">
        <v>886</v>
      </c>
      <c r="C147" s="16">
        <v>22010309021803</v>
      </c>
      <c r="D147" s="17" t="s">
        <v>23</v>
      </c>
      <c r="E147" s="18" t="s">
        <v>12</v>
      </c>
      <c r="F147" s="19">
        <v>14.05</v>
      </c>
      <c r="G147" s="2">
        <v>2372.44472480688</v>
      </c>
      <c r="H147" s="20">
        <f t="shared" si="13"/>
        <v>33332.8483835366</v>
      </c>
      <c r="I147" s="43"/>
    </row>
    <row r="148" s="2" customFormat="1" spans="1:9">
      <c r="A148" s="7"/>
      <c r="B148" s="7">
        <v>887</v>
      </c>
      <c r="C148" s="16">
        <v>22010309021804</v>
      </c>
      <c r="D148" s="17" t="s">
        <v>24</v>
      </c>
      <c r="E148" s="18" t="s">
        <v>12</v>
      </c>
      <c r="F148" s="19">
        <v>14.05</v>
      </c>
      <c r="G148" s="2">
        <v>333.887993049526</v>
      </c>
      <c r="H148" s="20">
        <f t="shared" si="13"/>
        <v>4691.12630234583</v>
      </c>
      <c r="I148" s="43"/>
    </row>
    <row r="149" s="2" customFormat="1" spans="1:9">
      <c r="A149" s="7"/>
      <c r="B149" s="7">
        <v>888</v>
      </c>
      <c r="C149" s="16">
        <v>22010309021805</v>
      </c>
      <c r="D149" s="17" t="s">
        <v>25</v>
      </c>
      <c r="E149" s="18" t="s">
        <v>12</v>
      </c>
      <c r="F149" s="19">
        <v>14.05</v>
      </c>
      <c r="G149" s="2">
        <v>7140.78796809522</v>
      </c>
      <c r="H149" s="20">
        <f t="shared" si="13"/>
        <v>100328.070951738</v>
      </c>
      <c r="I149" s="43"/>
    </row>
    <row r="150" s="2" customFormat="1" spans="1:9">
      <c r="A150" s="7"/>
      <c r="B150" s="7">
        <v>889</v>
      </c>
      <c r="C150" s="17" t="s">
        <v>89</v>
      </c>
      <c r="D150" s="17" t="s">
        <v>27</v>
      </c>
      <c r="E150" s="18" t="s">
        <v>16</v>
      </c>
      <c r="F150" s="19">
        <v>878.45</v>
      </c>
      <c r="G150" s="20">
        <f>H149/F150</f>
        <v>114.210337471385</v>
      </c>
      <c r="H150" s="20">
        <f t="shared" si="13"/>
        <v>100328.070951738</v>
      </c>
      <c r="I150" s="43"/>
    </row>
    <row r="151" s="2" customFormat="1" spans="1:9">
      <c r="A151" s="7"/>
      <c r="B151" s="7">
        <v>890</v>
      </c>
      <c r="C151" s="17" t="s">
        <v>90</v>
      </c>
      <c r="D151" s="17" t="s">
        <v>29</v>
      </c>
      <c r="E151" s="18" t="s">
        <v>16</v>
      </c>
      <c r="F151" s="19">
        <v>8.45</v>
      </c>
      <c r="G151" s="20">
        <f>H151/F151</f>
        <v>2012.49799128042</v>
      </c>
      <c r="H151" s="20">
        <f>0.1695*H150</f>
        <v>17005.6080263196</v>
      </c>
      <c r="I151" s="43"/>
    </row>
    <row r="152" s="2" customFormat="1" ht="28" spans="1:9">
      <c r="A152" s="7"/>
      <c r="B152" s="7">
        <v>891</v>
      </c>
      <c r="C152" s="17" t="s">
        <v>91</v>
      </c>
      <c r="D152" s="17" t="s">
        <v>31</v>
      </c>
      <c r="E152" s="18" t="s">
        <v>16</v>
      </c>
      <c r="F152" s="19">
        <v>8.45</v>
      </c>
      <c r="G152" s="20">
        <f>G151</f>
        <v>2012.49799128042</v>
      </c>
      <c r="H152" s="20">
        <f>H151</f>
        <v>17005.6080263196</v>
      </c>
      <c r="I152" s="43"/>
    </row>
    <row r="153" s="2" customFormat="1" spans="1:9">
      <c r="A153" s="7"/>
      <c r="B153" s="7">
        <v>892</v>
      </c>
      <c r="C153" s="17" t="s">
        <v>92</v>
      </c>
      <c r="D153" s="17" t="s">
        <v>33</v>
      </c>
      <c r="E153" s="18" t="s">
        <v>16</v>
      </c>
      <c r="F153" s="19">
        <v>870</v>
      </c>
      <c r="G153" s="20">
        <v>106.1</v>
      </c>
      <c r="H153" s="20">
        <f>H150-H151</f>
        <v>83322.4629254183</v>
      </c>
      <c r="I153" s="43"/>
    </row>
    <row r="154" s="2" customFormat="1" spans="1:9">
      <c r="A154" s="7"/>
      <c r="B154" s="7">
        <v>1222</v>
      </c>
      <c r="C154" s="16">
        <v>220403</v>
      </c>
      <c r="D154" s="17" t="s">
        <v>35</v>
      </c>
      <c r="E154" s="18" t="s">
        <v>12</v>
      </c>
      <c r="F154" s="19">
        <f t="shared" ref="F154:F158" si="14">F155</f>
        <v>162</v>
      </c>
      <c r="G154" s="20"/>
      <c r="H154" s="20">
        <v>19509.23</v>
      </c>
      <c r="I154" s="43"/>
    </row>
    <row r="155" s="2" customFormat="1" spans="1:9">
      <c r="A155" s="7"/>
      <c r="B155" s="7">
        <v>1223</v>
      </c>
      <c r="C155" s="16">
        <v>22040305</v>
      </c>
      <c r="D155" s="17" t="s">
        <v>36</v>
      </c>
      <c r="E155" s="18" t="s">
        <v>12</v>
      </c>
      <c r="F155" s="19">
        <v>162</v>
      </c>
      <c r="G155" s="20">
        <v>120.43</v>
      </c>
      <c r="H155" s="20">
        <v>19509.23</v>
      </c>
      <c r="I155" s="43"/>
    </row>
    <row r="156" s="2" customFormat="1" ht="28" spans="1:9">
      <c r="A156" s="7" t="s">
        <v>34</v>
      </c>
      <c r="B156" s="7">
        <v>1194</v>
      </c>
      <c r="C156" s="16">
        <v>22030329</v>
      </c>
      <c r="D156" s="17" t="s">
        <v>93</v>
      </c>
      <c r="E156" s="18" t="s">
        <v>12</v>
      </c>
      <c r="F156" s="19">
        <f t="shared" si="14"/>
        <v>16.48</v>
      </c>
      <c r="G156" s="20"/>
      <c r="H156" s="20">
        <v>346.81</v>
      </c>
      <c r="I156" s="43"/>
    </row>
    <row r="157" s="2" customFormat="1" spans="1:9">
      <c r="A157" s="7"/>
      <c r="B157" s="7">
        <v>1196</v>
      </c>
      <c r="C157" s="16">
        <v>2203032902</v>
      </c>
      <c r="D157" s="17" t="s">
        <v>50</v>
      </c>
      <c r="E157" s="18" t="s">
        <v>12</v>
      </c>
      <c r="F157" s="19">
        <f>32.96/2</f>
        <v>16.48</v>
      </c>
      <c r="G157" s="20">
        <v>21.04</v>
      </c>
      <c r="H157" s="20">
        <v>346.81</v>
      </c>
      <c r="I157" s="43"/>
    </row>
    <row r="158" s="2" customFormat="1" ht="28" spans="1:9">
      <c r="A158" s="7" t="s">
        <v>94</v>
      </c>
      <c r="B158" s="7">
        <v>604</v>
      </c>
      <c r="C158" s="16">
        <v>2201030231</v>
      </c>
      <c r="D158" s="17" t="s">
        <v>95</v>
      </c>
      <c r="E158" s="18" t="s">
        <v>12</v>
      </c>
      <c r="F158" s="19">
        <f t="shared" si="14"/>
        <v>595.35</v>
      </c>
      <c r="G158" s="20"/>
      <c r="H158" s="135">
        <f>H159+H162+H164+H165+H166</f>
        <v>2155282.831296</v>
      </c>
      <c r="I158" s="43"/>
    </row>
    <row r="159" s="2" customFormat="1" spans="1:9">
      <c r="A159" s="7"/>
      <c r="B159" s="7">
        <v>605</v>
      </c>
      <c r="C159" s="16">
        <v>220103023101</v>
      </c>
      <c r="D159" s="17" t="s">
        <v>13</v>
      </c>
      <c r="E159" s="18" t="s">
        <v>12</v>
      </c>
      <c r="F159" s="19">
        <v>595.35</v>
      </c>
      <c r="G159" s="2">
        <v>1031.90808631806</v>
      </c>
      <c r="H159" s="20">
        <f>G159*F159</f>
        <v>614346.479189457</v>
      </c>
      <c r="I159" s="43"/>
    </row>
    <row r="160" s="2" customFormat="1" spans="1:9">
      <c r="A160" s="7"/>
      <c r="B160" s="7">
        <v>606</v>
      </c>
      <c r="C160" s="16">
        <v>22010302310101</v>
      </c>
      <c r="D160" s="17" t="s">
        <v>15</v>
      </c>
      <c r="E160" s="18" t="s">
        <v>16</v>
      </c>
      <c r="F160" s="19">
        <v>17.21</v>
      </c>
      <c r="G160" s="20">
        <f>H160/F160</f>
        <v>346.261525167794</v>
      </c>
      <c r="H160" s="20">
        <f>0.0097*H159</f>
        <v>5959.16084813773</v>
      </c>
      <c r="I160" s="43"/>
    </row>
    <row r="161" s="2" customFormat="1" spans="1:9">
      <c r="A161" s="7"/>
      <c r="B161" s="7">
        <v>607</v>
      </c>
      <c r="C161" s="16">
        <v>22010302310102</v>
      </c>
      <c r="D161" s="17" t="s">
        <v>18</v>
      </c>
      <c r="E161" s="18" t="s">
        <v>19</v>
      </c>
      <c r="F161" s="19">
        <v>480.6</v>
      </c>
      <c r="G161" s="20">
        <f>H161/F161</f>
        <v>1265.89121585793</v>
      </c>
      <c r="H161" s="20">
        <f>H159-H160</f>
        <v>608387.318341319</v>
      </c>
      <c r="I161" s="43"/>
    </row>
    <row r="162" s="2" customFormat="1" spans="1:9">
      <c r="A162" s="7"/>
      <c r="B162" s="7">
        <v>608</v>
      </c>
      <c r="C162" s="16">
        <v>220103023102</v>
      </c>
      <c r="D162" s="17" t="s">
        <v>20</v>
      </c>
      <c r="E162" s="18" t="s">
        <v>12</v>
      </c>
      <c r="F162" s="19">
        <v>595.35</v>
      </c>
      <c r="G162" s="2">
        <v>927.637691459191</v>
      </c>
      <c r="H162" s="20">
        <f t="shared" ref="H162:H167" si="15">G162*F162</f>
        <v>552269.099610229</v>
      </c>
      <c r="I162" s="43"/>
    </row>
    <row r="163" s="2" customFormat="1" spans="1:9">
      <c r="A163" s="7"/>
      <c r="B163" s="7">
        <v>609</v>
      </c>
      <c r="C163" s="16">
        <v>22010302310202</v>
      </c>
      <c r="D163" s="17" t="s">
        <v>22</v>
      </c>
      <c r="E163" s="18" t="s">
        <v>12</v>
      </c>
      <c r="F163" s="19">
        <v>595.35</v>
      </c>
      <c r="G163" s="20">
        <f>H162/F163</f>
        <v>927.637691459191</v>
      </c>
      <c r="H163" s="20">
        <f t="shared" si="15"/>
        <v>552269.099610229</v>
      </c>
      <c r="I163" s="43"/>
    </row>
    <row r="164" s="2" customFormat="1" spans="1:9">
      <c r="A164" s="7"/>
      <c r="B164" s="7">
        <v>610</v>
      </c>
      <c r="C164" s="16">
        <v>220103023103</v>
      </c>
      <c r="D164" s="17" t="s">
        <v>23</v>
      </c>
      <c r="E164" s="18" t="s">
        <v>12</v>
      </c>
      <c r="F164" s="19">
        <v>595.35</v>
      </c>
      <c r="G164" s="2">
        <v>1072.20977136818</v>
      </c>
      <c r="H164" s="20">
        <f t="shared" si="15"/>
        <v>638340.087384047</v>
      </c>
      <c r="I164" s="43"/>
    </row>
    <row r="165" s="2" customFormat="1" spans="1:9">
      <c r="A165" s="7"/>
      <c r="B165" s="7">
        <v>611</v>
      </c>
      <c r="C165" s="16">
        <v>220103023104</v>
      </c>
      <c r="D165" s="17" t="s">
        <v>24</v>
      </c>
      <c r="E165" s="18" t="s">
        <v>12</v>
      </c>
      <c r="F165" s="19">
        <v>595.35</v>
      </c>
      <c r="G165" s="2">
        <v>255.874839234985</v>
      </c>
      <c r="H165" s="20">
        <f t="shared" si="15"/>
        <v>152335.085538548</v>
      </c>
      <c r="I165" s="43"/>
    </row>
    <row r="166" s="2" customFormat="1" spans="1:9">
      <c r="A166" s="7"/>
      <c r="B166" s="7">
        <v>612</v>
      </c>
      <c r="C166" s="16">
        <v>220103023105</v>
      </c>
      <c r="D166" s="17" t="s">
        <v>25</v>
      </c>
      <c r="E166" s="18" t="s">
        <v>12</v>
      </c>
      <c r="F166" s="19">
        <v>595.35</v>
      </c>
      <c r="G166" s="2">
        <v>332.564171619583</v>
      </c>
      <c r="H166" s="20">
        <f t="shared" si="15"/>
        <v>197992.079573719</v>
      </c>
      <c r="I166" s="43"/>
    </row>
    <row r="167" s="2" customFormat="1" spans="1:9">
      <c r="A167" s="7"/>
      <c r="B167" s="7">
        <v>613</v>
      </c>
      <c r="C167" s="16">
        <v>22010302310501</v>
      </c>
      <c r="D167" s="17" t="s">
        <v>27</v>
      </c>
      <c r="E167" s="18" t="s">
        <v>16</v>
      </c>
      <c r="F167" s="19">
        <v>1426.73</v>
      </c>
      <c r="G167" s="20">
        <f>H166/F167</f>
        <v>138.773334529812</v>
      </c>
      <c r="H167" s="20">
        <f t="shared" si="15"/>
        <v>197992.079573719</v>
      </c>
      <c r="I167" s="43"/>
    </row>
    <row r="168" s="2" customFormat="1" spans="1:9">
      <c r="A168" s="7"/>
      <c r="B168" s="7">
        <v>614</v>
      </c>
      <c r="C168" s="17" t="s">
        <v>96</v>
      </c>
      <c r="D168" s="17" t="s">
        <v>29</v>
      </c>
      <c r="E168" s="18" t="s">
        <v>16</v>
      </c>
      <c r="F168" s="19">
        <v>398.35</v>
      </c>
      <c r="G168" s="20">
        <f>H168/F168</f>
        <v>202.291392962228</v>
      </c>
      <c r="H168" s="20">
        <f>0.407*H167</f>
        <v>80582.7763865036</v>
      </c>
      <c r="I168" s="43"/>
    </row>
    <row r="169" s="2" customFormat="1" spans="1:9">
      <c r="A169" s="7"/>
      <c r="B169" s="7">
        <v>615</v>
      </c>
      <c r="C169" s="17" t="s">
        <v>97</v>
      </c>
      <c r="D169" s="17" t="s">
        <v>31</v>
      </c>
      <c r="E169" s="18" t="s">
        <v>16</v>
      </c>
      <c r="F169" s="19">
        <v>398.35</v>
      </c>
      <c r="G169" s="20">
        <f>G168</f>
        <v>202.291392962228</v>
      </c>
      <c r="H169" s="20">
        <f>H168</f>
        <v>80582.7763865036</v>
      </c>
      <c r="I169" s="43"/>
    </row>
    <row r="170" s="2" customFormat="1" spans="1:9">
      <c r="A170" s="7"/>
      <c r="B170" s="7">
        <v>616</v>
      </c>
      <c r="C170" s="17" t="s">
        <v>98</v>
      </c>
      <c r="D170" s="17" t="s">
        <v>33</v>
      </c>
      <c r="E170" s="18" t="s">
        <v>16</v>
      </c>
      <c r="F170" s="19">
        <v>1028.38</v>
      </c>
      <c r="G170" s="20">
        <v>106.1</v>
      </c>
      <c r="H170" s="20">
        <f>H167-H168</f>
        <v>117409.303187215</v>
      </c>
      <c r="I170" s="43"/>
    </row>
    <row r="171" s="2" customFormat="1" ht="28" spans="1:9">
      <c r="A171" s="7"/>
      <c r="B171" s="7">
        <v>1106</v>
      </c>
      <c r="C171" s="16">
        <v>22030129</v>
      </c>
      <c r="D171" s="17" t="s">
        <v>99</v>
      </c>
      <c r="E171" s="18" t="s">
        <v>12</v>
      </c>
      <c r="F171" s="19">
        <f t="shared" ref="F171:F176" si="16">F172</f>
        <v>595.35</v>
      </c>
      <c r="G171" s="20"/>
      <c r="H171" s="20">
        <v>7783.98</v>
      </c>
      <c r="I171" s="43"/>
    </row>
    <row r="172" s="2" customFormat="1" spans="1:9">
      <c r="A172" s="7"/>
      <c r="B172" s="7">
        <v>1107</v>
      </c>
      <c r="C172" s="16">
        <v>2203012901</v>
      </c>
      <c r="D172" s="17" t="s">
        <v>44</v>
      </c>
      <c r="E172" s="18" t="s">
        <v>12</v>
      </c>
      <c r="F172" s="19">
        <v>595.35</v>
      </c>
      <c r="G172" s="20">
        <v>13.07</v>
      </c>
      <c r="H172" s="20">
        <v>7783.98</v>
      </c>
      <c r="I172" s="43"/>
    </row>
    <row r="173" s="2" customFormat="1" spans="1:9">
      <c r="A173" s="7"/>
      <c r="B173" s="7">
        <v>1142</v>
      </c>
      <c r="C173" s="16">
        <v>22030229</v>
      </c>
      <c r="D173" s="17" t="s">
        <v>100</v>
      </c>
      <c r="E173" s="18" t="s">
        <v>12</v>
      </c>
      <c r="F173" s="19">
        <f t="shared" si="16"/>
        <v>595.35</v>
      </c>
      <c r="G173" s="20"/>
      <c r="H173" s="20">
        <f>H174+H175</f>
        <v>233015.976404494</v>
      </c>
      <c r="I173" s="43"/>
    </row>
    <row r="174" s="2" customFormat="1" spans="1:9">
      <c r="A174" s="7"/>
      <c r="B174" s="7">
        <v>1143</v>
      </c>
      <c r="C174" s="16">
        <v>2203022901</v>
      </c>
      <c r="D174" s="17" t="s">
        <v>44</v>
      </c>
      <c r="E174" s="18" t="s">
        <v>12</v>
      </c>
      <c r="F174" s="19">
        <v>595.35</v>
      </c>
      <c r="G174" s="20">
        <f>176.09/0.89</f>
        <v>197.85393258427</v>
      </c>
      <c r="H174" s="20">
        <f>G174*F174</f>
        <v>117792.338764045</v>
      </c>
      <c r="I174" s="43"/>
    </row>
    <row r="175" s="2" customFormat="1" spans="1:9">
      <c r="A175" s="7"/>
      <c r="B175" s="7">
        <v>1144</v>
      </c>
      <c r="C175" s="16">
        <v>2203022903</v>
      </c>
      <c r="D175" s="17" t="s">
        <v>101</v>
      </c>
      <c r="E175" s="18" t="s">
        <v>12</v>
      </c>
      <c r="F175" s="19">
        <v>595.35</v>
      </c>
      <c r="G175" s="20">
        <f>172.25/0.89</f>
        <v>193.539325842697</v>
      </c>
      <c r="H175" s="20">
        <f>G175*F175</f>
        <v>115223.637640449</v>
      </c>
      <c r="I175" s="43"/>
    </row>
    <row r="176" s="2" customFormat="1" ht="28" spans="1:9">
      <c r="A176" s="7"/>
      <c r="B176" s="7">
        <v>1194</v>
      </c>
      <c r="C176" s="16">
        <v>22030329</v>
      </c>
      <c r="D176" s="17" t="s">
        <v>93</v>
      </c>
      <c r="E176" s="18" t="s">
        <v>12</v>
      </c>
      <c r="F176" s="19">
        <f t="shared" si="16"/>
        <v>595.35</v>
      </c>
      <c r="G176" s="20"/>
      <c r="H176" s="20">
        <v>19214.33</v>
      </c>
      <c r="I176" s="43"/>
    </row>
    <row r="177" s="2" customFormat="1" spans="1:9">
      <c r="A177" s="7"/>
      <c r="B177" s="7">
        <v>1195</v>
      </c>
      <c r="C177" s="16">
        <v>2203032901</v>
      </c>
      <c r="D177" s="17" t="s">
        <v>44</v>
      </c>
      <c r="E177" s="18" t="s">
        <v>12</v>
      </c>
      <c r="F177" s="19">
        <v>595.35</v>
      </c>
      <c r="G177" s="20">
        <v>32.28</v>
      </c>
      <c r="H177" s="20">
        <v>19214.33</v>
      </c>
      <c r="I177" s="43"/>
    </row>
    <row r="178" s="2" customFormat="1" ht="28" spans="1:9">
      <c r="A178" s="7" t="s">
        <v>102</v>
      </c>
      <c r="B178" s="7">
        <v>880</v>
      </c>
      <c r="C178" s="16">
        <v>220103090218</v>
      </c>
      <c r="D178" s="17" t="s">
        <v>103</v>
      </c>
      <c r="E178" s="18" t="s">
        <v>12</v>
      </c>
      <c r="F178" s="19">
        <f>F179</f>
        <v>14.05</v>
      </c>
      <c r="G178" s="20"/>
      <c r="H178" s="135">
        <f>H179+H182+H184+H185+H186</f>
        <v>210074.1244128</v>
      </c>
      <c r="I178" s="43"/>
    </row>
    <row r="179" s="2" customFormat="1" spans="1:9">
      <c r="A179" s="7"/>
      <c r="B179" s="7">
        <v>881</v>
      </c>
      <c r="C179" s="16">
        <v>22010309021801</v>
      </c>
      <c r="D179" s="17" t="s">
        <v>13</v>
      </c>
      <c r="E179" s="18" t="s">
        <v>12</v>
      </c>
      <c r="F179" s="19">
        <v>14.05</v>
      </c>
      <c r="G179" s="2">
        <v>4060.81868658816</v>
      </c>
      <c r="H179" s="20">
        <f>G179*F179</f>
        <v>57054.5025465637</v>
      </c>
      <c r="I179" s="43"/>
    </row>
    <row r="180" s="2" customFormat="1" spans="1:9">
      <c r="A180" s="7"/>
      <c r="B180" s="7">
        <v>882</v>
      </c>
      <c r="C180" s="17" t="s">
        <v>86</v>
      </c>
      <c r="D180" s="17" t="s">
        <v>15</v>
      </c>
      <c r="E180" s="18" t="s">
        <v>16</v>
      </c>
      <c r="F180" s="19">
        <v>0.38</v>
      </c>
      <c r="G180" s="20">
        <f>H180/F180</f>
        <v>345.329883834464</v>
      </c>
      <c r="H180" s="20">
        <f>0.0023*H179</f>
        <v>131.225355857096</v>
      </c>
      <c r="I180" s="43"/>
    </row>
    <row r="181" s="2" customFormat="1" spans="1:9">
      <c r="A181" s="7"/>
      <c r="B181" s="7">
        <v>883</v>
      </c>
      <c r="C181" s="17" t="s">
        <v>87</v>
      </c>
      <c r="D181" s="17" t="s">
        <v>18</v>
      </c>
      <c r="E181" s="18" t="s">
        <v>19</v>
      </c>
      <c r="F181" s="19">
        <v>17.8</v>
      </c>
      <c r="G181" s="20">
        <f>H181/F181</f>
        <v>3197.93692082621</v>
      </c>
      <c r="H181" s="20">
        <f>H179-H180</f>
        <v>56923.2771907066</v>
      </c>
      <c r="I181" s="43"/>
    </row>
    <row r="182" s="2" customFormat="1" spans="1:9">
      <c r="A182" s="7"/>
      <c r="B182" s="7">
        <v>884</v>
      </c>
      <c r="C182" s="16">
        <v>22010309021802</v>
      </c>
      <c r="D182" s="17" t="s">
        <v>20</v>
      </c>
      <c r="E182" s="18" t="s">
        <v>12</v>
      </c>
      <c r="F182" s="19">
        <v>14.05</v>
      </c>
      <c r="G182" s="2">
        <v>1043.95560346021</v>
      </c>
      <c r="H182" s="20">
        <f t="shared" ref="H182:H187" si="17">G182*F182</f>
        <v>14667.576228616</v>
      </c>
      <c r="I182" s="43"/>
    </row>
    <row r="183" s="2" customFormat="1" spans="1:9">
      <c r="A183" s="7"/>
      <c r="B183" s="7">
        <v>885</v>
      </c>
      <c r="C183" s="17" t="s">
        <v>88</v>
      </c>
      <c r="D183" s="17" t="s">
        <v>22</v>
      </c>
      <c r="E183" s="18" t="s">
        <v>12</v>
      </c>
      <c r="F183" s="19">
        <v>14.05</v>
      </c>
      <c r="G183" s="20">
        <f>H182/F183</f>
        <v>1043.95560346021</v>
      </c>
      <c r="H183" s="20">
        <f t="shared" si="17"/>
        <v>14667.576228616</v>
      </c>
      <c r="I183" s="43"/>
    </row>
    <row r="184" s="2" customFormat="1" spans="1:9">
      <c r="A184" s="7"/>
      <c r="B184" s="7">
        <v>886</v>
      </c>
      <c r="C184" s="16">
        <v>22010309021803</v>
      </c>
      <c r="D184" s="17" t="s">
        <v>23</v>
      </c>
      <c r="E184" s="18" t="s">
        <v>12</v>
      </c>
      <c r="F184" s="19">
        <v>14.05</v>
      </c>
      <c r="G184" s="2">
        <v>2372.44472480688</v>
      </c>
      <c r="H184" s="20">
        <f t="shared" si="17"/>
        <v>33332.8483835366</v>
      </c>
      <c r="I184" s="43"/>
    </row>
    <row r="185" s="2" customFormat="1" spans="1:9">
      <c r="A185" s="7"/>
      <c r="B185" s="7">
        <v>887</v>
      </c>
      <c r="C185" s="16">
        <v>22010309021804</v>
      </c>
      <c r="D185" s="17" t="s">
        <v>24</v>
      </c>
      <c r="E185" s="18" t="s">
        <v>12</v>
      </c>
      <c r="F185" s="19">
        <v>14.05</v>
      </c>
      <c r="G185" s="2">
        <v>333.887993049526</v>
      </c>
      <c r="H185" s="20">
        <f t="shared" si="17"/>
        <v>4691.12630234583</v>
      </c>
      <c r="I185" s="43"/>
    </row>
    <row r="186" s="2" customFormat="1" spans="1:9">
      <c r="A186" s="7"/>
      <c r="B186" s="7">
        <v>888</v>
      </c>
      <c r="C186" s="16">
        <v>22010309021805</v>
      </c>
      <c r="D186" s="17" t="s">
        <v>25</v>
      </c>
      <c r="E186" s="18" t="s">
        <v>12</v>
      </c>
      <c r="F186" s="19">
        <v>14.05</v>
      </c>
      <c r="G186" s="2">
        <v>7140.78796809522</v>
      </c>
      <c r="H186" s="20">
        <f t="shared" si="17"/>
        <v>100328.070951738</v>
      </c>
      <c r="I186" s="43"/>
    </row>
    <row r="187" s="2" customFormat="1" spans="1:9">
      <c r="A187" s="7"/>
      <c r="B187" s="7">
        <v>889</v>
      </c>
      <c r="C187" s="17" t="s">
        <v>89</v>
      </c>
      <c r="D187" s="17" t="s">
        <v>27</v>
      </c>
      <c r="E187" s="18" t="s">
        <v>16</v>
      </c>
      <c r="F187" s="19">
        <v>878.45</v>
      </c>
      <c r="G187" s="20">
        <f>H186/F187</f>
        <v>114.210337471385</v>
      </c>
      <c r="H187" s="20">
        <f t="shared" si="17"/>
        <v>100328.070951738</v>
      </c>
      <c r="I187" s="43"/>
    </row>
    <row r="188" s="2" customFormat="1" spans="1:9">
      <c r="A188" s="7"/>
      <c r="B188" s="7">
        <v>890</v>
      </c>
      <c r="C188" s="17" t="s">
        <v>90</v>
      </c>
      <c r="D188" s="17" t="s">
        <v>29</v>
      </c>
      <c r="E188" s="18" t="s">
        <v>16</v>
      </c>
      <c r="F188" s="19">
        <v>8.45</v>
      </c>
      <c r="G188" s="20">
        <f>H188/F188</f>
        <v>200.656141903476</v>
      </c>
      <c r="H188" s="20">
        <f>0.0169*H187</f>
        <v>1695.54439908437</v>
      </c>
      <c r="I188" s="43"/>
    </row>
    <row r="189" s="2" customFormat="1" ht="28" spans="1:9">
      <c r="A189" s="7"/>
      <c r="B189" s="7">
        <v>891</v>
      </c>
      <c r="C189" s="17" t="s">
        <v>91</v>
      </c>
      <c r="D189" s="17" t="s">
        <v>31</v>
      </c>
      <c r="E189" s="18" t="s">
        <v>16</v>
      </c>
      <c r="F189" s="19">
        <v>8.45</v>
      </c>
      <c r="G189" s="20">
        <f>G188</f>
        <v>200.656141903476</v>
      </c>
      <c r="H189" s="20">
        <f>H188</f>
        <v>1695.54439908437</v>
      </c>
      <c r="I189" s="43"/>
    </row>
    <row r="190" s="2" customFormat="1" spans="1:9">
      <c r="A190" s="7"/>
      <c r="B190" s="7">
        <v>892</v>
      </c>
      <c r="C190" s="17" t="s">
        <v>92</v>
      </c>
      <c r="D190" s="17" t="s">
        <v>33</v>
      </c>
      <c r="E190" s="18" t="s">
        <v>16</v>
      </c>
      <c r="F190" s="19">
        <v>870</v>
      </c>
      <c r="G190" s="20">
        <v>106.1</v>
      </c>
      <c r="H190" s="20">
        <f>H187-H188</f>
        <v>98632.5265526536</v>
      </c>
      <c r="I190" s="43"/>
    </row>
    <row r="191" s="2" customFormat="1" spans="1:9">
      <c r="A191" s="7" t="s">
        <v>34</v>
      </c>
      <c r="B191" s="7">
        <v>1222</v>
      </c>
      <c r="C191" s="16">
        <v>220403</v>
      </c>
      <c r="D191" s="17" t="s">
        <v>35</v>
      </c>
      <c r="E191" s="18" t="s">
        <v>12</v>
      </c>
      <c r="F191" s="19">
        <f t="shared" ref="F191:F195" si="18">F192</f>
        <v>162</v>
      </c>
      <c r="G191" s="20"/>
      <c r="H191" s="20">
        <v>19509.23</v>
      </c>
      <c r="I191" s="43"/>
    </row>
    <row r="192" s="2" customFormat="1" spans="1:9">
      <c r="A192" s="7"/>
      <c r="B192" s="7">
        <v>1223</v>
      </c>
      <c r="C192" s="16">
        <v>22040305</v>
      </c>
      <c r="D192" s="17" t="s">
        <v>36</v>
      </c>
      <c r="E192" s="18" t="s">
        <v>12</v>
      </c>
      <c r="F192" s="19">
        <v>162</v>
      </c>
      <c r="G192" s="20">
        <v>120.43</v>
      </c>
      <c r="H192" s="20">
        <v>19509.23</v>
      </c>
      <c r="I192" s="43"/>
    </row>
    <row r="193" s="2" customFormat="1" ht="28" spans="1:9">
      <c r="A193" s="7" t="s">
        <v>104</v>
      </c>
      <c r="B193" s="7">
        <v>1194</v>
      </c>
      <c r="C193" s="16">
        <v>22030329</v>
      </c>
      <c r="D193" s="17" t="s">
        <v>93</v>
      </c>
      <c r="E193" s="18" t="s">
        <v>12</v>
      </c>
      <c r="F193" s="19">
        <f t="shared" si="18"/>
        <v>16.48</v>
      </c>
      <c r="G193" s="20"/>
      <c r="H193" s="20">
        <v>346.81</v>
      </c>
      <c r="I193" s="43"/>
    </row>
    <row r="194" s="2" customFormat="1" spans="1:9">
      <c r="A194" s="7"/>
      <c r="B194" s="7">
        <v>1196</v>
      </c>
      <c r="C194" s="16">
        <v>2203032902</v>
      </c>
      <c r="D194" s="17" t="s">
        <v>50</v>
      </c>
      <c r="E194" s="18" t="s">
        <v>12</v>
      </c>
      <c r="F194" s="19">
        <f>32.96/2</f>
        <v>16.48</v>
      </c>
      <c r="G194" s="20">
        <v>21.04</v>
      </c>
      <c r="H194" s="20">
        <v>346.81</v>
      </c>
      <c r="I194" s="43"/>
    </row>
    <row r="195" s="2" customFormat="1" spans="1:9">
      <c r="A195" s="7" t="s">
        <v>105</v>
      </c>
      <c r="B195" s="7">
        <v>1031</v>
      </c>
      <c r="C195" s="16" t="s">
        <v>106</v>
      </c>
      <c r="D195" s="17" t="s">
        <v>107</v>
      </c>
      <c r="E195" s="18" t="s">
        <v>12</v>
      </c>
      <c r="F195" s="19">
        <f t="shared" si="18"/>
        <v>19.52</v>
      </c>
      <c r="G195" s="20"/>
      <c r="H195" s="20">
        <v>16774.64</v>
      </c>
      <c r="I195" s="43"/>
    </row>
    <row r="196" s="2" customFormat="1" spans="1:9">
      <c r="A196" s="7"/>
      <c r="B196" s="7">
        <v>1032</v>
      </c>
      <c r="C196" s="16" t="s">
        <v>108</v>
      </c>
      <c r="D196" s="17" t="s">
        <v>53</v>
      </c>
      <c r="E196" s="18" t="s">
        <v>12</v>
      </c>
      <c r="F196" s="19">
        <v>19.52</v>
      </c>
      <c r="G196" s="20">
        <v>859.36</v>
      </c>
      <c r="H196" s="20">
        <v>16774.64</v>
      </c>
      <c r="I196" s="43"/>
    </row>
    <row r="197" s="2" customFormat="1" ht="28" spans="1:9">
      <c r="A197" s="7" t="s">
        <v>105</v>
      </c>
      <c r="B197" s="7">
        <v>1033</v>
      </c>
      <c r="C197" s="16">
        <v>22010409</v>
      </c>
      <c r="D197" s="17" t="s">
        <v>109</v>
      </c>
      <c r="E197" s="18" t="s">
        <v>12</v>
      </c>
      <c r="F197" s="19">
        <f>F198</f>
        <v>19.52</v>
      </c>
      <c r="G197" s="20"/>
      <c r="H197" s="20">
        <v>16774.64</v>
      </c>
      <c r="I197" s="43"/>
    </row>
    <row r="198" s="2" customFormat="1" spans="1:9">
      <c r="A198" s="7"/>
      <c r="B198" s="7">
        <v>1034</v>
      </c>
      <c r="C198" s="16">
        <v>2201040902</v>
      </c>
      <c r="D198" s="17" t="s">
        <v>53</v>
      </c>
      <c r="E198" s="18" t="s">
        <v>12</v>
      </c>
      <c r="F198" s="19">
        <v>19.52</v>
      </c>
      <c r="G198" s="20">
        <v>859.36</v>
      </c>
      <c r="H198" s="20">
        <v>16774.64</v>
      </c>
      <c r="I198" s="43"/>
    </row>
    <row r="199" s="2" customFormat="1" spans="1:9">
      <c r="A199" s="7" t="s">
        <v>110</v>
      </c>
      <c r="B199" s="7">
        <v>617</v>
      </c>
      <c r="C199" s="16">
        <v>2201030232</v>
      </c>
      <c r="D199" s="17" t="s">
        <v>111</v>
      </c>
      <c r="E199" s="18" t="s">
        <v>12</v>
      </c>
      <c r="F199" s="19">
        <f>F200</f>
        <v>1259.37</v>
      </c>
      <c r="G199" s="20"/>
      <c r="H199" s="135">
        <f>H200+H203+H205+H206+H207</f>
        <v>2828178.291456</v>
      </c>
      <c r="I199" s="43"/>
    </row>
    <row r="200" s="2" customFormat="1" spans="1:9">
      <c r="A200" s="7"/>
      <c r="B200" s="7">
        <v>618</v>
      </c>
      <c r="C200" s="16">
        <v>220103023201</v>
      </c>
      <c r="D200" s="17" t="s">
        <v>13</v>
      </c>
      <c r="E200" s="18" t="s">
        <v>12</v>
      </c>
      <c r="F200" s="19">
        <v>1259.37</v>
      </c>
      <c r="G200" s="2">
        <v>374.632782664168</v>
      </c>
      <c r="H200" s="20">
        <f>G200*F200</f>
        <v>471801.287503774</v>
      </c>
      <c r="I200" s="43"/>
    </row>
    <row r="201" s="2" customFormat="1" spans="1:9">
      <c r="A201" s="7"/>
      <c r="B201" s="7">
        <v>619</v>
      </c>
      <c r="C201" s="16">
        <v>22010302320101</v>
      </c>
      <c r="D201" s="17" t="s">
        <v>15</v>
      </c>
      <c r="E201" s="18" t="s">
        <v>16</v>
      </c>
      <c r="F201" s="19">
        <v>10.8</v>
      </c>
      <c r="G201" s="20">
        <f>H201/F201</f>
        <v>347.735023012041</v>
      </c>
      <c r="H201" s="20">
        <f>0.00796*H200</f>
        <v>3755.53824853004</v>
      </c>
      <c r="I201" s="43"/>
    </row>
    <row r="202" s="2" customFormat="1" spans="1:9">
      <c r="A202" s="7"/>
      <c r="B202" s="7">
        <v>620</v>
      </c>
      <c r="C202" s="16">
        <v>22010302320102</v>
      </c>
      <c r="D202" s="17" t="s">
        <v>18</v>
      </c>
      <c r="E202" s="18" t="s">
        <v>19</v>
      </c>
      <c r="F202" s="19">
        <v>443.42</v>
      </c>
      <c r="G202" s="20">
        <f>H202/F202</f>
        <v>1055.53594618024</v>
      </c>
      <c r="H202" s="20">
        <f>H200-H201</f>
        <v>468045.749255244</v>
      </c>
      <c r="I202" s="43"/>
    </row>
    <row r="203" s="2" customFormat="1" spans="1:9">
      <c r="A203" s="7"/>
      <c r="B203" s="7">
        <v>621</v>
      </c>
      <c r="C203" s="16">
        <v>220103023202</v>
      </c>
      <c r="D203" s="17" t="s">
        <v>20</v>
      </c>
      <c r="E203" s="18" t="s">
        <v>12</v>
      </c>
      <c r="F203" s="19">
        <v>1259.37</v>
      </c>
      <c r="G203" s="2">
        <v>572.715222267676</v>
      </c>
      <c r="H203" s="20">
        <f t="shared" ref="H203:H208" si="19">G203*F203</f>
        <v>721260.369467243</v>
      </c>
      <c r="I203" s="43"/>
    </row>
    <row r="204" s="2" customFormat="1" spans="1:9">
      <c r="A204" s="7"/>
      <c r="B204" s="7">
        <v>622</v>
      </c>
      <c r="C204" s="16">
        <v>22010302320202</v>
      </c>
      <c r="D204" s="17" t="s">
        <v>22</v>
      </c>
      <c r="E204" s="18" t="s">
        <v>12</v>
      </c>
      <c r="F204" s="19">
        <v>1259.37</v>
      </c>
      <c r="G204" s="20">
        <f>H203/F204</f>
        <v>572.715222267676</v>
      </c>
      <c r="H204" s="20">
        <f t="shared" si="19"/>
        <v>721260.369467243</v>
      </c>
      <c r="I204" s="43"/>
    </row>
    <row r="205" s="2" customFormat="1" spans="1:9">
      <c r="A205" s="7"/>
      <c r="B205" s="7">
        <v>623</v>
      </c>
      <c r="C205" s="16">
        <v>220103023203</v>
      </c>
      <c r="D205" s="17" t="s">
        <v>23</v>
      </c>
      <c r="E205" s="18" t="s">
        <v>12</v>
      </c>
      <c r="F205" s="19">
        <v>1259.37</v>
      </c>
      <c r="G205" s="2">
        <v>1034.64347142305</v>
      </c>
      <c r="H205" s="20">
        <f t="shared" si="19"/>
        <v>1302998.94860605</v>
      </c>
      <c r="I205" s="43"/>
    </row>
    <row r="206" s="2" customFormat="1" spans="1:9">
      <c r="A206" s="7"/>
      <c r="B206" s="7">
        <v>624</v>
      </c>
      <c r="C206" s="16">
        <v>220103023204</v>
      </c>
      <c r="D206" s="17" t="s">
        <v>24</v>
      </c>
      <c r="E206" s="18" t="s">
        <v>12</v>
      </c>
      <c r="F206" s="19">
        <v>1259.37</v>
      </c>
      <c r="G206" s="2">
        <v>113.784977603593</v>
      </c>
      <c r="H206" s="20">
        <f t="shared" si="19"/>
        <v>143297.387244637</v>
      </c>
      <c r="I206" s="43"/>
    </row>
    <row r="207" s="2" customFormat="1" spans="1:9">
      <c r="A207" s="7"/>
      <c r="B207" s="7">
        <v>625</v>
      </c>
      <c r="C207" s="16">
        <v>220103023205</v>
      </c>
      <c r="D207" s="17" t="s">
        <v>25</v>
      </c>
      <c r="E207" s="18" t="s">
        <v>12</v>
      </c>
      <c r="F207" s="19">
        <v>1259.37</v>
      </c>
      <c r="G207" s="2">
        <v>149.932346041509</v>
      </c>
      <c r="H207" s="20">
        <f t="shared" si="19"/>
        <v>188820.298634295</v>
      </c>
      <c r="I207" s="43"/>
    </row>
    <row r="208" s="2" customFormat="1" spans="1:9">
      <c r="A208" s="7"/>
      <c r="B208" s="7">
        <v>626</v>
      </c>
      <c r="C208" s="16">
        <v>22010302320501</v>
      </c>
      <c r="D208" s="17" t="s">
        <v>27</v>
      </c>
      <c r="E208" s="18" t="s">
        <v>16</v>
      </c>
      <c r="F208" s="19">
        <v>1429.6</v>
      </c>
      <c r="G208" s="20">
        <f>H207/F208</f>
        <v>132.079112083306</v>
      </c>
      <c r="H208" s="20">
        <f t="shared" si="19"/>
        <v>188820.298634295</v>
      </c>
      <c r="I208" s="43"/>
    </row>
    <row r="209" s="2" customFormat="1" spans="1:9">
      <c r="A209" s="7"/>
      <c r="B209" s="7">
        <v>627</v>
      </c>
      <c r="C209" s="17" t="s">
        <v>112</v>
      </c>
      <c r="D209" s="17" t="s">
        <v>29</v>
      </c>
      <c r="E209" s="18" t="s">
        <v>16</v>
      </c>
      <c r="F209" s="19">
        <v>300</v>
      </c>
      <c r="G209" s="20">
        <f>H209/F209</f>
        <v>201.408318543248</v>
      </c>
      <c r="H209" s="20">
        <f>0.32*H208</f>
        <v>60422.4955629744</v>
      </c>
      <c r="I209" s="43"/>
    </row>
    <row r="210" s="2" customFormat="1" spans="1:9">
      <c r="A210" s="7" t="s">
        <v>113</v>
      </c>
      <c r="B210" s="7">
        <v>628</v>
      </c>
      <c r="C210" s="17" t="s">
        <v>114</v>
      </c>
      <c r="D210" s="17" t="s">
        <v>31</v>
      </c>
      <c r="E210" s="18" t="s">
        <v>16</v>
      </c>
      <c r="F210" s="19">
        <v>300</v>
      </c>
      <c r="G210" s="20">
        <f>G209</f>
        <v>201.408318543248</v>
      </c>
      <c r="H210" s="20">
        <f>H209</f>
        <v>60422.4955629744</v>
      </c>
      <c r="I210" s="43"/>
    </row>
    <row r="211" s="2" customFormat="1" spans="1:9">
      <c r="A211" s="7"/>
      <c r="B211" s="7">
        <v>629</v>
      </c>
      <c r="C211" s="17" t="s">
        <v>115</v>
      </c>
      <c r="D211" s="17" t="s">
        <v>33</v>
      </c>
      <c r="E211" s="18" t="s">
        <v>16</v>
      </c>
      <c r="F211" s="19">
        <v>1129.6</v>
      </c>
      <c r="G211" s="20">
        <v>106.1</v>
      </c>
      <c r="H211" s="20">
        <f>H208-H209</f>
        <v>128397.803071321</v>
      </c>
      <c r="I211" s="43"/>
    </row>
    <row r="212" s="2" customFormat="1" ht="28" spans="1:9">
      <c r="A212" s="7"/>
      <c r="B212" s="7">
        <v>976</v>
      </c>
      <c r="C212" s="16">
        <v>2201031024</v>
      </c>
      <c r="D212" s="17" t="s">
        <v>116</v>
      </c>
      <c r="E212" s="18" t="s">
        <v>12</v>
      </c>
      <c r="F212" s="19">
        <f>F213</f>
        <v>1568.2</v>
      </c>
      <c r="G212" s="20"/>
      <c r="H212" s="135">
        <f>H213+H216+H218+H219+H220</f>
        <v>4698765.3927168</v>
      </c>
      <c r="I212" s="43"/>
    </row>
    <row r="213" s="2" customFormat="1" spans="1:9">
      <c r="A213" s="7"/>
      <c r="B213" s="7">
        <v>977</v>
      </c>
      <c r="C213" s="16">
        <v>220103102401</v>
      </c>
      <c r="D213" s="17" t="s">
        <v>13</v>
      </c>
      <c r="E213" s="18" t="s">
        <v>12</v>
      </c>
      <c r="F213" s="19">
        <v>1568.2</v>
      </c>
      <c r="G213" s="2">
        <v>627.767056155146</v>
      </c>
      <c r="H213" s="20">
        <f>G213*F213</f>
        <v>984464.2974625</v>
      </c>
      <c r="I213" s="43"/>
    </row>
    <row r="214" s="2" customFormat="1" spans="1:9">
      <c r="A214" s="7"/>
      <c r="B214" s="7">
        <v>978</v>
      </c>
      <c r="C214" s="16">
        <v>22010310240101</v>
      </c>
      <c r="D214" s="17" t="s">
        <v>15</v>
      </c>
      <c r="E214" s="18" t="s">
        <v>16</v>
      </c>
      <c r="F214" s="19">
        <v>15.4</v>
      </c>
      <c r="G214" s="20">
        <f>H214/F214</f>
        <v>345.201766642695</v>
      </c>
      <c r="H214" s="20">
        <f>0.0054*H213</f>
        <v>5316.1072062975</v>
      </c>
      <c r="I214" s="43"/>
    </row>
    <row r="215" s="2" customFormat="1" spans="1:9">
      <c r="A215" s="7"/>
      <c r="B215" s="7">
        <v>979</v>
      </c>
      <c r="C215" s="16">
        <v>22010310240102</v>
      </c>
      <c r="D215" s="17" t="s">
        <v>18</v>
      </c>
      <c r="E215" s="18" t="s">
        <v>19</v>
      </c>
      <c r="F215" s="19">
        <v>599.13</v>
      </c>
      <c r="G215" s="20">
        <f>H215/F215</f>
        <v>1634.28336130089</v>
      </c>
      <c r="H215" s="20">
        <f>H213-H214</f>
        <v>979148.190256202</v>
      </c>
      <c r="I215" s="43"/>
    </row>
    <row r="216" s="2" customFormat="1" spans="1:9">
      <c r="A216" s="7"/>
      <c r="B216" s="7">
        <v>980</v>
      </c>
      <c r="C216" s="16">
        <v>220103102402</v>
      </c>
      <c r="D216" s="17" t="s">
        <v>20</v>
      </c>
      <c r="E216" s="18" t="s">
        <v>12</v>
      </c>
      <c r="F216" s="19">
        <v>1568.2</v>
      </c>
      <c r="G216" s="2">
        <v>712.715452897996</v>
      </c>
      <c r="H216" s="20">
        <f t="shared" ref="H216:H221" si="20">G216*F216</f>
        <v>1117680.37323464</v>
      </c>
      <c r="I216" s="43"/>
    </row>
    <row r="217" s="2" customFormat="1" spans="1:9">
      <c r="A217" s="7"/>
      <c r="B217" s="7">
        <v>981</v>
      </c>
      <c r="C217" s="16">
        <v>22010310240202</v>
      </c>
      <c r="D217" s="17" t="s">
        <v>22</v>
      </c>
      <c r="E217" s="18" t="s">
        <v>12</v>
      </c>
      <c r="F217" s="19">
        <v>1568.2</v>
      </c>
      <c r="G217" s="20">
        <f>H216/F216</f>
        <v>712.715452897996</v>
      </c>
      <c r="H217" s="20">
        <f t="shared" si="20"/>
        <v>1117680.37323464</v>
      </c>
      <c r="I217" s="43"/>
    </row>
    <row r="218" s="2" customFormat="1" spans="1:9">
      <c r="A218" s="7"/>
      <c r="B218" s="7">
        <v>982</v>
      </c>
      <c r="C218" s="16">
        <v>220103102403</v>
      </c>
      <c r="D218" s="17" t="s">
        <v>23</v>
      </c>
      <c r="E218" s="18" t="s">
        <v>12</v>
      </c>
      <c r="F218" s="19">
        <v>1568.2</v>
      </c>
      <c r="G218" s="2">
        <v>707.034495620515</v>
      </c>
      <c r="H218" s="20">
        <f t="shared" si="20"/>
        <v>1108771.49603209</v>
      </c>
      <c r="I218" s="43"/>
    </row>
    <row r="219" s="2" customFormat="1" spans="1:9">
      <c r="A219" s="7"/>
      <c r="B219" s="7">
        <v>983</v>
      </c>
      <c r="C219" s="16">
        <v>220103102404</v>
      </c>
      <c r="D219" s="17" t="s">
        <v>24</v>
      </c>
      <c r="E219" s="18" t="s">
        <v>12</v>
      </c>
      <c r="F219" s="19">
        <v>1568.2</v>
      </c>
      <c r="G219" s="2">
        <v>248.504646151063</v>
      </c>
      <c r="H219" s="20">
        <f t="shared" si="20"/>
        <v>389704.986094096</v>
      </c>
      <c r="I219" s="43"/>
    </row>
    <row r="220" s="2" customFormat="1" spans="1:9">
      <c r="A220" s="7"/>
      <c r="B220" s="7">
        <v>984</v>
      </c>
      <c r="C220" s="16">
        <v>220103102405</v>
      </c>
      <c r="D220" s="17" t="s">
        <v>25</v>
      </c>
      <c r="E220" s="18" t="s">
        <v>12</v>
      </c>
      <c r="F220" s="19">
        <v>1568.2</v>
      </c>
      <c r="G220" s="2">
        <v>700.257773175281</v>
      </c>
      <c r="H220" s="20">
        <f t="shared" si="20"/>
        <v>1098144.23989348</v>
      </c>
      <c r="I220" s="43"/>
    </row>
    <row r="221" s="2" customFormat="1" spans="1:9">
      <c r="A221" s="7"/>
      <c r="B221" s="7">
        <v>985</v>
      </c>
      <c r="C221" s="16">
        <v>22010310240501</v>
      </c>
      <c r="D221" s="17" t="s">
        <v>27</v>
      </c>
      <c r="E221" s="18" t="s">
        <v>16</v>
      </c>
      <c r="F221" s="19">
        <v>9472</v>
      </c>
      <c r="G221" s="20">
        <f>H220/F221</f>
        <v>115.935836137402</v>
      </c>
      <c r="H221" s="20">
        <f t="shared" si="20"/>
        <v>1098144.23989348</v>
      </c>
      <c r="I221" s="43"/>
    </row>
    <row r="222" s="2" customFormat="1" spans="1:9">
      <c r="A222" s="7"/>
      <c r="B222" s="7">
        <v>986</v>
      </c>
      <c r="C222" s="17" t="s">
        <v>117</v>
      </c>
      <c r="D222" s="17" t="s">
        <v>29</v>
      </c>
      <c r="E222" s="18" t="s">
        <v>16</v>
      </c>
      <c r="F222" s="19">
        <v>332</v>
      </c>
      <c r="G222" s="20">
        <f>H222/F222</f>
        <v>201.76746576356</v>
      </c>
      <c r="H222" s="20">
        <f>0.061*H221</f>
        <v>66986.798633502</v>
      </c>
      <c r="I222" s="43"/>
    </row>
    <row r="223" s="2" customFormat="1" spans="1:9">
      <c r="A223" s="7" t="s">
        <v>118</v>
      </c>
      <c r="B223" s="7">
        <v>987</v>
      </c>
      <c r="C223" s="17" t="s">
        <v>119</v>
      </c>
      <c r="D223" s="17" t="s">
        <v>31</v>
      </c>
      <c r="E223" s="18" t="s">
        <v>16</v>
      </c>
      <c r="F223" s="19">
        <v>332</v>
      </c>
      <c r="G223" s="20">
        <f>G222</f>
        <v>201.76746576356</v>
      </c>
      <c r="H223" s="20">
        <f>H222</f>
        <v>66986.798633502</v>
      </c>
      <c r="I223" s="43"/>
    </row>
    <row r="224" s="2" customFormat="1" spans="1:9">
      <c r="A224" s="7"/>
      <c r="B224" s="7">
        <v>988</v>
      </c>
      <c r="C224" s="17" t="s">
        <v>120</v>
      </c>
      <c r="D224" s="17" t="s">
        <v>33</v>
      </c>
      <c r="E224" s="18" t="s">
        <v>16</v>
      </c>
      <c r="F224" s="19">
        <v>9140</v>
      </c>
      <c r="G224" s="20">
        <v>106.1</v>
      </c>
      <c r="H224" s="20">
        <f>H221-H223</f>
        <v>1031157.44125997</v>
      </c>
      <c r="I224" s="43"/>
    </row>
    <row r="225" s="2" customFormat="1" ht="28" spans="1:9">
      <c r="A225" s="7"/>
      <c r="B225" s="7">
        <v>1068</v>
      </c>
      <c r="C225" s="16">
        <v>22020110</v>
      </c>
      <c r="D225" s="17" t="s">
        <v>121</v>
      </c>
      <c r="E225" s="18" t="s">
        <v>12</v>
      </c>
      <c r="F225" s="19">
        <f>F226</f>
        <v>1451.52</v>
      </c>
      <c r="G225" s="20"/>
      <c r="H225" s="135">
        <f>H226+H229+H231+H232+H233</f>
        <v>3616180.46189568</v>
      </c>
      <c r="I225" s="43"/>
    </row>
    <row r="226" s="2" customFormat="1" spans="1:9">
      <c r="A226" s="7"/>
      <c r="B226" s="7">
        <v>1069</v>
      </c>
      <c r="C226" s="16">
        <v>2202011001</v>
      </c>
      <c r="D226" s="17" t="s">
        <v>13</v>
      </c>
      <c r="E226" s="18" t="s">
        <v>12</v>
      </c>
      <c r="F226" s="19">
        <v>1451.52</v>
      </c>
      <c r="G226" s="2">
        <v>659.047211197423</v>
      </c>
      <c r="H226" s="20">
        <f>G226*F226</f>
        <v>956620.207997283</v>
      </c>
      <c r="I226" s="43"/>
    </row>
    <row r="227" s="2" customFormat="1" spans="1:9">
      <c r="A227" s="7"/>
      <c r="B227" s="7">
        <v>1070</v>
      </c>
      <c r="C227" s="16">
        <v>220201100101</v>
      </c>
      <c r="D227" s="17" t="s">
        <v>15</v>
      </c>
      <c r="E227" s="18" t="s">
        <v>16</v>
      </c>
      <c r="F227" s="19">
        <v>15.18</v>
      </c>
      <c r="G227" s="20">
        <f>H227/F227</f>
        <v>346.601524636697</v>
      </c>
      <c r="H227" s="20">
        <f>0.0055*H226</f>
        <v>5261.41114398506</v>
      </c>
      <c r="I227" s="43"/>
    </row>
    <row r="228" s="2" customFormat="1" spans="1:9">
      <c r="A228" s="7"/>
      <c r="B228" s="7">
        <v>1071</v>
      </c>
      <c r="C228" s="16">
        <v>220201100102</v>
      </c>
      <c r="D228" s="17" t="s">
        <v>18</v>
      </c>
      <c r="E228" s="18" t="s">
        <v>19</v>
      </c>
      <c r="F228" s="19">
        <v>729.68</v>
      </c>
      <c r="G228" s="20">
        <f>H228/F228</f>
        <v>1303.80275854251</v>
      </c>
      <c r="H228" s="20">
        <f>H226-H227</f>
        <v>951358.796853298</v>
      </c>
      <c r="I228" s="43"/>
    </row>
    <row r="229" s="2" customFormat="1" spans="1:9">
      <c r="A229" s="7"/>
      <c r="B229" s="7">
        <v>1072</v>
      </c>
      <c r="C229" s="16">
        <v>2202011002</v>
      </c>
      <c r="D229" s="17" t="s">
        <v>20</v>
      </c>
      <c r="E229" s="18" t="s">
        <v>12</v>
      </c>
      <c r="F229" s="19">
        <v>1451.52</v>
      </c>
      <c r="G229" s="2">
        <v>524.68270344324</v>
      </c>
      <c r="H229" s="20">
        <f t="shared" ref="H229:H234" si="21">G229*F229</f>
        <v>761587.437701932</v>
      </c>
      <c r="I229" s="43"/>
    </row>
    <row r="230" s="2" customFormat="1" spans="1:9">
      <c r="A230" s="7"/>
      <c r="B230" s="7">
        <v>1073</v>
      </c>
      <c r="C230" s="16">
        <v>220201100202</v>
      </c>
      <c r="D230" s="17" t="s">
        <v>22</v>
      </c>
      <c r="E230" s="18" t="s">
        <v>12</v>
      </c>
      <c r="F230" s="19">
        <v>1451.52</v>
      </c>
      <c r="G230" s="20">
        <f>H229/F229</f>
        <v>524.68270344324</v>
      </c>
      <c r="H230" s="20">
        <f t="shared" si="21"/>
        <v>761587.437701932</v>
      </c>
      <c r="I230" s="43"/>
    </row>
    <row r="231" s="2" customFormat="1" spans="1:9">
      <c r="A231" s="7"/>
      <c r="B231" s="7">
        <v>1074</v>
      </c>
      <c r="C231" s="16">
        <v>2202011003</v>
      </c>
      <c r="D231" s="17" t="s">
        <v>23</v>
      </c>
      <c r="E231" s="18" t="s">
        <v>12</v>
      </c>
      <c r="F231" s="19">
        <v>1451.52</v>
      </c>
      <c r="G231" s="2">
        <v>1053.62384941098</v>
      </c>
      <c r="H231" s="20">
        <f t="shared" si="21"/>
        <v>1529356.08989702</v>
      </c>
      <c r="I231" s="43"/>
    </row>
    <row r="232" s="2" customFormat="1" spans="1:9">
      <c r="A232" s="7"/>
      <c r="B232" s="7">
        <v>1075</v>
      </c>
      <c r="C232" s="16">
        <v>2202011004</v>
      </c>
      <c r="D232" s="17" t="s">
        <v>24</v>
      </c>
      <c r="E232" s="18" t="s">
        <v>12</v>
      </c>
      <c r="F232" s="19">
        <v>1451.52</v>
      </c>
      <c r="G232" s="2">
        <v>117.533013676109</v>
      </c>
      <c r="H232" s="20">
        <f t="shared" si="21"/>
        <v>170601.520011146</v>
      </c>
      <c r="I232" s="43"/>
    </row>
    <row r="233" s="2" customFormat="1" spans="1:9">
      <c r="A233" s="7"/>
      <c r="B233" s="7">
        <v>1076</v>
      </c>
      <c r="C233" s="16">
        <v>2202011005</v>
      </c>
      <c r="D233" s="17" t="s">
        <v>25</v>
      </c>
      <c r="E233" s="18" t="s">
        <v>12</v>
      </c>
      <c r="F233" s="19">
        <v>1451.52</v>
      </c>
      <c r="G233" s="2">
        <v>136.419206272252</v>
      </c>
      <c r="H233" s="20">
        <f t="shared" si="21"/>
        <v>198015.206288299</v>
      </c>
      <c r="I233" s="43"/>
    </row>
    <row r="234" s="2" customFormat="1" spans="1:9">
      <c r="A234" s="7"/>
      <c r="B234" s="7">
        <v>1077</v>
      </c>
      <c r="C234" s="16">
        <v>220201100501</v>
      </c>
      <c r="D234" s="17" t="s">
        <v>27</v>
      </c>
      <c r="E234" s="18" t="s">
        <v>16</v>
      </c>
      <c r="F234" s="19">
        <v>1484.5</v>
      </c>
      <c r="G234" s="20">
        <f>H233/F234</f>
        <v>133.388485205995</v>
      </c>
      <c r="H234" s="20">
        <f t="shared" si="21"/>
        <v>198015.2062883</v>
      </c>
      <c r="I234" s="43"/>
    </row>
    <row r="235" s="2" customFormat="1" spans="1:9">
      <c r="A235" s="7"/>
      <c r="B235" s="7">
        <v>1078</v>
      </c>
      <c r="C235" s="16">
        <v>22020110050102</v>
      </c>
      <c r="D235" s="17" t="s">
        <v>29</v>
      </c>
      <c r="E235" s="18" t="s">
        <v>16</v>
      </c>
      <c r="F235" s="19">
        <v>351.5</v>
      </c>
      <c r="G235" s="20">
        <f>H235/F235</f>
        <v>199.986908200132</v>
      </c>
      <c r="H235" s="20">
        <f>0.355*H234</f>
        <v>70295.3982323463</v>
      </c>
      <c r="I235" s="43"/>
    </row>
    <row r="236" s="2" customFormat="1" spans="1:9">
      <c r="A236" s="7"/>
      <c r="B236" s="7">
        <v>1079</v>
      </c>
      <c r="C236" s="17" t="s">
        <v>122</v>
      </c>
      <c r="D236" s="17" t="s">
        <v>31</v>
      </c>
      <c r="E236" s="18" t="s">
        <v>16</v>
      </c>
      <c r="F236" s="19">
        <v>351.5</v>
      </c>
      <c r="G236" s="20">
        <f>H236/F236</f>
        <v>363.356495180521</v>
      </c>
      <c r="H236" s="20">
        <f>H234-H235</f>
        <v>127719.808055953</v>
      </c>
      <c r="I236" s="43"/>
    </row>
    <row r="237" s="2" customFormat="1" spans="1:9">
      <c r="A237" s="7"/>
      <c r="B237" s="7">
        <v>1080</v>
      </c>
      <c r="C237" s="16">
        <v>22020110050103</v>
      </c>
      <c r="D237" s="17" t="s">
        <v>33</v>
      </c>
      <c r="E237" s="18" t="s">
        <v>16</v>
      </c>
      <c r="F237" s="19">
        <f>H237/G237</f>
        <v>1132.94839319471</v>
      </c>
      <c r="G237" s="20">
        <v>105.8</v>
      </c>
      <c r="H237" s="20">
        <v>119865.94</v>
      </c>
      <c r="I237" s="43"/>
    </row>
    <row r="238" s="2" customFormat="1" spans="1:9">
      <c r="A238" s="7" t="s">
        <v>123</v>
      </c>
      <c r="B238" s="7">
        <v>1228</v>
      </c>
      <c r="C238" s="16">
        <v>220407</v>
      </c>
      <c r="D238" s="17" t="s">
        <v>124</v>
      </c>
      <c r="E238" s="18" t="s">
        <v>12</v>
      </c>
      <c r="F238" s="19">
        <f t="shared" ref="F238:F242" si="22">F239</f>
        <v>500</v>
      </c>
      <c r="G238" s="20">
        <v>0</v>
      </c>
      <c r="H238" s="20">
        <v>7349.91</v>
      </c>
      <c r="I238" s="43"/>
    </row>
    <row r="239" s="2" customFormat="1" spans="1:9">
      <c r="A239" s="7"/>
      <c r="B239" s="7">
        <v>1229</v>
      </c>
      <c r="C239" s="16">
        <v>22040701</v>
      </c>
      <c r="D239" s="17" t="s">
        <v>125</v>
      </c>
      <c r="E239" s="18" t="s">
        <v>12</v>
      </c>
      <c r="F239" s="19">
        <v>500</v>
      </c>
      <c r="G239" s="20">
        <v>14.7</v>
      </c>
      <c r="H239" s="20">
        <v>7349.91</v>
      </c>
      <c r="I239" s="43"/>
    </row>
    <row r="240" s="2" customFormat="1" ht="28" spans="1:9">
      <c r="A240" s="7" t="s">
        <v>126</v>
      </c>
      <c r="B240" s="7">
        <v>1035</v>
      </c>
      <c r="C240" s="16">
        <v>22010410</v>
      </c>
      <c r="D240" s="17" t="s">
        <v>127</v>
      </c>
      <c r="E240" s="18" t="s">
        <v>12</v>
      </c>
      <c r="F240" s="19">
        <f t="shared" si="22"/>
        <v>41.25</v>
      </c>
      <c r="G240" s="20"/>
      <c r="H240" s="20">
        <v>24879.1</v>
      </c>
      <c r="I240" s="43"/>
    </row>
    <row r="241" s="2" customFormat="1" spans="1:9">
      <c r="A241" s="7"/>
      <c r="B241" s="7">
        <v>1036</v>
      </c>
      <c r="C241" s="16">
        <v>2201041002</v>
      </c>
      <c r="D241" s="17" t="s">
        <v>53</v>
      </c>
      <c r="E241" s="18" t="s">
        <v>12</v>
      </c>
      <c r="F241" s="19">
        <v>41.25</v>
      </c>
      <c r="G241" s="20">
        <v>603.13</v>
      </c>
      <c r="H241" s="20">
        <v>24879.1</v>
      </c>
      <c r="I241" s="43"/>
    </row>
    <row r="242" s="2" customFormat="1" ht="28" spans="1:9">
      <c r="A242" s="7" t="s">
        <v>128</v>
      </c>
      <c r="B242" s="7">
        <v>1045</v>
      </c>
      <c r="C242" s="16">
        <v>22010416</v>
      </c>
      <c r="D242" s="17" t="s">
        <v>129</v>
      </c>
      <c r="E242" s="18" t="s">
        <v>12</v>
      </c>
      <c r="F242" s="19">
        <f t="shared" si="22"/>
        <v>33.78</v>
      </c>
      <c r="G242" s="20"/>
      <c r="H242" s="20">
        <v>25170.24</v>
      </c>
      <c r="I242" s="43"/>
    </row>
    <row r="243" s="2" customFormat="1" spans="1:9">
      <c r="A243" s="7"/>
      <c r="B243" s="7">
        <v>1046</v>
      </c>
      <c r="C243" s="16">
        <v>2201041602</v>
      </c>
      <c r="D243" s="17" t="s">
        <v>53</v>
      </c>
      <c r="E243" s="18" t="s">
        <v>12</v>
      </c>
      <c r="F243" s="19">
        <v>33.78</v>
      </c>
      <c r="G243" s="20">
        <v>745.13</v>
      </c>
      <c r="H243" s="20">
        <v>25170.24</v>
      </c>
      <c r="I243" s="43"/>
    </row>
    <row r="244" s="2" customFormat="1" ht="28" spans="1:9">
      <c r="A244" s="7" t="s">
        <v>130</v>
      </c>
      <c r="B244" s="7">
        <v>1047</v>
      </c>
      <c r="C244" s="16">
        <v>22010418</v>
      </c>
      <c r="D244" s="17" t="s">
        <v>131</v>
      </c>
      <c r="E244" s="18" t="s">
        <v>12</v>
      </c>
      <c r="F244" s="19">
        <f>F245</f>
        <v>519.9</v>
      </c>
      <c r="G244" s="20"/>
      <c r="H244" s="20">
        <f>H245</f>
        <v>360413.373033708</v>
      </c>
      <c r="I244" s="43"/>
    </row>
    <row r="245" s="2" customFormat="1" spans="1:9">
      <c r="A245" s="7"/>
      <c r="B245" s="7">
        <v>1048</v>
      </c>
      <c r="C245" s="16">
        <v>2201041802</v>
      </c>
      <c r="D245" s="17" t="s">
        <v>53</v>
      </c>
      <c r="E245" s="18" t="s">
        <v>12</v>
      </c>
      <c r="F245" s="19">
        <v>519.9</v>
      </c>
      <c r="G245" s="20">
        <f>616.98/0.89</f>
        <v>693.23595505618</v>
      </c>
      <c r="H245" s="20">
        <f>G245*F245</f>
        <v>360413.373033708</v>
      </c>
      <c r="I245" s="43"/>
    </row>
    <row r="246" s="2" customFormat="1" spans="1:9">
      <c r="A246" s="7" t="s">
        <v>132</v>
      </c>
      <c r="B246" s="7">
        <v>989</v>
      </c>
      <c r="C246" s="16">
        <v>2201031025</v>
      </c>
      <c r="D246" s="17" t="s">
        <v>133</v>
      </c>
      <c r="E246" s="18" t="s">
        <v>12</v>
      </c>
      <c r="F246" s="19">
        <f>F247</f>
        <v>32.58</v>
      </c>
      <c r="G246" s="20"/>
      <c r="H246" s="135">
        <f>H247+H250+H252+H253+H254</f>
        <v>285292.06307712</v>
      </c>
      <c r="I246" s="43"/>
    </row>
    <row r="247" s="2" customFormat="1" spans="1:9">
      <c r="A247" s="7"/>
      <c r="B247" s="7">
        <v>990</v>
      </c>
      <c r="C247" s="16">
        <v>220103102501</v>
      </c>
      <c r="D247" s="17" t="s">
        <v>13</v>
      </c>
      <c r="E247" s="18" t="s">
        <v>12</v>
      </c>
      <c r="F247" s="19">
        <v>32.58</v>
      </c>
      <c r="G247" s="2">
        <v>1720.85168305967</v>
      </c>
      <c r="H247" s="20">
        <f>G247*F247</f>
        <v>56065.3478340842</v>
      </c>
      <c r="I247" s="43"/>
    </row>
    <row r="248" s="2" customFormat="1" spans="1:9">
      <c r="A248" s="7"/>
      <c r="B248" s="7">
        <v>991</v>
      </c>
      <c r="C248" s="16">
        <v>22010310250101</v>
      </c>
      <c r="D248" s="17" t="s">
        <v>15</v>
      </c>
      <c r="E248" s="18" t="s">
        <v>16</v>
      </c>
      <c r="F248" s="19">
        <v>0.63</v>
      </c>
      <c r="G248" s="20">
        <f>H248/F248</f>
        <v>347.071200877664</v>
      </c>
      <c r="H248" s="20">
        <f>0.0039*H247</f>
        <v>218.654856552928</v>
      </c>
      <c r="I248" s="43"/>
    </row>
    <row r="249" s="2" customFormat="1" spans="1:9">
      <c r="A249" s="7"/>
      <c r="B249" s="7">
        <v>992</v>
      </c>
      <c r="C249" s="16">
        <v>22010310250102</v>
      </c>
      <c r="D249" s="17" t="s">
        <v>18</v>
      </c>
      <c r="E249" s="18" t="s">
        <v>19</v>
      </c>
      <c r="F249" s="19">
        <v>18.6</v>
      </c>
      <c r="G249" s="20">
        <f>H249/F249</f>
        <v>3002.51037513609</v>
      </c>
      <c r="H249" s="20">
        <f>H247-H248</f>
        <v>55846.6929775313</v>
      </c>
      <c r="I249" s="43"/>
    </row>
    <row r="250" s="2" customFormat="1" spans="1:9">
      <c r="A250" s="7"/>
      <c r="B250" s="7">
        <v>993</v>
      </c>
      <c r="C250" s="16">
        <v>220103102502</v>
      </c>
      <c r="D250" s="17" t="s">
        <v>20</v>
      </c>
      <c r="E250" s="18" t="s">
        <v>12</v>
      </c>
      <c r="F250" s="19">
        <v>32.58</v>
      </c>
      <c r="G250" s="2">
        <v>1035.46579310124</v>
      </c>
      <c r="H250" s="20">
        <f t="shared" ref="H250:H255" si="23">G250*F250</f>
        <v>33735.4755392384</v>
      </c>
      <c r="I250" s="43"/>
    </row>
    <row r="251" s="2" customFormat="1" spans="1:9">
      <c r="A251" s="7"/>
      <c r="B251" s="7">
        <v>994</v>
      </c>
      <c r="C251" s="16">
        <v>22010310250202</v>
      </c>
      <c r="D251" s="17" t="s">
        <v>22</v>
      </c>
      <c r="E251" s="18" t="s">
        <v>12</v>
      </c>
      <c r="F251" s="19">
        <v>32.58</v>
      </c>
      <c r="G251" s="20">
        <f>H250/F251</f>
        <v>1035.46579310124</v>
      </c>
      <c r="H251" s="20">
        <f t="shared" si="23"/>
        <v>33735.4755392384</v>
      </c>
      <c r="I251" s="43"/>
    </row>
    <row r="252" s="2" customFormat="1" spans="1:9">
      <c r="A252" s="7"/>
      <c r="B252" s="7">
        <v>995</v>
      </c>
      <c r="C252" s="16">
        <v>220103102503</v>
      </c>
      <c r="D252" s="17" t="s">
        <v>23</v>
      </c>
      <c r="E252" s="18" t="s">
        <v>12</v>
      </c>
      <c r="F252" s="19">
        <v>32.58</v>
      </c>
      <c r="G252" s="2">
        <v>1856.11201093656</v>
      </c>
      <c r="H252" s="20">
        <f t="shared" si="23"/>
        <v>60472.1293163131</v>
      </c>
      <c r="I252" s="43"/>
    </row>
    <row r="253" s="2" customFormat="1" spans="1:9">
      <c r="A253" s="7"/>
      <c r="B253" s="7">
        <v>996</v>
      </c>
      <c r="C253" s="16">
        <v>220103102504</v>
      </c>
      <c r="D253" s="17" t="s">
        <v>24</v>
      </c>
      <c r="E253" s="18" t="s">
        <v>12</v>
      </c>
      <c r="F253" s="19">
        <v>32.58</v>
      </c>
      <c r="G253" s="2">
        <v>223.914500634958</v>
      </c>
      <c r="H253" s="20">
        <f t="shared" si="23"/>
        <v>7295.13443068695</v>
      </c>
      <c r="I253" s="43"/>
    </row>
    <row r="254" s="2" customFormat="1" spans="1:9">
      <c r="A254" s="7"/>
      <c r="B254" s="7">
        <v>997</v>
      </c>
      <c r="C254" s="16">
        <v>220103102505</v>
      </c>
      <c r="D254" s="17" t="s">
        <v>25</v>
      </c>
      <c r="E254" s="18" t="s">
        <v>12</v>
      </c>
      <c r="F254" s="19">
        <v>32.58</v>
      </c>
      <c r="G254" s="2">
        <v>3920.31847626757</v>
      </c>
      <c r="H254" s="20">
        <f t="shared" si="23"/>
        <v>127723.975956797</v>
      </c>
      <c r="I254" s="43"/>
    </row>
    <row r="255" s="2" customFormat="1" spans="1:9">
      <c r="A255" s="7"/>
      <c r="B255" s="7">
        <v>998</v>
      </c>
      <c r="C255" s="16">
        <v>22010310250501</v>
      </c>
      <c r="D255" s="17" t="s">
        <v>27</v>
      </c>
      <c r="E255" s="18" t="s">
        <v>16</v>
      </c>
      <c r="F255" s="19">
        <v>1116.94</v>
      </c>
      <c r="G255" s="20">
        <f>H254/F255</f>
        <v>114.351689398533</v>
      </c>
      <c r="H255" s="20">
        <f t="shared" si="23"/>
        <v>127723.975956797</v>
      </c>
      <c r="I255" s="43"/>
    </row>
    <row r="256" s="2" customFormat="1" spans="1:9">
      <c r="A256" s="7"/>
      <c r="B256" s="7">
        <v>999</v>
      </c>
      <c r="C256" s="16" t="s">
        <v>134</v>
      </c>
      <c r="D256" s="17" t="s">
        <v>29</v>
      </c>
      <c r="E256" s="18" t="s">
        <v>16</v>
      </c>
      <c r="F256" s="19">
        <v>13.94</v>
      </c>
      <c r="G256" s="20">
        <f>H256/F256</f>
        <v>200.656748454366</v>
      </c>
      <c r="H256" s="20">
        <f>0.0219*H255</f>
        <v>2797.15507345386</v>
      </c>
      <c r="I256" s="43"/>
    </row>
    <row r="257" s="2" customFormat="1" spans="1:9">
      <c r="A257" s="7"/>
      <c r="B257" s="7">
        <v>1000</v>
      </c>
      <c r="C257" s="16" t="s">
        <v>135</v>
      </c>
      <c r="D257" s="17" t="s">
        <v>31</v>
      </c>
      <c r="E257" s="18" t="s">
        <v>16</v>
      </c>
      <c r="F257" s="19">
        <v>13.94</v>
      </c>
      <c r="G257" s="20">
        <f>G256</f>
        <v>200.656748454366</v>
      </c>
      <c r="H257" s="20">
        <f>H256</f>
        <v>2797.15507345386</v>
      </c>
      <c r="I257" s="43"/>
    </row>
    <row r="258" s="2" customFormat="1" spans="1:9">
      <c r="A258" s="7"/>
      <c r="B258" s="7">
        <v>1001</v>
      </c>
      <c r="C258" s="16" t="s">
        <v>136</v>
      </c>
      <c r="D258" s="17" t="s">
        <v>33</v>
      </c>
      <c r="E258" s="18" t="s">
        <v>16</v>
      </c>
      <c r="F258" s="19">
        <v>1103</v>
      </c>
      <c r="G258" s="20">
        <v>106.1</v>
      </c>
      <c r="H258" s="20">
        <f>H255-H256</f>
        <v>124926.820883343</v>
      </c>
      <c r="I258" s="43"/>
    </row>
    <row r="259" s="2" customFormat="1" spans="1:9">
      <c r="A259" s="7" t="s">
        <v>137</v>
      </c>
      <c r="B259" s="7">
        <v>1002</v>
      </c>
      <c r="C259" s="16">
        <v>2201031026</v>
      </c>
      <c r="D259" s="17" t="s">
        <v>138</v>
      </c>
      <c r="E259" s="18" t="s">
        <v>12</v>
      </c>
      <c r="F259" s="19">
        <f>F260</f>
        <v>26.63</v>
      </c>
      <c r="G259" s="20"/>
      <c r="H259" s="135">
        <f>H260+H263+H265+H266+H267</f>
        <v>235720.79059968</v>
      </c>
      <c r="I259" s="43"/>
    </row>
    <row r="260" s="2" customFormat="1" spans="1:9">
      <c r="A260" s="7"/>
      <c r="B260" s="7">
        <v>1003</v>
      </c>
      <c r="C260" s="16">
        <v>220103102601</v>
      </c>
      <c r="D260" s="17" t="s">
        <v>13</v>
      </c>
      <c r="E260" s="18" t="s">
        <v>12</v>
      </c>
      <c r="F260" s="19">
        <v>26.63</v>
      </c>
      <c r="G260" s="2">
        <v>1695.25857614051</v>
      </c>
      <c r="H260" s="20">
        <f>G260*F260</f>
        <v>45144.7358826217</v>
      </c>
      <c r="I260" s="43"/>
    </row>
    <row r="261" s="2" customFormat="1" spans="1:9">
      <c r="A261" s="7"/>
      <c r="B261" s="7">
        <v>1004</v>
      </c>
      <c r="C261" s="16">
        <v>22010310260101</v>
      </c>
      <c r="D261" s="17" t="s">
        <v>15</v>
      </c>
      <c r="E261" s="18" t="s">
        <v>16</v>
      </c>
      <c r="F261" s="19">
        <v>0.56</v>
      </c>
      <c r="G261" s="20">
        <f>H261/F261</f>
        <v>346.647079098702</v>
      </c>
      <c r="H261" s="20">
        <f>0.0043*H260</f>
        <v>194.122364295273</v>
      </c>
      <c r="I261" s="43"/>
    </row>
    <row r="262" s="2" customFormat="1" spans="1:9">
      <c r="A262" s="7"/>
      <c r="B262" s="7">
        <v>1005</v>
      </c>
      <c r="C262" s="16">
        <v>22010310260102</v>
      </c>
      <c r="D262" s="17" t="s">
        <v>18</v>
      </c>
      <c r="E262" s="18" t="s">
        <v>19</v>
      </c>
      <c r="F262" s="19">
        <v>17.8</v>
      </c>
      <c r="G262" s="20">
        <f>H262/F262</f>
        <v>2525.31536619811</v>
      </c>
      <c r="H262" s="20">
        <f>H260-H261</f>
        <v>44950.6135183264</v>
      </c>
      <c r="I262" s="43"/>
    </row>
    <row r="263" s="2" customFormat="1" spans="1:9">
      <c r="A263" s="7"/>
      <c r="B263" s="7">
        <v>1006</v>
      </c>
      <c r="C263" s="16">
        <v>220103102602</v>
      </c>
      <c r="D263" s="17" t="s">
        <v>20</v>
      </c>
      <c r="E263" s="18" t="s">
        <v>12</v>
      </c>
      <c r="F263" s="19">
        <v>26.63</v>
      </c>
      <c r="G263" s="2">
        <v>1112.96961173174</v>
      </c>
      <c r="H263" s="20">
        <f t="shared" ref="H263:H268" si="24">G263*F263</f>
        <v>29638.3807604162</v>
      </c>
      <c r="I263" s="43"/>
    </row>
    <row r="264" s="2" customFormat="1" spans="1:9">
      <c r="A264" s="7"/>
      <c r="B264" s="7">
        <v>1007</v>
      </c>
      <c r="C264" s="16">
        <v>22010310260202</v>
      </c>
      <c r="D264" s="17" t="s">
        <v>22</v>
      </c>
      <c r="E264" s="18" t="s">
        <v>12</v>
      </c>
      <c r="F264" s="19">
        <v>26.63</v>
      </c>
      <c r="G264" s="20">
        <f>H263/F264</f>
        <v>1112.96961173174</v>
      </c>
      <c r="H264" s="20">
        <f t="shared" si="24"/>
        <v>29638.3807604162</v>
      </c>
      <c r="I264" s="43"/>
    </row>
    <row r="265" s="2" customFormat="1" spans="1:9">
      <c r="A265" s="7"/>
      <c r="B265" s="7">
        <v>1008</v>
      </c>
      <c r="C265" s="16">
        <v>220103102603</v>
      </c>
      <c r="D265" s="17" t="s">
        <v>23</v>
      </c>
      <c r="E265" s="18" t="s">
        <v>12</v>
      </c>
      <c r="F265" s="19">
        <v>26.63</v>
      </c>
      <c r="G265" s="2">
        <v>2390.91523213114</v>
      </c>
      <c r="H265" s="20">
        <f t="shared" si="24"/>
        <v>63670.0726316523</v>
      </c>
      <c r="I265" s="43"/>
    </row>
    <row r="266" s="2" customFormat="1" spans="1:9">
      <c r="A266" s="7"/>
      <c r="B266" s="7">
        <v>1009</v>
      </c>
      <c r="C266" s="16">
        <v>220103102604</v>
      </c>
      <c r="D266" s="17" t="s">
        <v>24</v>
      </c>
      <c r="E266" s="18" t="s">
        <v>12</v>
      </c>
      <c r="F266" s="19">
        <v>26.63</v>
      </c>
      <c r="G266" s="2">
        <v>79.8862627286802</v>
      </c>
      <c r="H266" s="20">
        <f t="shared" si="24"/>
        <v>2127.37117646475</v>
      </c>
      <c r="I266" s="43"/>
    </row>
    <row r="267" s="2" customFormat="1" spans="1:9">
      <c r="A267" s="7"/>
      <c r="B267" s="7">
        <v>1010</v>
      </c>
      <c r="C267" s="16">
        <v>220103102605</v>
      </c>
      <c r="D267" s="17" t="s">
        <v>25</v>
      </c>
      <c r="E267" s="18" t="s">
        <v>12</v>
      </c>
      <c r="F267" s="19">
        <v>26.63</v>
      </c>
      <c r="G267" s="2">
        <v>3572.67105326794</v>
      </c>
      <c r="H267" s="20">
        <f t="shared" si="24"/>
        <v>95140.2301485252</v>
      </c>
      <c r="I267" s="43"/>
    </row>
    <row r="268" s="2" customFormat="1" spans="1:9">
      <c r="A268" s="7"/>
      <c r="B268" s="7">
        <v>1011</v>
      </c>
      <c r="C268" s="16">
        <v>22010310260501</v>
      </c>
      <c r="D268" s="17" t="s">
        <v>27</v>
      </c>
      <c r="E268" s="18" t="s">
        <v>16</v>
      </c>
      <c r="F268" s="19">
        <v>831.39</v>
      </c>
      <c r="G268" s="20">
        <f>H267/F268</f>
        <v>114.435138922197</v>
      </c>
      <c r="H268" s="20">
        <f t="shared" si="24"/>
        <v>95140.2301485252</v>
      </c>
      <c r="I268" s="43"/>
    </row>
    <row r="269" s="2" customFormat="1" spans="1:9">
      <c r="A269" s="7"/>
      <c r="B269" s="7">
        <v>1012</v>
      </c>
      <c r="C269" s="16" t="s">
        <v>139</v>
      </c>
      <c r="D269" s="17" t="s">
        <v>29</v>
      </c>
      <c r="E269" s="18" t="s">
        <v>16</v>
      </c>
      <c r="F269" s="19">
        <v>12.39</v>
      </c>
      <c r="G269" s="20">
        <f>H269/F269</f>
        <v>199.648586268092</v>
      </c>
      <c r="H269" s="20">
        <f>0.026*H268</f>
        <v>2473.64598386165</v>
      </c>
      <c r="I269" s="43"/>
    </row>
    <row r="270" s="2" customFormat="1" spans="1:9">
      <c r="A270" s="7"/>
      <c r="B270" s="7">
        <v>1013</v>
      </c>
      <c r="C270" s="16" t="s">
        <v>140</v>
      </c>
      <c r="D270" s="17" t="s">
        <v>31</v>
      </c>
      <c r="E270" s="18" t="s">
        <v>16</v>
      </c>
      <c r="F270" s="19">
        <v>12.39</v>
      </c>
      <c r="G270" s="20">
        <f>G269</f>
        <v>199.648586268092</v>
      </c>
      <c r="H270" s="20">
        <f>H269</f>
        <v>2473.64598386165</v>
      </c>
      <c r="I270" s="43"/>
    </row>
    <row r="271" s="2" customFormat="1" spans="1:9">
      <c r="A271" s="7"/>
      <c r="B271" s="7">
        <v>1014</v>
      </c>
      <c r="C271" s="16" t="s">
        <v>141</v>
      </c>
      <c r="D271" s="17" t="s">
        <v>33</v>
      </c>
      <c r="E271" s="18" t="s">
        <v>16</v>
      </c>
      <c r="F271" s="19">
        <v>819</v>
      </c>
      <c r="G271" s="20">
        <v>106.1</v>
      </c>
      <c r="H271" s="20">
        <f>H268-H270</f>
        <v>92666.5841646635</v>
      </c>
      <c r="I271" s="43"/>
    </row>
    <row r="272" s="2" customFormat="1" ht="28" spans="1:9">
      <c r="A272" s="7" t="s">
        <v>142</v>
      </c>
      <c r="B272" s="7">
        <v>1108</v>
      </c>
      <c r="C272" s="16">
        <v>22030130</v>
      </c>
      <c r="D272" s="17" t="s">
        <v>143</v>
      </c>
      <c r="E272" s="18" t="s">
        <v>12</v>
      </c>
      <c r="F272" s="19">
        <f>F273</f>
        <v>1259.37</v>
      </c>
      <c r="G272" s="20"/>
      <c r="H272" s="20">
        <f>H273+H274+H275+H276+H277</f>
        <v>170940.720224719</v>
      </c>
      <c r="I272" s="43"/>
    </row>
    <row r="273" s="2" customFormat="1" spans="1:9">
      <c r="A273" s="7"/>
      <c r="B273" s="7">
        <v>1109</v>
      </c>
      <c r="C273" s="16">
        <v>2203013001</v>
      </c>
      <c r="D273" s="17" t="s">
        <v>44</v>
      </c>
      <c r="E273" s="18" t="s">
        <v>12</v>
      </c>
      <c r="F273" s="19">
        <v>1259.37</v>
      </c>
      <c r="G273" s="20">
        <f>8.86/0.89</f>
        <v>9.95505617977528</v>
      </c>
      <c r="H273" s="20">
        <f>G273*F273</f>
        <v>12537.0991011236</v>
      </c>
      <c r="I273" s="43"/>
    </row>
    <row r="274" s="2" customFormat="1" spans="1:9">
      <c r="A274" s="7"/>
      <c r="B274" s="7">
        <v>1110</v>
      </c>
      <c r="C274" s="16">
        <v>2203013002</v>
      </c>
      <c r="D274" s="17" t="s">
        <v>144</v>
      </c>
      <c r="E274" s="18" t="s">
        <v>12</v>
      </c>
      <c r="F274" s="19">
        <v>500</v>
      </c>
      <c r="G274" s="20">
        <f>9.1/0.89</f>
        <v>10.2247191011236</v>
      </c>
      <c r="H274" s="20">
        <f>G274*F274</f>
        <v>5112.3595505618</v>
      </c>
      <c r="I274" s="43"/>
    </row>
    <row r="275" s="2" customFormat="1" spans="1:9">
      <c r="A275" s="7"/>
      <c r="B275" s="7">
        <v>1111</v>
      </c>
      <c r="C275" s="16">
        <v>2203013004</v>
      </c>
      <c r="D275" s="17" t="s">
        <v>145</v>
      </c>
      <c r="E275" s="18" t="s">
        <v>12</v>
      </c>
      <c r="F275" s="19">
        <v>1568.2</v>
      </c>
      <c r="G275" s="20">
        <f>12.71/0.89</f>
        <v>14.2808988764045</v>
      </c>
      <c r="H275" s="20">
        <f>G275*F275</f>
        <v>22395.3056179775</v>
      </c>
      <c r="I275" s="43"/>
    </row>
    <row r="276" s="2" customFormat="1" ht="28" spans="1:9">
      <c r="A276" s="7"/>
      <c r="B276" s="7">
        <v>1112</v>
      </c>
      <c r="C276" s="16">
        <v>2203013005</v>
      </c>
      <c r="D276" s="17" t="s">
        <v>146</v>
      </c>
      <c r="E276" s="18" t="s">
        <v>12</v>
      </c>
      <c r="F276" s="19">
        <v>1440.5</v>
      </c>
      <c r="G276" s="20">
        <f>69.02/0.89</f>
        <v>77.5505617977528</v>
      </c>
      <c r="H276" s="20">
        <f>G276*F276</f>
        <v>111711.584269663</v>
      </c>
      <c r="I276" s="43"/>
    </row>
    <row r="277" s="2" customFormat="1" spans="1:9">
      <c r="A277" s="7"/>
      <c r="B277" s="7">
        <v>1113</v>
      </c>
      <c r="C277" s="16">
        <v>2203013007</v>
      </c>
      <c r="D277" s="17" t="s">
        <v>147</v>
      </c>
      <c r="E277" s="18" t="s">
        <v>12</v>
      </c>
      <c r="F277" s="19">
        <v>26.63</v>
      </c>
      <c r="G277" s="20">
        <f>641.16/0.89</f>
        <v>720.404494382022</v>
      </c>
      <c r="H277" s="20">
        <f>G277*F277</f>
        <v>19184.3716853933</v>
      </c>
      <c r="I277" s="43"/>
    </row>
    <row r="278" s="2" customFormat="1" spans="1:9">
      <c r="A278" s="7" t="s">
        <v>148</v>
      </c>
      <c r="B278" s="7">
        <v>1145</v>
      </c>
      <c r="C278" s="16">
        <v>22030230</v>
      </c>
      <c r="D278" s="17" t="s">
        <v>149</v>
      </c>
      <c r="E278" s="18" t="s">
        <v>12</v>
      </c>
      <c r="F278" s="19">
        <f>F279</f>
        <v>1259.37</v>
      </c>
      <c r="G278" s="20"/>
      <c r="H278" s="20">
        <f>H279+H280+H281+H282+H283+H284+H285+H286</f>
        <v>1081427.24853933</v>
      </c>
      <c r="I278" s="43"/>
    </row>
    <row r="279" s="2" customFormat="1" spans="1:9">
      <c r="A279" s="7"/>
      <c r="B279" s="7">
        <v>1146</v>
      </c>
      <c r="C279" s="16">
        <v>2203023001</v>
      </c>
      <c r="D279" s="17" t="s">
        <v>44</v>
      </c>
      <c r="E279" s="18" t="s">
        <v>12</v>
      </c>
      <c r="F279" s="19">
        <v>1259.37</v>
      </c>
      <c r="G279" s="20">
        <f>98.69/0.89</f>
        <v>110.887640449438</v>
      </c>
      <c r="H279" s="20">
        <f>G279*F279</f>
        <v>139648.567752809</v>
      </c>
      <c r="I279" s="43"/>
    </row>
    <row r="280" s="2" customFormat="1" spans="1:9">
      <c r="A280" s="7"/>
      <c r="B280" s="7">
        <v>1147</v>
      </c>
      <c r="C280" s="16">
        <v>2203023004</v>
      </c>
      <c r="D280" s="17" t="s">
        <v>145</v>
      </c>
      <c r="E280" s="18" t="s">
        <v>12</v>
      </c>
      <c r="F280" s="19">
        <v>1568.2</v>
      </c>
      <c r="G280" s="20">
        <f>185.27/0.89</f>
        <v>208.168539325843</v>
      </c>
      <c r="H280" s="20">
        <f t="shared" ref="H280:H286" si="25">G280*F280</f>
        <v>326449.903370787</v>
      </c>
      <c r="I280" s="43"/>
    </row>
    <row r="281" s="2" customFormat="1" ht="28" spans="1:9">
      <c r="A281" s="7"/>
      <c r="B281" s="7">
        <v>1148</v>
      </c>
      <c r="C281" s="16">
        <v>2203023005</v>
      </c>
      <c r="D281" s="17" t="s">
        <v>146</v>
      </c>
      <c r="E281" s="18" t="s">
        <v>12</v>
      </c>
      <c r="F281" s="19">
        <v>1440.5</v>
      </c>
      <c r="G281" s="20">
        <f>149.82/0.89</f>
        <v>168.337078651685</v>
      </c>
      <c r="H281" s="20">
        <f t="shared" si="25"/>
        <v>242489.561797753</v>
      </c>
      <c r="I281" s="43"/>
    </row>
    <row r="282" s="2" customFormat="1" spans="1:9">
      <c r="A282" s="7"/>
      <c r="B282" s="7">
        <v>1149</v>
      </c>
      <c r="C282" s="16">
        <v>2203023006</v>
      </c>
      <c r="D282" s="17" t="s">
        <v>150</v>
      </c>
      <c r="E282" s="18" t="s">
        <v>12</v>
      </c>
      <c r="F282" s="19">
        <v>32.58</v>
      </c>
      <c r="G282" s="20">
        <f>209.8/0.89</f>
        <v>235.730337078652</v>
      </c>
      <c r="H282" s="20">
        <f t="shared" si="25"/>
        <v>7680.09438202247</v>
      </c>
      <c r="I282" s="43"/>
    </row>
    <row r="283" s="2" customFormat="1" spans="1:9">
      <c r="A283" s="7"/>
      <c r="B283" s="7">
        <v>1150</v>
      </c>
      <c r="C283" s="16">
        <v>2203023007</v>
      </c>
      <c r="D283" s="17" t="s">
        <v>147</v>
      </c>
      <c r="E283" s="18" t="s">
        <v>12</v>
      </c>
      <c r="F283" s="19">
        <v>26.63</v>
      </c>
      <c r="G283" s="20">
        <f>268.68/0.89</f>
        <v>301.887640449438</v>
      </c>
      <c r="H283" s="20">
        <f t="shared" si="25"/>
        <v>8039.26786516854</v>
      </c>
      <c r="I283" s="43"/>
    </row>
    <row r="284" s="2" customFormat="1" spans="1:9">
      <c r="A284" s="7"/>
      <c r="B284" s="7">
        <v>1151</v>
      </c>
      <c r="C284" s="16" t="s">
        <v>151</v>
      </c>
      <c r="D284" s="17" t="s">
        <v>152</v>
      </c>
      <c r="E284" s="18" t="s">
        <v>12</v>
      </c>
      <c r="F284" s="19">
        <v>595.35</v>
      </c>
      <c r="G284" s="20">
        <f>173.13/0.89</f>
        <v>194.52808988764</v>
      </c>
      <c r="H284" s="20">
        <f t="shared" si="25"/>
        <v>115812.298314607</v>
      </c>
      <c r="I284" s="43"/>
    </row>
    <row r="285" s="2" customFormat="1" ht="28" spans="1:9">
      <c r="A285" s="7"/>
      <c r="B285" s="7">
        <v>1152</v>
      </c>
      <c r="C285" s="16">
        <v>2203023009</v>
      </c>
      <c r="D285" s="17" t="s">
        <v>153</v>
      </c>
      <c r="E285" s="18" t="s">
        <v>12</v>
      </c>
      <c r="F285" s="19">
        <v>1451.52</v>
      </c>
      <c r="G285" s="20">
        <f>60.25/0.89</f>
        <v>67.6966292134831</v>
      </c>
      <c r="H285" s="20">
        <f t="shared" si="25"/>
        <v>98263.0112359551</v>
      </c>
      <c r="I285" s="43"/>
    </row>
    <row r="286" s="2" customFormat="1" spans="1:9">
      <c r="A286" s="7"/>
      <c r="B286" s="7">
        <v>1153</v>
      </c>
      <c r="C286" s="16">
        <v>2203023010</v>
      </c>
      <c r="D286" s="17" t="s">
        <v>154</v>
      </c>
      <c r="E286" s="18" t="s">
        <v>12</v>
      </c>
      <c r="F286" s="19">
        <v>595.35</v>
      </c>
      <c r="G286" s="20">
        <f>213.84/0.89</f>
        <v>240.269662921348</v>
      </c>
      <c r="H286" s="20">
        <f t="shared" si="25"/>
        <v>143044.543820225</v>
      </c>
      <c r="I286" s="43"/>
    </row>
    <row r="287" s="2" customFormat="1" spans="1:9">
      <c r="A287" s="7" t="s">
        <v>155</v>
      </c>
      <c r="B287" s="7">
        <v>1197</v>
      </c>
      <c r="C287" s="16">
        <v>22030330</v>
      </c>
      <c r="D287" s="17" t="s">
        <v>156</v>
      </c>
      <c r="E287" s="18" t="s">
        <v>12</v>
      </c>
      <c r="F287" s="19">
        <f>F288</f>
        <v>1207.4</v>
      </c>
      <c r="G287" s="20"/>
      <c r="H287" s="20">
        <v>49412.15</v>
      </c>
      <c r="I287" s="43"/>
    </row>
    <row r="288" s="2" customFormat="1" spans="1:9">
      <c r="A288" s="7"/>
      <c r="B288" s="7">
        <v>1198</v>
      </c>
      <c r="C288" s="16">
        <v>2203033001</v>
      </c>
      <c r="D288" s="17" t="s">
        <v>44</v>
      </c>
      <c r="E288" s="18" t="s">
        <v>12</v>
      </c>
      <c r="F288" s="19">
        <v>1207.4</v>
      </c>
      <c r="G288" s="20">
        <v>20.21</v>
      </c>
      <c r="H288" s="20">
        <v>24406.66</v>
      </c>
      <c r="I288" s="43"/>
    </row>
    <row r="289" s="2" customFormat="1" spans="1:9">
      <c r="A289" s="7"/>
      <c r="B289" s="7">
        <v>1199</v>
      </c>
      <c r="C289" s="16">
        <v>2203033004</v>
      </c>
      <c r="D289" s="17" t="s">
        <v>145</v>
      </c>
      <c r="E289" s="18" t="s">
        <v>12</v>
      </c>
      <c r="F289" s="19">
        <v>1568.2</v>
      </c>
      <c r="G289" s="20">
        <v>3.81</v>
      </c>
      <c r="H289" s="20">
        <v>5981.49</v>
      </c>
      <c r="I289" s="43"/>
    </row>
    <row r="290" s="2" customFormat="1" ht="28" spans="1:9">
      <c r="A290" s="7"/>
      <c r="B290" s="7">
        <v>1200</v>
      </c>
      <c r="C290" s="16">
        <v>2203033005</v>
      </c>
      <c r="D290" s="17" t="s">
        <v>146</v>
      </c>
      <c r="E290" s="18" t="s">
        <v>12</v>
      </c>
      <c r="F290" s="19">
        <v>1451.52</v>
      </c>
      <c r="G290" s="20">
        <v>12.03</v>
      </c>
      <c r="H290" s="20">
        <v>17460.74</v>
      </c>
      <c r="I290" s="43"/>
    </row>
    <row r="291" s="2" customFormat="1" spans="1:9">
      <c r="A291" s="7"/>
      <c r="B291" s="7">
        <v>1201</v>
      </c>
      <c r="C291" s="16">
        <v>2203033006</v>
      </c>
      <c r="D291" s="17" t="s">
        <v>150</v>
      </c>
      <c r="E291" s="18" t="s">
        <v>12</v>
      </c>
      <c r="F291" s="19">
        <v>32.58</v>
      </c>
      <c r="G291" s="20">
        <v>10.67</v>
      </c>
      <c r="H291" s="20">
        <v>347.56</v>
      </c>
      <c r="I291" s="43"/>
    </row>
    <row r="292" s="2" customFormat="1" spans="1:9">
      <c r="A292" s="7"/>
      <c r="B292" s="7">
        <v>1202</v>
      </c>
      <c r="C292" s="16">
        <v>2203033007</v>
      </c>
      <c r="D292" s="17" t="s">
        <v>147</v>
      </c>
      <c r="E292" s="18" t="s">
        <v>12</v>
      </c>
      <c r="F292" s="19">
        <v>26.63</v>
      </c>
      <c r="G292" s="20">
        <v>8.08</v>
      </c>
      <c r="H292" s="20">
        <v>215.16</v>
      </c>
      <c r="I292" s="43"/>
    </row>
    <row r="293" s="2" customFormat="1" ht="28" spans="1:9">
      <c r="A293" s="7"/>
      <c r="B293" s="7">
        <v>1203</v>
      </c>
      <c r="C293" s="16" t="s">
        <v>157</v>
      </c>
      <c r="D293" s="17" t="s">
        <v>158</v>
      </c>
      <c r="E293" s="18" t="s">
        <v>12</v>
      </c>
      <c r="F293" s="19">
        <v>500</v>
      </c>
      <c r="G293" s="20">
        <v>2</v>
      </c>
      <c r="H293" s="20">
        <v>1000.55</v>
      </c>
      <c r="I293" s="43"/>
    </row>
    <row r="294" s="2" customFormat="1" spans="1:9">
      <c r="A294" s="7" t="s">
        <v>34</v>
      </c>
      <c r="B294" s="7">
        <v>1222</v>
      </c>
      <c r="C294" s="16">
        <v>220403</v>
      </c>
      <c r="D294" s="17" t="s">
        <v>35</v>
      </c>
      <c r="E294" s="18" t="s">
        <v>12</v>
      </c>
      <c r="F294" s="19">
        <f>F295</f>
        <v>5330</v>
      </c>
      <c r="G294" s="20"/>
      <c r="H294" s="20">
        <f>H295</f>
        <v>721226.853932584</v>
      </c>
      <c r="I294" s="43"/>
    </row>
    <row r="295" s="2" customFormat="1" spans="1:9">
      <c r="A295" s="7"/>
      <c r="B295" s="7">
        <v>1223</v>
      </c>
      <c r="C295" s="16">
        <v>22040305</v>
      </c>
      <c r="D295" s="17" t="s">
        <v>36</v>
      </c>
      <c r="E295" s="18" t="s">
        <v>12</v>
      </c>
      <c r="F295" s="19">
        <v>5330</v>
      </c>
      <c r="G295" s="20">
        <f>120.43/0.89</f>
        <v>135.314606741573</v>
      </c>
      <c r="H295" s="20">
        <f>G295*F295</f>
        <v>721226.853932584</v>
      </c>
      <c r="I295" s="43"/>
    </row>
    <row r="296" s="2" customFormat="1" ht="28" spans="1:9">
      <c r="A296" s="7" t="s">
        <v>159</v>
      </c>
      <c r="B296" s="7">
        <v>745</v>
      </c>
      <c r="C296" s="16">
        <v>2201030617</v>
      </c>
      <c r="D296" s="17" t="s">
        <v>160</v>
      </c>
      <c r="E296" s="18" t="s">
        <v>12</v>
      </c>
      <c r="F296" s="19">
        <f>F297</f>
        <v>650.8</v>
      </c>
      <c r="G296" s="20"/>
      <c r="H296" s="135">
        <f>H297+H300+H302+H303+H304</f>
        <v>2312273.552832</v>
      </c>
      <c r="I296" s="43"/>
    </row>
    <row r="297" s="2" customFormat="1" spans="1:9">
      <c r="A297" s="7"/>
      <c r="B297" s="7">
        <v>746</v>
      </c>
      <c r="C297" s="16">
        <v>220103061701</v>
      </c>
      <c r="D297" s="17" t="s">
        <v>13</v>
      </c>
      <c r="E297" s="18" t="s">
        <v>12</v>
      </c>
      <c r="F297" s="19">
        <v>650.8</v>
      </c>
      <c r="G297" s="2">
        <v>1427.18892123985</v>
      </c>
      <c r="H297" s="20">
        <f>G297*F297</f>
        <v>928814.549942893</v>
      </c>
      <c r="I297" s="43"/>
    </row>
    <row r="298" s="2" customFormat="1" spans="1:9">
      <c r="A298" s="7"/>
      <c r="B298" s="7">
        <v>747</v>
      </c>
      <c r="C298" s="16">
        <v>22010306170101</v>
      </c>
      <c r="D298" s="17" t="s">
        <v>15</v>
      </c>
      <c r="E298" s="18" t="s">
        <v>16</v>
      </c>
      <c r="F298" s="19">
        <v>17.69</v>
      </c>
      <c r="G298" s="20">
        <f>H298/F298</f>
        <v>3990.38472558846</v>
      </c>
      <c r="H298" s="20">
        <f>0.076*H297</f>
        <v>70589.9057956599</v>
      </c>
      <c r="I298" s="136"/>
    </row>
    <row r="299" s="2" customFormat="1" spans="1:9">
      <c r="A299" s="7"/>
      <c r="B299" s="7">
        <v>748</v>
      </c>
      <c r="C299" s="16">
        <v>22010306170102</v>
      </c>
      <c r="D299" s="17" t="s">
        <v>18</v>
      </c>
      <c r="E299" s="18" t="s">
        <v>19</v>
      </c>
      <c r="F299" s="19">
        <v>558.98</v>
      </c>
      <c r="G299" s="20">
        <f>H299/F299</f>
        <v>1535.34052049668</v>
      </c>
      <c r="H299" s="20">
        <f>H297-H298</f>
        <v>858224.644147234</v>
      </c>
      <c r="I299" s="136"/>
    </row>
    <row r="300" s="2" customFormat="1" spans="1:9">
      <c r="A300" s="7"/>
      <c r="B300" s="7">
        <v>749</v>
      </c>
      <c r="C300" s="16">
        <v>220103061702</v>
      </c>
      <c r="D300" s="17" t="s">
        <v>20</v>
      </c>
      <c r="E300" s="18" t="s">
        <v>12</v>
      </c>
      <c r="F300" s="19">
        <v>650.8</v>
      </c>
      <c r="G300" s="2">
        <v>374.728958350206</v>
      </c>
      <c r="H300" s="20">
        <f t="shared" ref="H300:H305" si="26">G300*F300</f>
        <v>243873.606094314</v>
      </c>
      <c r="I300" s="136"/>
    </row>
    <row r="301" s="2" customFormat="1" spans="1:9">
      <c r="A301" s="7"/>
      <c r="B301" s="7">
        <v>750</v>
      </c>
      <c r="C301" s="16">
        <v>22010306170202</v>
      </c>
      <c r="D301" s="17" t="s">
        <v>22</v>
      </c>
      <c r="E301" s="18" t="s">
        <v>12</v>
      </c>
      <c r="F301" s="19">
        <v>650.8</v>
      </c>
      <c r="G301" s="20">
        <f>H300/F301</f>
        <v>374.728958350206</v>
      </c>
      <c r="H301" s="20">
        <f t="shared" si="26"/>
        <v>243873.606094314</v>
      </c>
      <c r="I301" s="43"/>
    </row>
    <row r="302" s="2" customFormat="1" spans="1:9">
      <c r="A302" s="7"/>
      <c r="B302" s="7">
        <v>751</v>
      </c>
      <c r="C302" s="16">
        <v>220103061703</v>
      </c>
      <c r="D302" s="17" t="s">
        <v>23</v>
      </c>
      <c r="E302" s="18" t="s">
        <v>12</v>
      </c>
      <c r="F302" s="19">
        <v>650.8</v>
      </c>
      <c r="G302" s="2">
        <v>959.500303698409</v>
      </c>
      <c r="H302" s="20">
        <f t="shared" si="26"/>
        <v>624442.797646925</v>
      </c>
      <c r="I302" s="43"/>
    </row>
    <row r="303" s="2" customFormat="1" spans="1:9">
      <c r="A303" s="7"/>
      <c r="B303" s="7">
        <v>752</v>
      </c>
      <c r="C303" s="16">
        <v>220103061704</v>
      </c>
      <c r="D303" s="17" t="s">
        <v>24</v>
      </c>
      <c r="E303" s="18" t="s">
        <v>12</v>
      </c>
      <c r="F303" s="19">
        <v>650.8</v>
      </c>
      <c r="G303" s="2">
        <v>291.490167054734</v>
      </c>
      <c r="H303" s="20">
        <f t="shared" si="26"/>
        <v>189701.800719221</v>
      </c>
      <c r="I303" s="43"/>
    </row>
    <row r="304" s="2" customFormat="1" spans="1:9">
      <c r="A304" s="7"/>
      <c r="B304" s="7">
        <v>753</v>
      </c>
      <c r="C304" s="16">
        <v>220103061705</v>
      </c>
      <c r="D304" s="17" t="s">
        <v>25</v>
      </c>
      <c r="E304" s="18" t="s">
        <v>12</v>
      </c>
      <c r="F304" s="19">
        <v>650.8</v>
      </c>
      <c r="G304" s="2">
        <v>500.062689656803</v>
      </c>
      <c r="H304" s="20">
        <f t="shared" si="26"/>
        <v>325440.798428647</v>
      </c>
      <c r="I304" s="29"/>
    </row>
    <row r="305" s="2" customFormat="1" spans="1:9">
      <c r="A305" s="7"/>
      <c r="B305" s="7">
        <v>754</v>
      </c>
      <c r="C305" s="16">
        <v>22010306170501</v>
      </c>
      <c r="D305" s="17" t="s">
        <v>27</v>
      </c>
      <c r="E305" s="18" t="s">
        <v>16</v>
      </c>
      <c r="F305" s="19">
        <v>1501.89</v>
      </c>
      <c r="G305" s="20">
        <f>H304/F305</f>
        <v>216.687506028169</v>
      </c>
      <c r="H305" s="20">
        <f t="shared" si="26"/>
        <v>325440.798428647</v>
      </c>
      <c r="I305" s="43"/>
    </row>
    <row r="306" s="2" customFormat="1" spans="1:9">
      <c r="A306" s="7"/>
      <c r="B306" s="7">
        <v>755</v>
      </c>
      <c r="C306" s="16" t="s">
        <v>161</v>
      </c>
      <c r="D306" s="17" t="s">
        <v>29</v>
      </c>
      <c r="E306" s="18" t="s">
        <v>16</v>
      </c>
      <c r="F306" s="19">
        <v>1266.11</v>
      </c>
      <c r="G306" s="20">
        <f>H306/F306</f>
        <v>232.62111710509</v>
      </c>
      <c r="H306" s="20">
        <f>0.905*H305</f>
        <v>294523.922577926</v>
      </c>
      <c r="I306" s="43"/>
    </row>
    <row r="307" s="2" customFormat="1" spans="1:9">
      <c r="A307" s="7"/>
      <c r="B307" s="7">
        <v>756</v>
      </c>
      <c r="C307" s="16" t="s">
        <v>162</v>
      </c>
      <c r="D307" s="17" t="s">
        <v>31</v>
      </c>
      <c r="E307" s="18" t="s">
        <v>16</v>
      </c>
      <c r="F307" s="19">
        <v>1266.11</v>
      </c>
      <c r="G307" s="20">
        <f>G306</f>
        <v>232.62111710509</v>
      </c>
      <c r="H307" s="20">
        <f>H306</f>
        <v>294523.922577926</v>
      </c>
      <c r="I307" s="43"/>
    </row>
    <row r="308" s="2" customFormat="1" spans="1:9">
      <c r="A308" s="7"/>
      <c r="B308" s="7">
        <v>757</v>
      </c>
      <c r="C308" s="16" t="s">
        <v>163</v>
      </c>
      <c r="D308" s="17" t="s">
        <v>33</v>
      </c>
      <c r="E308" s="18" t="s">
        <v>16</v>
      </c>
      <c r="F308" s="19">
        <v>235.78</v>
      </c>
      <c r="G308" s="20">
        <v>106.09</v>
      </c>
      <c r="H308" s="20">
        <f>H304-H307</f>
        <v>30916.8758507215</v>
      </c>
      <c r="I308" s="43"/>
    </row>
    <row r="309" s="2" customFormat="1" spans="1:9">
      <c r="A309" s="7" t="s">
        <v>164</v>
      </c>
      <c r="B309" s="7">
        <v>771</v>
      </c>
      <c r="C309" s="16">
        <v>2201030711</v>
      </c>
      <c r="D309" s="17" t="s">
        <v>165</v>
      </c>
      <c r="E309" s="18" t="s">
        <v>12</v>
      </c>
      <c r="F309" s="19">
        <f>F310</f>
        <v>108.34</v>
      </c>
      <c r="G309" s="20"/>
      <c r="H309" s="135">
        <f>H310+H313+H315+H316+H317</f>
        <v>183081.090274792</v>
      </c>
      <c r="I309" s="43"/>
    </row>
    <row r="310" s="2" customFormat="1" spans="1:9">
      <c r="A310" s="7"/>
      <c r="B310" s="7">
        <v>772</v>
      </c>
      <c r="C310" s="16">
        <v>220103071101</v>
      </c>
      <c r="D310" s="17" t="s">
        <v>13</v>
      </c>
      <c r="E310" s="18" t="s">
        <v>12</v>
      </c>
      <c r="F310" s="19">
        <v>108.34</v>
      </c>
      <c r="G310" s="2">
        <v>873.261997386454</v>
      </c>
      <c r="H310" s="20">
        <f t="shared" ref="H310:H318" si="27">G310*F310</f>
        <v>94609.2047968484</v>
      </c>
      <c r="I310" s="43"/>
    </row>
    <row r="311" s="2" customFormat="1" spans="1:9">
      <c r="A311" s="7"/>
      <c r="B311" s="7">
        <v>773</v>
      </c>
      <c r="C311" s="16">
        <v>22010307110102</v>
      </c>
      <c r="D311" s="17" t="s">
        <v>18</v>
      </c>
      <c r="E311" s="18" t="s">
        <v>19</v>
      </c>
      <c r="F311" s="19">
        <v>42.51</v>
      </c>
      <c r="G311" s="20">
        <f>H310/F311</f>
        <v>2225.57527162664</v>
      </c>
      <c r="H311" s="20">
        <f t="shared" si="27"/>
        <v>94609.2047968484</v>
      </c>
      <c r="I311" s="43"/>
    </row>
    <row r="312" s="2" customFormat="1" spans="1:9">
      <c r="A312" s="7"/>
      <c r="B312" s="7">
        <v>774</v>
      </c>
      <c r="C312" s="16">
        <v>220103071102</v>
      </c>
      <c r="D312" s="17" t="s">
        <v>20</v>
      </c>
      <c r="E312" s="18" t="s">
        <v>12</v>
      </c>
      <c r="F312" s="19">
        <v>54.17</v>
      </c>
      <c r="G312" s="2">
        <v>1038.09716576892</v>
      </c>
      <c r="H312" s="20">
        <f t="shared" si="27"/>
        <v>56233.7234697026</v>
      </c>
      <c r="I312" s="43"/>
    </row>
    <row r="313" s="2" customFormat="1" spans="1:9">
      <c r="A313" s="7"/>
      <c r="B313" s="7">
        <v>775</v>
      </c>
      <c r="C313" s="16">
        <v>22010307110202</v>
      </c>
      <c r="D313" s="17" t="s">
        <v>22</v>
      </c>
      <c r="E313" s="18" t="s">
        <v>12</v>
      </c>
      <c r="F313" s="19">
        <v>54.17</v>
      </c>
      <c r="G313" s="20">
        <f>H312/F313</f>
        <v>1038.09716576892</v>
      </c>
      <c r="H313" s="20">
        <f t="shared" si="27"/>
        <v>56233.7234697026</v>
      </c>
      <c r="I313" s="43"/>
    </row>
    <row r="314" s="2" customFormat="1" spans="1:9">
      <c r="A314" s="7"/>
      <c r="B314" s="7">
        <v>776</v>
      </c>
      <c r="C314" s="16">
        <v>220103071103</v>
      </c>
      <c r="D314" s="17" t="s">
        <v>23</v>
      </c>
      <c r="E314" s="18" t="s">
        <v>12</v>
      </c>
      <c r="F314" s="19">
        <v>54.17</v>
      </c>
      <c r="G314" s="2">
        <v>1686.72033810359</v>
      </c>
      <c r="H314" s="20">
        <f t="shared" si="27"/>
        <v>91369.6407150712</v>
      </c>
      <c r="I314" s="43"/>
    </row>
    <row r="315" s="2" customFormat="1" spans="1:9">
      <c r="A315" s="7"/>
      <c r="B315" s="7">
        <v>777</v>
      </c>
      <c r="C315" s="16">
        <v>220103071104</v>
      </c>
      <c r="D315" s="17" t="s">
        <v>24</v>
      </c>
      <c r="E315" s="18" t="s">
        <v>12</v>
      </c>
      <c r="F315" s="19">
        <v>54.17</v>
      </c>
      <c r="G315" s="2">
        <v>330.56792749004</v>
      </c>
      <c r="H315" s="20">
        <f t="shared" si="27"/>
        <v>17906.8646321355</v>
      </c>
      <c r="I315" s="43"/>
    </row>
    <row r="316" s="2" customFormat="1" spans="1:9">
      <c r="A316" s="7"/>
      <c r="B316" s="7">
        <v>778</v>
      </c>
      <c r="C316" s="16">
        <v>220103071105</v>
      </c>
      <c r="D316" s="17" t="s">
        <v>25</v>
      </c>
      <c r="E316" s="18" t="s">
        <v>12</v>
      </c>
      <c r="F316" s="19">
        <v>108.34</v>
      </c>
      <c r="G316" s="2">
        <v>66.140379250996</v>
      </c>
      <c r="H316" s="20">
        <f t="shared" si="27"/>
        <v>7165.64868805291</v>
      </c>
      <c r="I316" s="43"/>
    </row>
    <row r="317" s="2" customFormat="1" spans="1:9">
      <c r="A317" s="7"/>
      <c r="B317" s="7">
        <v>779</v>
      </c>
      <c r="C317" s="16">
        <v>22010307110501</v>
      </c>
      <c r="D317" s="17" t="s">
        <v>27</v>
      </c>
      <c r="E317" s="18" t="s">
        <v>16</v>
      </c>
      <c r="F317" s="19">
        <v>50.42</v>
      </c>
      <c r="G317" s="20">
        <f>H316/F317</f>
        <v>142.119172710292</v>
      </c>
      <c r="H317" s="20">
        <f t="shared" si="27"/>
        <v>7165.64868805291</v>
      </c>
      <c r="I317" s="43"/>
    </row>
    <row r="318" s="2" customFormat="1" spans="1:9">
      <c r="A318" s="7"/>
      <c r="B318" s="7">
        <v>780</v>
      </c>
      <c r="C318" s="17" t="s">
        <v>166</v>
      </c>
      <c r="D318" s="17" t="s">
        <v>33</v>
      </c>
      <c r="E318" s="18" t="s">
        <v>16</v>
      </c>
      <c r="F318" s="19">
        <v>50.42</v>
      </c>
      <c r="G318" s="20">
        <f>H317/F318</f>
        <v>142.119172710292</v>
      </c>
      <c r="H318" s="20">
        <f t="shared" si="27"/>
        <v>7165.64868805291</v>
      </c>
      <c r="I318" s="43"/>
    </row>
    <row r="319" s="2" customFormat="1" spans="1:9">
      <c r="A319" s="7" t="s">
        <v>167</v>
      </c>
      <c r="B319" s="7">
        <v>1099</v>
      </c>
      <c r="C319" s="16">
        <v>22030123</v>
      </c>
      <c r="D319" s="17" t="s">
        <v>168</v>
      </c>
      <c r="E319" s="18" t="s">
        <v>12</v>
      </c>
      <c r="F319" s="19">
        <f>F320</f>
        <v>650.8</v>
      </c>
      <c r="G319" s="20"/>
      <c r="H319" s="20">
        <v>6563.76</v>
      </c>
      <c r="I319" s="43"/>
    </row>
    <row r="320" s="2" customFormat="1" spans="1:9">
      <c r="A320" s="7"/>
      <c r="B320" s="7">
        <v>1100</v>
      </c>
      <c r="C320" s="16">
        <v>2203012302</v>
      </c>
      <c r="D320" s="17" t="s">
        <v>169</v>
      </c>
      <c r="E320" s="18" t="s">
        <v>12</v>
      </c>
      <c r="F320" s="19">
        <v>650.8</v>
      </c>
      <c r="G320" s="20">
        <v>9.71</v>
      </c>
      <c r="H320" s="20">
        <v>6320.77</v>
      </c>
      <c r="I320" s="43"/>
    </row>
    <row r="321" s="2" customFormat="1" spans="1:9">
      <c r="A321" s="7"/>
      <c r="B321" s="7">
        <v>1101</v>
      </c>
      <c r="C321" s="16">
        <v>2203012304</v>
      </c>
      <c r="D321" s="17" t="s">
        <v>170</v>
      </c>
      <c r="E321" s="18" t="s">
        <v>12</v>
      </c>
      <c r="F321" s="19">
        <v>54.17</v>
      </c>
      <c r="G321" s="20">
        <v>4.49</v>
      </c>
      <c r="H321" s="20">
        <v>242.99</v>
      </c>
      <c r="I321" s="43"/>
    </row>
    <row r="322" s="2" customFormat="1" spans="1:9">
      <c r="A322" s="7" t="s">
        <v>171</v>
      </c>
      <c r="B322" s="7">
        <v>1183</v>
      </c>
      <c r="C322" s="16">
        <v>22030323</v>
      </c>
      <c r="D322" s="17" t="s">
        <v>59</v>
      </c>
      <c r="E322" s="18" t="s">
        <v>12</v>
      </c>
      <c r="F322" s="19">
        <f>F323</f>
        <v>650.8</v>
      </c>
      <c r="G322" s="20"/>
      <c r="H322" s="20">
        <v>10722.44</v>
      </c>
      <c r="I322" s="43"/>
    </row>
    <row r="323" s="2" customFormat="1" spans="1:9">
      <c r="A323" s="7"/>
      <c r="B323" s="7">
        <v>1184</v>
      </c>
      <c r="C323" s="16">
        <v>2203032302</v>
      </c>
      <c r="D323" s="17" t="s">
        <v>169</v>
      </c>
      <c r="E323" s="18" t="s">
        <v>12</v>
      </c>
      <c r="F323" s="19">
        <v>650.8</v>
      </c>
      <c r="G323" s="20">
        <v>15.9</v>
      </c>
      <c r="H323" s="20">
        <v>10344.79</v>
      </c>
      <c r="I323" s="43"/>
    </row>
    <row r="324" s="2" customFormat="1" spans="1:9">
      <c r="A324" s="7"/>
      <c r="B324" s="7">
        <v>1186</v>
      </c>
      <c r="C324" s="16">
        <v>2203032304</v>
      </c>
      <c r="D324" s="17" t="s">
        <v>170</v>
      </c>
      <c r="E324" s="18" t="s">
        <v>12</v>
      </c>
      <c r="F324" s="19">
        <v>54.17</v>
      </c>
      <c r="G324" s="20">
        <v>6.97</v>
      </c>
      <c r="H324" s="20">
        <v>377.65</v>
      </c>
      <c r="I324" s="43"/>
    </row>
    <row r="325" s="126" customFormat="1" spans="1:9">
      <c r="A325" s="137"/>
      <c r="B325" s="137"/>
      <c r="C325" s="138"/>
      <c r="D325" s="139"/>
      <c r="E325" s="140"/>
      <c r="F325" s="141"/>
      <c r="G325" s="142"/>
      <c r="H325" s="142"/>
      <c r="I325" s="43"/>
    </row>
    <row r="326" s="126" customFormat="1" spans="1:9">
      <c r="A326" s="137"/>
      <c r="B326" s="137"/>
      <c r="C326" s="138"/>
      <c r="D326" s="139"/>
      <c r="E326" s="140"/>
      <c r="F326" s="141"/>
      <c r="G326" s="142"/>
      <c r="H326" s="142"/>
      <c r="I326" s="43"/>
    </row>
    <row r="327" s="126" customFormat="1" spans="1:9">
      <c r="A327" s="137"/>
      <c r="B327" s="137"/>
      <c r="C327" s="138"/>
      <c r="D327" s="139"/>
      <c r="E327" s="140"/>
      <c r="F327" s="141"/>
      <c r="G327" s="142"/>
      <c r="H327" s="142"/>
      <c r="I327" s="43"/>
    </row>
    <row r="328" s="2" customFormat="1" spans="1:9">
      <c r="A328" s="143" t="s">
        <v>172</v>
      </c>
      <c r="B328" s="143"/>
      <c r="C328" s="143"/>
      <c r="D328" s="143"/>
      <c r="E328" s="143"/>
      <c r="F328" s="143"/>
      <c r="G328" s="144"/>
      <c r="H328" s="144"/>
      <c r="I328" s="43"/>
    </row>
    <row r="329" s="2" customFormat="1" spans="1:9">
      <c r="A329" s="31" t="s">
        <v>1</v>
      </c>
      <c r="B329" s="31" t="s">
        <v>173</v>
      </c>
      <c r="C329" s="31" t="s">
        <v>174</v>
      </c>
      <c r="D329" s="31" t="s">
        <v>175</v>
      </c>
      <c r="E329" s="31" t="s">
        <v>176</v>
      </c>
      <c r="F329" s="33" t="s">
        <v>177</v>
      </c>
      <c r="G329" s="34" t="s">
        <v>7</v>
      </c>
      <c r="H329" s="34"/>
      <c r="I329" s="43"/>
    </row>
    <row r="330" s="2" customFormat="1" ht="17" spans="1:9">
      <c r="A330" s="31"/>
      <c r="B330" s="31"/>
      <c r="C330" s="31"/>
      <c r="D330" s="31"/>
      <c r="E330" s="31"/>
      <c r="F330" s="33"/>
      <c r="G330" s="32" t="s">
        <v>178</v>
      </c>
      <c r="H330" s="32" t="s">
        <v>179</v>
      </c>
      <c r="I330" s="43"/>
    </row>
    <row r="331" s="127" customFormat="1" ht="20.4" spans="1:9">
      <c r="A331" s="31"/>
      <c r="B331" s="31"/>
      <c r="C331" s="145"/>
      <c r="D331" s="146"/>
      <c r="E331" s="147"/>
      <c r="F331" s="33"/>
      <c r="G331" s="33"/>
      <c r="H331" s="33">
        <v>3543810.318</v>
      </c>
      <c r="I331" s="29"/>
    </row>
    <row r="332" s="2" customFormat="1" spans="1:9">
      <c r="A332" s="7" t="s">
        <v>180</v>
      </c>
      <c r="B332" s="7">
        <v>1230</v>
      </c>
      <c r="C332" s="16">
        <v>23</v>
      </c>
      <c r="D332" s="17" t="s">
        <v>181</v>
      </c>
      <c r="E332" s="38" t="s">
        <v>182</v>
      </c>
      <c r="F332" s="39"/>
      <c r="G332" s="20"/>
      <c r="H332" s="20">
        <v>238202.9964</v>
      </c>
      <c r="I332" s="29"/>
    </row>
    <row r="333" s="2" customFormat="1" spans="1:9">
      <c r="A333" s="7"/>
      <c r="B333" s="7">
        <v>1231</v>
      </c>
      <c r="C333" s="16">
        <v>2301</v>
      </c>
      <c r="D333" s="17" t="s">
        <v>183</v>
      </c>
      <c r="E333" s="18" t="s">
        <v>184</v>
      </c>
      <c r="F333" s="40"/>
      <c r="G333" s="20"/>
      <c r="H333" s="20">
        <v>74140.4016</v>
      </c>
      <c r="I333" s="29"/>
    </row>
    <row r="334" s="2" customFormat="1" spans="1:9">
      <c r="A334" s="7"/>
      <c r="B334" s="7">
        <v>1232</v>
      </c>
      <c r="C334" s="41"/>
      <c r="D334" s="17" t="s">
        <v>185</v>
      </c>
      <c r="E334" s="18" t="s">
        <v>184</v>
      </c>
      <c r="F334" s="40"/>
      <c r="G334" s="20"/>
      <c r="H334" s="20">
        <v>72904.3848</v>
      </c>
      <c r="I334" s="29"/>
    </row>
    <row r="335" s="2" customFormat="1" spans="1:9">
      <c r="A335" s="7"/>
      <c r="B335" s="7">
        <v>1236</v>
      </c>
      <c r="C335" s="16">
        <v>230102</v>
      </c>
      <c r="D335" s="17" t="s">
        <v>186</v>
      </c>
      <c r="E335" s="18" t="s">
        <v>187</v>
      </c>
      <c r="F335" s="37"/>
      <c r="G335" s="20"/>
      <c r="H335" s="20">
        <v>72904.3848</v>
      </c>
      <c r="I335" s="29"/>
    </row>
    <row r="336" s="2" customFormat="1" spans="1:9">
      <c r="A336" s="7"/>
      <c r="B336" s="7">
        <v>1239</v>
      </c>
      <c r="C336" s="16">
        <v>23010204</v>
      </c>
      <c r="D336" s="17" t="s">
        <v>188</v>
      </c>
      <c r="E336" s="18" t="s">
        <v>187</v>
      </c>
      <c r="F336" s="37">
        <v>127</v>
      </c>
      <c r="G336" s="20">
        <f>H336/F336</f>
        <v>574.050274015748</v>
      </c>
      <c r="H336" s="20">
        <v>72904.3848</v>
      </c>
      <c r="I336" s="29"/>
    </row>
    <row r="337" s="2" customFormat="1" spans="1:9">
      <c r="A337" s="7"/>
      <c r="B337" s="7">
        <v>1243</v>
      </c>
      <c r="C337" s="41"/>
      <c r="D337" s="17" t="s">
        <v>189</v>
      </c>
      <c r="E337" s="18" t="s">
        <v>184</v>
      </c>
      <c r="F337" s="40"/>
      <c r="G337" s="20"/>
      <c r="H337" s="20">
        <v>1236.0168</v>
      </c>
      <c r="I337" s="29"/>
    </row>
    <row r="338" s="2" customFormat="1" spans="1:9">
      <c r="A338" s="7"/>
      <c r="B338" s="7">
        <v>1244</v>
      </c>
      <c r="C338" s="16">
        <v>230104</v>
      </c>
      <c r="D338" s="17" t="s">
        <v>190</v>
      </c>
      <c r="E338" s="18" t="s">
        <v>184</v>
      </c>
      <c r="F338" s="42">
        <v>0.0159367549253357</v>
      </c>
      <c r="G338" s="20"/>
      <c r="H338" s="20">
        <v>1236.0168</v>
      </c>
      <c r="I338" s="29"/>
    </row>
    <row r="339" s="2" customFormat="1" spans="1:9">
      <c r="A339" s="7"/>
      <c r="B339" s="7">
        <v>1245</v>
      </c>
      <c r="C339" s="16">
        <v>2302</v>
      </c>
      <c r="D339" s="17" t="s">
        <v>191</v>
      </c>
      <c r="E339" s="18" t="s">
        <v>184</v>
      </c>
      <c r="F339" s="40"/>
      <c r="G339" s="20"/>
      <c r="H339" s="20">
        <v>164062.5948</v>
      </c>
      <c r="I339" s="29"/>
    </row>
    <row r="340" s="2" customFormat="1" spans="1:9">
      <c r="A340" s="7"/>
      <c r="B340" s="7">
        <v>1246</v>
      </c>
      <c r="C340" s="41"/>
      <c r="D340" s="17" t="s">
        <v>185</v>
      </c>
      <c r="E340" s="18" t="s">
        <v>184</v>
      </c>
      <c r="F340" s="40"/>
      <c r="G340" s="20"/>
      <c r="H340" s="20">
        <v>163554.066</v>
      </c>
      <c r="I340" s="29"/>
    </row>
    <row r="341" s="2" customFormat="1" spans="1:9">
      <c r="A341" s="7"/>
      <c r="B341" s="7">
        <v>1247</v>
      </c>
      <c r="C341" s="16">
        <v>230201</v>
      </c>
      <c r="D341" s="17" t="s">
        <v>192</v>
      </c>
      <c r="E341" s="18" t="s">
        <v>187</v>
      </c>
      <c r="F341" s="37"/>
      <c r="G341" s="20"/>
      <c r="H341" s="20">
        <v>83287.0188</v>
      </c>
      <c r="I341" s="29"/>
    </row>
    <row r="342" s="2" customFormat="1" spans="1:9">
      <c r="A342" s="7"/>
      <c r="B342" s="7">
        <v>1249</v>
      </c>
      <c r="C342" s="16">
        <v>23020104</v>
      </c>
      <c r="D342" s="17" t="s">
        <v>193</v>
      </c>
      <c r="E342" s="18" t="s">
        <v>187</v>
      </c>
      <c r="F342" s="37">
        <v>85</v>
      </c>
      <c r="G342" s="20">
        <f>H342/F342</f>
        <v>979.84728</v>
      </c>
      <c r="H342" s="20">
        <v>83287.0188</v>
      </c>
      <c r="I342" s="29"/>
    </row>
    <row r="343" s="2" customFormat="1" spans="1:9">
      <c r="A343" s="7"/>
      <c r="B343" s="7">
        <v>1251</v>
      </c>
      <c r="C343" s="16">
        <v>230203</v>
      </c>
      <c r="D343" s="17" t="s">
        <v>194</v>
      </c>
      <c r="E343" s="18" t="s">
        <v>195</v>
      </c>
      <c r="F343" s="37"/>
      <c r="G343" s="20"/>
      <c r="H343" s="20">
        <v>80267.0472</v>
      </c>
      <c r="I343" s="29"/>
    </row>
    <row r="344" s="2" customFormat="1" spans="1:9">
      <c r="A344" s="7"/>
      <c r="B344" s="7">
        <v>1252</v>
      </c>
      <c r="C344" s="16">
        <v>23020301</v>
      </c>
      <c r="D344" s="17" t="s">
        <v>196</v>
      </c>
      <c r="E344" s="18" t="s">
        <v>195</v>
      </c>
      <c r="F344" s="37"/>
      <c r="G344" s="20"/>
      <c r="H344" s="20">
        <v>80267.0472</v>
      </c>
      <c r="I344" s="29"/>
    </row>
    <row r="345" s="2" customFormat="1" spans="1:9">
      <c r="A345" s="7"/>
      <c r="B345" s="7">
        <v>1254</v>
      </c>
      <c r="C345" s="16">
        <v>2302030102</v>
      </c>
      <c r="D345" s="17" t="s">
        <v>197</v>
      </c>
      <c r="E345" s="18" t="s">
        <v>195</v>
      </c>
      <c r="F345" s="37">
        <v>1</v>
      </c>
      <c r="G345" s="20">
        <f>H345/F345</f>
        <v>80267.0472</v>
      </c>
      <c r="H345" s="20">
        <v>80267.0472</v>
      </c>
      <c r="I345" s="29"/>
    </row>
    <row r="346" s="2" customFormat="1" spans="1:9">
      <c r="A346" s="7"/>
      <c r="B346" s="7">
        <v>1260</v>
      </c>
      <c r="C346" s="41"/>
      <c r="D346" s="17" t="s">
        <v>189</v>
      </c>
      <c r="E346" s="18" t="s">
        <v>184</v>
      </c>
      <c r="F346" s="40"/>
      <c r="G346" s="20"/>
      <c r="H346" s="20">
        <v>508.5288</v>
      </c>
      <c r="I346" s="29"/>
    </row>
    <row r="347" s="2" customFormat="1" spans="1:9">
      <c r="A347" s="7"/>
      <c r="B347" s="7">
        <v>1261</v>
      </c>
      <c r="C347" s="16">
        <v>230204</v>
      </c>
      <c r="D347" s="17" t="s">
        <v>190</v>
      </c>
      <c r="E347" s="18"/>
      <c r="F347" s="42">
        <v>0.0420969023034154</v>
      </c>
      <c r="G347" s="20"/>
      <c r="H347" s="20">
        <v>508.5288</v>
      </c>
      <c r="I347" s="29"/>
    </row>
    <row r="348" s="2" customFormat="1" spans="1:9">
      <c r="A348" s="7" t="s">
        <v>198</v>
      </c>
      <c r="B348" s="7">
        <v>1230</v>
      </c>
      <c r="C348" s="16">
        <v>23</v>
      </c>
      <c r="D348" s="17" t="s">
        <v>181</v>
      </c>
      <c r="E348" s="38" t="s">
        <v>182</v>
      </c>
      <c r="F348" s="40"/>
      <c r="G348" s="20"/>
      <c r="H348" s="20">
        <v>264707.6328</v>
      </c>
      <c r="I348" s="29"/>
    </row>
    <row r="349" s="2" customFormat="1" spans="1:9">
      <c r="A349" s="7"/>
      <c r="B349" s="7">
        <v>1231</v>
      </c>
      <c r="C349" s="16">
        <v>2301</v>
      </c>
      <c r="D349" s="17" t="s">
        <v>183</v>
      </c>
      <c r="E349" s="18" t="s">
        <v>184</v>
      </c>
      <c r="F349" s="40"/>
      <c r="G349" s="20"/>
      <c r="H349" s="20">
        <v>40864.7592</v>
      </c>
      <c r="I349" s="29"/>
    </row>
    <row r="350" s="2" customFormat="1" spans="1:9">
      <c r="A350" s="7"/>
      <c r="B350" s="7">
        <v>1232</v>
      </c>
      <c r="C350" s="41"/>
      <c r="D350" s="17" t="s">
        <v>185</v>
      </c>
      <c r="E350" s="18" t="s">
        <v>184</v>
      </c>
      <c r="F350" s="40"/>
      <c r="G350" s="20"/>
      <c r="H350" s="20">
        <v>40183.4844</v>
      </c>
      <c r="I350" s="29"/>
    </row>
    <row r="351" s="2" customFormat="1" spans="1:9">
      <c r="A351" s="7"/>
      <c r="B351" s="7">
        <v>1236</v>
      </c>
      <c r="C351" s="16">
        <v>230102</v>
      </c>
      <c r="D351" s="17" t="s">
        <v>186</v>
      </c>
      <c r="E351" s="18" t="s">
        <v>187</v>
      </c>
      <c r="F351" s="40"/>
      <c r="G351" s="20"/>
      <c r="H351" s="20">
        <v>40183.4844</v>
      </c>
      <c r="I351" s="29"/>
    </row>
    <row r="352" s="2" customFormat="1" spans="1:9">
      <c r="A352" s="7"/>
      <c r="B352" s="7">
        <v>1239</v>
      </c>
      <c r="C352" s="16">
        <v>23010204</v>
      </c>
      <c r="D352" s="17" t="s">
        <v>188</v>
      </c>
      <c r="E352" s="18" t="s">
        <v>187</v>
      </c>
      <c r="F352" s="40">
        <v>70</v>
      </c>
      <c r="G352" s="20">
        <f>H352/F352</f>
        <v>574.049777142857</v>
      </c>
      <c r="H352" s="20">
        <v>40183.4844</v>
      </c>
      <c r="I352" s="29"/>
    </row>
    <row r="353" s="2" customFormat="1" spans="1:9">
      <c r="A353" s="7"/>
      <c r="B353" s="7">
        <v>1243</v>
      </c>
      <c r="C353" s="41"/>
      <c r="D353" s="17" t="s">
        <v>189</v>
      </c>
      <c r="E353" s="18" t="s">
        <v>184</v>
      </c>
      <c r="F353" s="40"/>
      <c r="G353" s="20"/>
      <c r="H353" s="20">
        <v>681.264</v>
      </c>
      <c r="I353" s="29"/>
    </row>
    <row r="354" s="2" customFormat="1" spans="1:9">
      <c r="A354" s="7"/>
      <c r="B354" s="7">
        <v>1244</v>
      </c>
      <c r="C354" s="16">
        <v>230104</v>
      </c>
      <c r="D354" s="17" t="s">
        <v>190</v>
      </c>
      <c r="E354" s="18" t="s">
        <v>184</v>
      </c>
      <c r="F354" s="42">
        <v>0.00878403814782281</v>
      </c>
      <c r="G354" s="20"/>
      <c r="H354" s="20">
        <v>681.264</v>
      </c>
      <c r="I354" s="29"/>
    </row>
    <row r="355" s="2" customFormat="1" spans="1:9">
      <c r="A355" s="7"/>
      <c r="B355" s="7">
        <v>1245</v>
      </c>
      <c r="C355" s="16">
        <v>2302</v>
      </c>
      <c r="D355" s="17" t="s">
        <v>191</v>
      </c>
      <c r="E355" s="18" t="s">
        <v>184</v>
      </c>
      <c r="F355" s="40"/>
      <c r="G355" s="20"/>
      <c r="H355" s="20">
        <v>223842.8844</v>
      </c>
      <c r="I355" s="29"/>
    </row>
    <row r="356" s="2" customFormat="1" spans="1:9">
      <c r="A356" s="7"/>
      <c r="B356" s="7">
        <v>1246</v>
      </c>
      <c r="C356" s="41"/>
      <c r="D356" s="17" t="s">
        <v>185</v>
      </c>
      <c r="E356" s="18" t="s">
        <v>184</v>
      </c>
      <c r="F356" s="40"/>
      <c r="G356" s="20"/>
      <c r="H356" s="20">
        <v>223324.7544</v>
      </c>
      <c r="I356" s="29"/>
    </row>
    <row r="357" s="2" customFormat="1" spans="1:9">
      <c r="A357" s="7"/>
      <c r="B357" s="7">
        <v>1247</v>
      </c>
      <c r="C357" s="16">
        <v>230201</v>
      </c>
      <c r="D357" s="17" t="s">
        <v>192</v>
      </c>
      <c r="E357" s="18" t="s">
        <v>187</v>
      </c>
      <c r="F357" s="40"/>
      <c r="G357" s="20"/>
      <c r="H357" s="20">
        <v>143057.7072</v>
      </c>
      <c r="I357" s="29"/>
    </row>
    <row r="358" s="2" customFormat="1" spans="1:9">
      <c r="A358" s="7"/>
      <c r="B358" s="7">
        <v>1249</v>
      </c>
      <c r="C358" s="16">
        <v>23020104</v>
      </c>
      <c r="D358" s="17" t="s">
        <v>193</v>
      </c>
      <c r="E358" s="18" t="s">
        <v>187</v>
      </c>
      <c r="F358" s="40">
        <v>146</v>
      </c>
      <c r="G358" s="20">
        <f>H358/F358</f>
        <v>979.847309589041</v>
      </c>
      <c r="H358" s="20">
        <v>143057.7072</v>
      </c>
      <c r="I358" s="29"/>
    </row>
    <row r="359" s="2" customFormat="1" spans="1:9">
      <c r="A359" s="7"/>
      <c r="B359" s="7">
        <v>1251</v>
      </c>
      <c r="C359" s="16">
        <v>230203</v>
      </c>
      <c r="D359" s="17" t="s">
        <v>194</v>
      </c>
      <c r="E359" s="18" t="s">
        <v>195</v>
      </c>
      <c r="F359" s="40"/>
      <c r="G359" s="20"/>
      <c r="H359" s="20">
        <v>80267.0472</v>
      </c>
      <c r="I359" s="29"/>
    </row>
    <row r="360" s="2" customFormat="1" spans="1:9">
      <c r="A360" s="7"/>
      <c r="B360" s="7">
        <v>1252</v>
      </c>
      <c r="C360" s="16">
        <v>23020301</v>
      </c>
      <c r="D360" s="17" t="s">
        <v>196</v>
      </c>
      <c r="E360" s="18" t="s">
        <v>195</v>
      </c>
      <c r="F360" s="40"/>
      <c r="G360" s="20"/>
      <c r="H360" s="20">
        <v>80267.0472</v>
      </c>
      <c r="I360" s="29"/>
    </row>
    <row r="361" s="2" customFormat="1" spans="1:9">
      <c r="A361" s="7"/>
      <c r="B361" s="7">
        <v>1254</v>
      </c>
      <c r="C361" s="16">
        <v>2302030102</v>
      </c>
      <c r="D361" s="17" t="s">
        <v>197</v>
      </c>
      <c r="E361" s="18" t="s">
        <v>195</v>
      </c>
      <c r="F361" s="40">
        <v>1</v>
      </c>
      <c r="G361" s="20">
        <f>H361/F361</f>
        <v>80267.0472</v>
      </c>
      <c r="H361" s="20">
        <v>80267.0472</v>
      </c>
      <c r="I361" s="29"/>
    </row>
    <row r="362" s="2" customFormat="1" spans="1:9">
      <c r="A362" s="7"/>
      <c r="B362" s="7">
        <v>1260</v>
      </c>
      <c r="C362" s="41"/>
      <c r="D362" s="17" t="s">
        <v>189</v>
      </c>
      <c r="E362" s="18" t="s">
        <v>184</v>
      </c>
      <c r="F362" s="40"/>
      <c r="G362" s="20"/>
      <c r="H362" s="20">
        <v>518.1192</v>
      </c>
      <c r="I362" s="29"/>
    </row>
    <row r="363" s="2" customFormat="1" spans="1:9">
      <c r="A363" s="7"/>
      <c r="B363" s="7">
        <v>1261</v>
      </c>
      <c r="C363" s="16">
        <v>230204</v>
      </c>
      <c r="D363" s="17" t="s">
        <v>190</v>
      </c>
      <c r="E363" s="18"/>
      <c r="F363" s="42">
        <v>0.0428911834789516</v>
      </c>
      <c r="G363" s="20"/>
      <c r="H363" s="20">
        <v>518.1192</v>
      </c>
      <c r="I363" s="29"/>
    </row>
    <row r="364" s="2" customFormat="1" spans="1:9">
      <c r="A364" s="7" t="s">
        <v>199</v>
      </c>
      <c r="B364" s="7">
        <v>1230</v>
      </c>
      <c r="C364" s="16">
        <v>23</v>
      </c>
      <c r="D364" s="17" t="s">
        <v>181</v>
      </c>
      <c r="E364" s="38" t="s">
        <v>182</v>
      </c>
      <c r="F364" s="39"/>
      <c r="G364" s="20"/>
      <c r="H364" s="20">
        <v>165437.5752</v>
      </c>
      <c r="I364" s="29"/>
    </row>
    <row r="365" s="2" customFormat="1" spans="1:9">
      <c r="A365" s="7"/>
      <c r="B365" s="7">
        <v>1231</v>
      </c>
      <c r="C365" s="16">
        <v>2301</v>
      </c>
      <c r="D365" s="17" t="s">
        <v>183</v>
      </c>
      <c r="E365" s="18" t="s">
        <v>184</v>
      </c>
      <c r="F365" s="40"/>
      <c r="G365" s="20"/>
      <c r="H365" s="20">
        <v>52540.5204</v>
      </c>
      <c r="I365" s="29"/>
    </row>
    <row r="366" s="2" customFormat="1" spans="1:9">
      <c r="A366" s="7"/>
      <c r="B366" s="7">
        <v>1232</v>
      </c>
      <c r="C366" s="41"/>
      <c r="D366" s="17" t="s">
        <v>185</v>
      </c>
      <c r="E366" s="18" t="s">
        <v>184</v>
      </c>
      <c r="F366" s="40"/>
      <c r="G366" s="20"/>
      <c r="H366" s="20">
        <v>51664.5972</v>
      </c>
      <c r="I366" s="29"/>
    </row>
    <row r="367" s="2" customFormat="1" spans="1:9">
      <c r="A367" s="7"/>
      <c r="B367" s="7">
        <v>1236</v>
      </c>
      <c r="C367" s="16">
        <v>230102</v>
      </c>
      <c r="D367" s="17" t="s">
        <v>186</v>
      </c>
      <c r="E367" s="18" t="s">
        <v>187</v>
      </c>
      <c r="F367" s="37"/>
      <c r="G367" s="20"/>
      <c r="H367" s="20">
        <v>51664.5972</v>
      </c>
      <c r="I367" s="29"/>
    </row>
    <row r="368" s="2" customFormat="1" spans="1:9">
      <c r="A368" s="7"/>
      <c r="B368" s="7">
        <v>1239</v>
      </c>
      <c r="C368" s="16">
        <v>23010204</v>
      </c>
      <c r="D368" s="17" t="s">
        <v>188</v>
      </c>
      <c r="E368" s="18" t="s">
        <v>187</v>
      </c>
      <c r="F368" s="37">
        <v>90</v>
      </c>
      <c r="G368" s="20">
        <f>H368/F368</f>
        <v>574.05108</v>
      </c>
      <c r="H368" s="20">
        <v>51664.5972</v>
      </c>
      <c r="I368" s="29"/>
    </row>
    <row r="369" s="2" customFormat="1" spans="1:9">
      <c r="A369" s="7"/>
      <c r="B369" s="7">
        <v>1243</v>
      </c>
      <c r="C369" s="41"/>
      <c r="D369" s="17" t="s">
        <v>189</v>
      </c>
      <c r="E369" s="18" t="s">
        <v>184</v>
      </c>
      <c r="F369" s="40"/>
      <c r="G369" s="20"/>
      <c r="H369" s="20">
        <v>875.9124</v>
      </c>
      <c r="I369" s="29"/>
    </row>
    <row r="370" s="2" customFormat="1" spans="1:9">
      <c r="A370" s="7"/>
      <c r="B370" s="7">
        <v>1244</v>
      </c>
      <c r="C370" s="16">
        <v>230104</v>
      </c>
      <c r="D370" s="17" t="s">
        <v>190</v>
      </c>
      <c r="E370" s="18" t="s">
        <v>184</v>
      </c>
      <c r="F370" s="42">
        <v>0.011293763332915</v>
      </c>
      <c r="G370" s="20"/>
      <c r="H370" s="20">
        <v>875.9124</v>
      </c>
      <c r="I370" s="29"/>
    </row>
    <row r="371" s="2" customFormat="1" spans="1:9">
      <c r="A371" s="7"/>
      <c r="B371" s="7">
        <v>1245</v>
      </c>
      <c r="C371" s="16">
        <v>2302</v>
      </c>
      <c r="D371" s="17" t="s">
        <v>191</v>
      </c>
      <c r="E371" s="18" t="s">
        <v>184</v>
      </c>
      <c r="F371" s="40"/>
      <c r="G371" s="20"/>
      <c r="H371" s="20">
        <v>112897.0548</v>
      </c>
      <c r="I371" s="29"/>
    </row>
    <row r="372" s="2" customFormat="1" spans="1:9">
      <c r="A372" s="7"/>
      <c r="B372" s="7">
        <v>1246</v>
      </c>
      <c r="C372" s="41"/>
      <c r="D372" s="17" t="s">
        <v>185</v>
      </c>
      <c r="E372" s="18" t="s">
        <v>184</v>
      </c>
      <c r="F372" s="40"/>
      <c r="G372" s="20"/>
      <c r="H372" s="20">
        <v>112602.0096</v>
      </c>
      <c r="I372" s="29"/>
    </row>
    <row r="373" s="2" customFormat="1" spans="1:9">
      <c r="A373" s="7"/>
      <c r="B373" s="7">
        <v>1247</v>
      </c>
      <c r="C373" s="16">
        <v>230201</v>
      </c>
      <c r="D373" s="17" t="s">
        <v>192</v>
      </c>
      <c r="E373" s="18" t="s">
        <v>187</v>
      </c>
      <c r="F373" s="37"/>
      <c r="G373" s="20"/>
      <c r="H373" s="20">
        <v>32334.9624</v>
      </c>
      <c r="I373" s="29"/>
    </row>
    <row r="374" s="2" customFormat="1" spans="1:9">
      <c r="A374" s="7"/>
      <c r="B374" s="7">
        <v>1249</v>
      </c>
      <c r="C374" s="16">
        <v>23020104</v>
      </c>
      <c r="D374" s="17" t="s">
        <v>193</v>
      </c>
      <c r="E374" s="18" t="s">
        <v>187</v>
      </c>
      <c r="F374" s="37">
        <v>33</v>
      </c>
      <c r="G374" s="20">
        <f>H374/F374</f>
        <v>979.847345454545</v>
      </c>
      <c r="H374" s="20">
        <v>32334.9624</v>
      </c>
      <c r="I374" s="29"/>
    </row>
    <row r="375" s="2" customFormat="1" spans="1:9">
      <c r="A375" s="7"/>
      <c r="B375" s="7">
        <v>1251</v>
      </c>
      <c r="C375" s="16">
        <v>230203</v>
      </c>
      <c r="D375" s="17" t="s">
        <v>194</v>
      </c>
      <c r="E375" s="18" t="s">
        <v>195</v>
      </c>
      <c r="F375" s="37"/>
      <c r="G375" s="20"/>
      <c r="H375" s="20">
        <v>80267.0472</v>
      </c>
      <c r="I375" s="29"/>
    </row>
    <row r="376" s="2" customFormat="1" spans="1:9">
      <c r="A376" s="7"/>
      <c r="B376" s="7">
        <v>1252</v>
      </c>
      <c r="C376" s="16">
        <v>23020301</v>
      </c>
      <c r="D376" s="17" t="s">
        <v>196</v>
      </c>
      <c r="E376" s="18" t="s">
        <v>195</v>
      </c>
      <c r="F376" s="37"/>
      <c r="G376" s="20"/>
      <c r="H376" s="20">
        <v>80267.0472</v>
      </c>
      <c r="I376" s="29"/>
    </row>
    <row r="377" s="2" customFormat="1" spans="1:9">
      <c r="A377" s="7"/>
      <c r="B377" s="7">
        <v>1254</v>
      </c>
      <c r="C377" s="16">
        <v>2302030102</v>
      </c>
      <c r="D377" s="17" t="s">
        <v>197</v>
      </c>
      <c r="E377" s="18" t="s">
        <v>195</v>
      </c>
      <c r="F377" s="37">
        <v>1</v>
      </c>
      <c r="G377" s="20">
        <f>H377/F377</f>
        <v>80267.0472</v>
      </c>
      <c r="H377" s="20">
        <v>80267.0472</v>
      </c>
      <c r="I377" s="29"/>
    </row>
    <row r="378" s="2" customFormat="1" spans="1:9">
      <c r="A378" s="7"/>
      <c r="B378" s="7">
        <v>1260</v>
      </c>
      <c r="C378" s="41"/>
      <c r="D378" s="17" t="s">
        <v>189</v>
      </c>
      <c r="E378" s="18" t="s">
        <v>184</v>
      </c>
      <c r="F378" s="40"/>
      <c r="G378" s="20"/>
      <c r="H378" s="20">
        <v>295.0344</v>
      </c>
      <c r="I378" s="29"/>
    </row>
    <row r="379" s="2" customFormat="1" spans="1:9">
      <c r="A379" s="7"/>
      <c r="B379" s="7">
        <v>1261</v>
      </c>
      <c r="C379" s="16">
        <v>230204</v>
      </c>
      <c r="D379" s="17" t="s">
        <v>190</v>
      </c>
      <c r="E379" s="18"/>
      <c r="F379" s="148">
        <v>0.0244241461477363</v>
      </c>
      <c r="G379" s="20"/>
      <c r="H379" s="20">
        <v>295.0344</v>
      </c>
      <c r="I379" s="29"/>
    </row>
    <row r="380" s="2" customFormat="1" spans="1:9">
      <c r="A380" s="7" t="s">
        <v>200</v>
      </c>
      <c r="B380" s="7">
        <v>1230</v>
      </c>
      <c r="C380" s="16">
        <v>23</v>
      </c>
      <c r="D380" s="17" t="s">
        <v>181</v>
      </c>
      <c r="E380" s="38" t="s">
        <v>182</v>
      </c>
      <c r="F380" s="39"/>
      <c r="G380" s="20"/>
      <c r="H380" s="20">
        <v>620513.8704</v>
      </c>
      <c r="I380" s="29"/>
    </row>
    <row r="381" s="2" customFormat="1" spans="1:9">
      <c r="A381" s="7"/>
      <c r="B381" s="7">
        <v>1231</v>
      </c>
      <c r="C381" s="16">
        <v>2301</v>
      </c>
      <c r="D381" s="17" t="s">
        <v>183</v>
      </c>
      <c r="E381" s="18" t="s">
        <v>184</v>
      </c>
      <c r="F381" s="40"/>
      <c r="G381" s="20"/>
      <c r="H381" s="20">
        <v>453535.7184</v>
      </c>
      <c r="I381" s="29"/>
    </row>
    <row r="382" s="2" customFormat="1" spans="1:9">
      <c r="A382" s="7"/>
      <c r="B382" s="7">
        <v>1232</v>
      </c>
      <c r="C382" s="41"/>
      <c r="D382" s="17" t="s">
        <v>185</v>
      </c>
      <c r="E382" s="18" t="s">
        <v>184</v>
      </c>
      <c r="F382" s="40"/>
      <c r="G382" s="20"/>
      <c r="H382" s="20">
        <v>452426.2236</v>
      </c>
      <c r="I382" s="29"/>
    </row>
    <row r="383" s="2" customFormat="1" spans="1:9">
      <c r="A383" s="7"/>
      <c r="B383" s="7">
        <v>1233</v>
      </c>
      <c r="C383" s="16">
        <v>230101</v>
      </c>
      <c r="D383" s="17" t="s">
        <v>201</v>
      </c>
      <c r="E383" s="18" t="s">
        <v>202</v>
      </c>
      <c r="F383" s="37">
        <v>1</v>
      </c>
      <c r="G383" s="20"/>
      <c r="H383" s="20">
        <v>129148.1064</v>
      </c>
      <c r="I383" s="29"/>
    </row>
    <row r="384" s="2" customFormat="1" spans="1:9">
      <c r="A384" s="7"/>
      <c r="B384" s="7">
        <v>1234</v>
      </c>
      <c r="C384" s="16">
        <v>23010101</v>
      </c>
      <c r="D384" s="17" t="s">
        <v>203</v>
      </c>
      <c r="E384" s="18" t="s">
        <v>187</v>
      </c>
      <c r="F384" s="37">
        <v>60</v>
      </c>
      <c r="G384" s="20"/>
      <c r="H384" s="20">
        <v>129148.1064</v>
      </c>
      <c r="I384" s="29"/>
    </row>
    <row r="385" s="2" customFormat="1" spans="1:9">
      <c r="A385" s="7"/>
      <c r="B385" s="7">
        <v>1236</v>
      </c>
      <c r="C385" s="16">
        <v>230102</v>
      </c>
      <c r="D385" s="17" t="s">
        <v>186</v>
      </c>
      <c r="E385" s="18" t="s">
        <v>187</v>
      </c>
      <c r="F385" s="37"/>
      <c r="G385" s="20"/>
      <c r="H385" s="20">
        <v>65441.7792</v>
      </c>
      <c r="I385" s="29"/>
    </row>
    <row r="386" s="2" customFormat="1" spans="1:9">
      <c r="A386" s="7"/>
      <c r="B386" s="7">
        <v>1239</v>
      </c>
      <c r="C386" s="16">
        <v>23010204</v>
      </c>
      <c r="D386" s="17" t="s">
        <v>188</v>
      </c>
      <c r="E386" s="18" t="s">
        <v>187</v>
      </c>
      <c r="F386" s="37">
        <v>114</v>
      </c>
      <c r="G386" s="20">
        <f>H386/F386</f>
        <v>574.050694736842</v>
      </c>
      <c r="H386" s="20">
        <v>65441.7792</v>
      </c>
      <c r="I386" s="29"/>
    </row>
    <row r="387" s="2" customFormat="1" spans="1:9">
      <c r="A387" s="7"/>
      <c r="B387" s="7">
        <v>1241</v>
      </c>
      <c r="C387" s="16">
        <v>230103</v>
      </c>
      <c r="D387" s="17" t="s">
        <v>204</v>
      </c>
      <c r="E387" s="18" t="s">
        <v>195</v>
      </c>
      <c r="F387" s="37"/>
      <c r="G387" s="20"/>
      <c r="H387" s="20">
        <v>257836.3488</v>
      </c>
      <c r="I387" s="29"/>
    </row>
    <row r="388" s="2" customFormat="1" spans="1:9">
      <c r="A388" s="7"/>
      <c r="B388" s="7">
        <v>1242</v>
      </c>
      <c r="C388" s="16">
        <v>23010302</v>
      </c>
      <c r="D388" s="17" t="s">
        <v>205</v>
      </c>
      <c r="E388" s="18" t="s">
        <v>195</v>
      </c>
      <c r="F388" s="37">
        <v>1</v>
      </c>
      <c r="G388" s="20">
        <f>H388/F388</f>
        <v>257836.3488</v>
      </c>
      <c r="H388" s="20">
        <v>257836.3488</v>
      </c>
      <c r="I388" s="29"/>
    </row>
    <row r="389" s="2" customFormat="1" spans="1:9">
      <c r="A389" s="7"/>
      <c r="B389" s="7">
        <v>1243</v>
      </c>
      <c r="C389" s="41"/>
      <c r="D389" s="17" t="s">
        <v>189</v>
      </c>
      <c r="E389" s="18" t="s">
        <v>184</v>
      </c>
      <c r="F389" s="40"/>
      <c r="G389" s="20"/>
      <c r="H389" s="20">
        <v>1109.484</v>
      </c>
      <c r="I389" s="29"/>
    </row>
    <row r="390" s="2" customFormat="1" spans="1:9">
      <c r="A390" s="7"/>
      <c r="B390" s="7">
        <v>1244</v>
      </c>
      <c r="C390" s="16">
        <v>230104</v>
      </c>
      <c r="D390" s="17" t="s">
        <v>190</v>
      </c>
      <c r="E390" s="18" t="s">
        <v>184</v>
      </c>
      <c r="F390" s="42">
        <v>0.0143054335550257</v>
      </c>
      <c r="G390" s="20"/>
      <c r="H390" s="20">
        <v>1109.484</v>
      </c>
      <c r="I390" s="29"/>
    </row>
    <row r="391" s="2" customFormat="1" spans="1:9">
      <c r="A391" s="7"/>
      <c r="B391" s="7">
        <v>1245</v>
      </c>
      <c r="C391" s="16">
        <v>2302</v>
      </c>
      <c r="D391" s="17" t="s">
        <v>191</v>
      </c>
      <c r="E391" s="18" t="s">
        <v>184</v>
      </c>
      <c r="F391" s="40"/>
      <c r="G391" s="20"/>
      <c r="H391" s="20">
        <v>166978.152</v>
      </c>
      <c r="I391" s="29"/>
    </row>
    <row r="392" s="2" customFormat="1" spans="1:9">
      <c r="A392" s="7"/>
      <c r="B392" s="7">
        <v>1246</v>
      </c>
      <c r="C392" s="41"/>
      <c r="D392" s="17" t="s">
        <v>185</v>
      </c>
      <c r="E392" s="18" t="s">
        <v>184</v>
      </c>
      <c r="F392" s="40"/>
      <c r="G392" s="20"/>
      <c r="H392" s="20">
        <v>166493.61</v>
      </c>
      <c r="I392" s="29"/>
    </row>
    <row r="393" s="2" customFormat="1" spans="1:9">
      <c r="A393" s="7"/>
      <c r="B393" s="7">
        <v>1247</v>
      </c>
      <c r="C393" s="16">
        <v>230201</v>
      </c>
      <c r="D393" s="17" t="s">
        <v>192</v>
      </c>
      <c r="E393" s="18" t="s">
        <v>187</v>
      </c>
      <c r="F393" s="37"/>
      <c r="G393" s="20"/>
      <c r="H393" s="20">
        <v>86226.5628</v>
      </c>
      <c r="I393" s="29"/>
    </row>
    <row r="394" s="2" customFormat="1" spans="1:9">
      <c r="A394" s="7"/>
      <c r="B394" s="7">
        <v>1249</v>
      </c>
      <c r="C394" s="16">
        <v>23020104</v>
      </c>
      <c r="D394" s="17" t="s">
        <v>193</v>
      </c>
      <c r="E394" s="18" t="s">
        <v>187</v>
      </c>
      <c r="F394" s="37">
        <v>88</v>
      </c>
      <c r="G394" s="20">
        <f>H394/F394</f>
        <v>979.847304545455</v>
      </c>
      <c r="H394" s="20">
        <v>86226.5628</v>
      </c>
      <c r="I394" s="29"/>
    </row>
    <row r="395" s="2" customFormat="1" spans="1:9">
      <c r="A395" s="7"/>
      <c r="B395" s="7">
        <v>1251</v>
      </c>
      <c r="C395" s="16">
        <v>230203</v>
      </c>
      <c r="D395" s="17" t="s">
        <v>194</v>
      </c>
      <c r="E395" s="18" t="s">
        <v>195</v>
      </c>
      <c r="F395" s="37"/>
      <c r="G395" s="20"/>
      <c r="H395" s="20">
        <v>80267.0472</v>
      </c>
      <c r="I395" s="29"/>
    </row>
    <row r="396" s="2" customFormat="1" spans="1:9">
      <c r="A396" s="7"/>
      <c r="B396" s="7">
        <v>1252</v>
      </c>
      <c r="C396" s="16">
        <v>23020301</v>
      </c>
      <c r="D396" s="17" t="s">
        <v>196</v>
      </c>
      <c r="E396" s="18" t="s">
        <v>195</v>
      </c>
      <c r="F396" s="37"/>
      <c r="G396" s="20"/>
      <c r="H396" s="20">
        <v>80267.0472</v>
      </c>
      <c r="I396" s="29"/>
    </row>
    <row r="397" s="2" customFormat="1" spans="1:9">
      <c r="A397" s="7"/>
      <c r="B397" s="7">
        <v>1254</v>
      </c>
      <c r="C397" s="16">
        <v>2302030102</v>
      </c>
      <c r="D397" s="17" t="s">
        <v>197</v>
      </c>
      <c r="E397" s="18" t="s">
        <v>195</v>
      </c>
      <c r="F397" s="37">
        <v>1</v>
      </c>
      <c r="G397" s="20">
        <f>H397/F397</f>
        <v>80267.0472</v>
      </c>
      <c r="H397" s="20">
        <v>80267.0472</v>
      </c>
      <c r="I397" s="29"/>
    </row>
    <row r="398" s="2" customFormat="1" spans="1:9">
      <c r="A398" s="7"/>
      <c r="B398" s="7">
        <v>1260</v>
      </c>
      <c r="C398" s="41"/>
      <c r="D398" s="17" t="s">
        <v>189</v>
      </c>
      <c r="E398" s="18" t="s">
        <v>184</v>
      </c>
      <c r="F398" s="40"/>
      <c r="G398" s="20"/>
      <c r="H398" s="20">
        <v>484.542</v>
      </c>
      <c r="I398" s="29"/>
    </row>
    <row r="399" s="2" customFormat="1" spans="1:9">
      <c r="A399" s="7"/>
      <c r="B399" s="7">
        <v>1261</v>
      </c>
      <c r="C399" s="16">
        <v>230204</v>
      </c>
      <c r="D399" s="17" t="s">
        <v>190</v>
      </c>
      <c r="E399" s="18"/>
      <c r="F399" s="40">
        <v>0.0401111993645751</v>
      </c>
      <c r="G399" s="20"/>
      <c r="H399" s="20">
        <v>484.542</v>
      </c>
      <c r="I399" s="29"/>
    </row>
    <row r="400" s="2" customFormat="1" spans="1:9">
      <c r="A400" s="7" t="s">
        <v>206</v>
      </c>
      <c r="B400" s="7">
        <v>1230</v>
      </c>
      <c r="C400" s="16">
        <v>23</v>
      </c>
      <c r="D400" s="17" t="s">
        <v>181</v>
      </c>
      <c r="E400" s="38" t="s">
        <v>182</v>
      </c>
      <c r="F400" s="39"/>
      <c r="G400" s="20"/>
      <c r="H400" s="20">
        <v>1262154.9924</v>
      </c>
      <c r="I400" s="29"/>
    </row>
    <row r="401" s="2" customFormat="1" spans="1:9">
      <c r="A401" s="7"/>
      <c r="B401" s="7">
        <v>1231</v>
      </c>
      <c r="C401" s="16">
        <v>2301</v>
      </c>
      <c r="D401" s="17" t="s">
        <v>183</v>
      </c>
      <c r="E401" s="18" t="s">
        <v>184</v>
      </c>
      <c r="F401" s="40"/>
      <c r="G401" s="20"/>
      <c r="H401" s="20">
        <v>804237.7788</v>
      </c>
      <c r="I401" s="29"/>
    </row>
    <row r="402" s="2" customFormat="1" spans="1:9">
      <c r="A402" s="7"/>
      <c r="B402" s="7">
        <v>1232</v>
      </c>
      <c r="C402" s="41"/>
      <c r="D402" s="17" t="s">
        <v>185</v>
      </c>
      <c r="E402" s="18" t="s">
        <v>184</v>
      </c>
      <c r="F402" s="40"/>
      <c r="G402" s="20"/>
      <c r="H402" s="20">
        <v>795137.9904</v>
      </c>
      <c r="I402" s="29"/>
    </row>
    <row r="403" s="2" customFormat="1" spans="1:9">
      <c r="A403" s="7"/>
      <c r="B403" s="7">
        <v>1236</v>
      </c>
      <c r="C403" s="16">
        <v>230102</v>
      </c>
      <c r="D403" s="17" t="s">
        <v>186</v>
      </c>
      <c r="E403" s="18" t="s">
        <v>187</v>
      </c>
      <c r="F403" s="37"/>
      <c r="G403" s="20"/>
      <c r="H403" s="20">
        <v>537301.6416</v>
      </c>
      <c r="I403" s="29"/>
    </row>
    <row r="404" s="2" customFormat="1" spans="1:9">
      <c r="A404" s="7"/>
      <c r="B404" s="7">
        <v>1238</v>
      </c>
      <c r="C404" s="16">
        <v>23010202</v>
      </c>
      <c r="D404" s="17" t="s">
        <v>207</v>
      </c>
      <c r="E404" s="18" t="s">
        <v>187</v>
      </c>
      <c r="F404" s="37">
        <v>495</v>
      </c>
      <c r="G404" s="20">
        <f t="shared" ref="G404:G407" si="28">H404/F404</f>
        <v>575.192727272727</v>
      </c>
      <c r="H404" s="20">
        <v>284720.4</v>
      </c>
      <c r="I404" s="29"/>
    </row>
    <row r="405" s="2" customFormat="1" spans="1:9">
      <c r="A405" s="7"/>
      <c r="B405" s="7">
        <v>1239</v>
      </c>
      <c r="C405" s="16">
        <v>23010204</v>
      </c>
      <c r="D405" s="17" t="s">
        <v>188</v>
      </c>
      <c r="E405" s="18" t="s">
        <v>187</v>
      </c>
      <c r="F405" s="37">
        <v>440</v>
      </c>
      <c r="G405" s="20">
        <f t="shared" si="28"/>
        <v>574.048276363636</v>
      </c>
      <c r="H405" s="20">
        <v>252581.2416</v>
      </c>
      <c r="I405" s="29"/>
    </row>
    <row r="406" s="2" customFormat="1" spans="1:9">
      <c r="A406" s="7"/>
      <c r="B406" s="7">
        <v>1241</v>
      </c>
      <c r="C406" s="16">
        <v>230103</v>
      </c>
      <c r="D406" s="17" t="s">
        <v>204</v>
      </c>
      <c r="E406" s="18" t="s">
        <v>195</v>
      </c>
      <c r="F406" s="37"/>
      <c r="G406" s="20"/>
      <c r="H406" s="20">
        <v>257836.3488</v>
      </c>
      <c r="I406" s="29"/>
    </row>
    <row r="407" s="2" customFormat="1" spans="1:9">
      <c r="A407" s="7"/>
      <c r="B407" s="7">
        <v>1242</v>
      </c>
      <c r="C407" s="16">
        <v>23010302</v>
      </c>
      <c r="D407" s="17" t="s">
        <v>205</v>
      </c>
      <c r="E407" s="18" t="s">
        <v>195</v>
      </c>
      <c r="F407" s="37">
        <v>1</v>
      </c>
      <c r="G407" s="20">
        <f t="shared" si="28"/>
        <v>257836.3488</v>
      </c>
      <c r="H407" s="20">
        <v>257836.3488</v>
      </c>
      <c r="I407" s="29"/>
    </row>
    <row r="408" s="2" customFormat="1" spans="1:9">
      <c r="A408" s="7"/>
      <c r="B408" s="7">
        <v>1243</v>
      </c>
      <c r="C408" s="41"/>
      <c r="D408" s="17" t="s">
        <v>189</v>
      </c>
      <c r="E408" s="18" t="s">
        <v>184</v>
      </c>
      <c r="F408" s="40"/>
      <c r="G408" s="20"/>
      <c r="H408" s="20">
        <v>9099.7884</v>
      </c>
      <c r="I408" s="29"/>
    </row>
    <row r="409" s="2" customFormat="1" spans="1:9">
      <c r="A409" s="7"/>
      <c r="B409" s="7">
        <v>1244</v>
      </c>
      <c r="C409" s="16">
        <v>230104</v>
      </c>
      <c r="D409" s="17" t="s">
        <v>190</v>
      </c>
      <c r="E409" s="18" t="s">
        <v>184</v>
      </c>
      <c r="F409" s="42">
        <v>0.117329652403062</v>
      </c>
      <c r="G409" s="20"/>
      <c r="H409" s="20">
        <v>9099.7884</v>
      </c>
      <c r="I409" s="29"/>
    </row>
    <row r="410" s="2" customFormat="1" spans="1:9">
      <c r="A410" s="7"/>
      <c r="B410" s="7">
        <v>1245</v>
      </c>
      <c r="C410" s="16">
        <v>2302</v>
      </c>
      <c r="D410" s="17" t="s">
        <v>191</v>
      </c>
      <c r="E410" s="18" t="s">
        <v>184</v>
      </c>
      <c r="F410" s="40"/>
      <c r="G410" s="20"/>
      <c r="H410" s="20">
        <v>457917.2136</v>
      </c>
      <c r="I410" s="29"/>
    </row>
    <row r="411" s="2" customFormat="1" spans="1:9">
      <c r="A411" s="7"/>
      <c r="B411" s="7">
        <v>1246</v>
      </c>
      <c r="C411" s="41"/>
      <c r="D411" s="17" t="s">
        <v>185</v>
      </c>
      <c r="E411" s="18" t="s">
        <v>184</v>
      </c>
      <c r="F411" s="40"/>
      <c r="G411" s="20"/>
      <c r="H411" s="20">
        <v>454561.416</v>
      </c>
      <c r="I411" s="29"/>
    </row>
    <row r="412" s="2" customFormat="1" spans="1:9">
      <c r="A412" s="7"/>
      <c r="B412" s="7">
        <v>1247</v>
      </c>
      <c r="C412" s="16">
        <v>230201</v>
      </c>
      <c r="D412" s="17" t="s">
        <v>192</v>
      </c>
      <c r="E412" s="18" t="s">
        <v>187</v>
      </c>
      <c r="F412" s="37"/>
      <c r="G412" s="20"/>
      <c r="H412" s="20">
        <v>454561.416</v>
      </c>
      <c r="I412" s="29"/>
    </row>
    <row r="413" s="2" customFormat="1" spans="1:9">
      <c r="A413" s="7"/>
      <c r="B413" s="7">
        <v>1248</v>
      </c>
      <c r="C413" s="16">
        <v>23020102</v>
      </c>
      <c r="D413" s="17" t="s">
        <v>208</v>
      </c>
      <c r="E413" s="18" t="s">
        <v>187</v>
      </c>
      <c r="F413" s="37">
        <v>35</v>
      </c>
      <c r="G413" s="20">
        <f>H413/F413</f>
        <v>977.340445714286</v>
      </c>
      <c r="H413" s="20">
        <v>34206.9156</v>
      </c>
      <c r="I413" s="29"/>
    </row>
    <row r="414" s="2" customFormat="1" spans="1:9">
      <c r="A414" s="7"/>
      <c r="B414" s="7">
        <v>1249</v>
      </c>
      <c r="C414" s="16">
        <v>23020104</v>
      </c>
      <c r="D414" s="17" t="s">
        <v>193</v>
      </c>
      <c r="E414" s="18" t="s">
        <v>187</v>
      </c>
      <c r="F414" s="37">
        <v>429</v>
      </c>
      <c r="G414" s="20">
        <f>H414/F414</f>
        <v>979.847345454546</v>
      </c>
      <c r="H414" s="20">
        <v>420354.5112</v>
      </c>
      <c r="I414" s="29"/>
    </row>
    <row r="415" s="2" customFormat="1" spans="1:9">
      <c r="A415" s="7"/>
      <c r="B415" s="7">
        <v>1260</v>
      </c>
      <c r="C415" s="41"/>
      <c r="D415" s="17" t="s">
        <v>189</v>
      </c>
      <c r="E415" s="18" t="s">
        <v>184</v>
      </c>
      <c r="F415" s="40"/>
      <c r="G415" s="20"/>
      <c r="H415" s="20">
        <v>3355.7976</v>
      </c>
      <c r="I415" s="29"/>
    </row>
    <row r="416" s="2" customFormat="1" spans="1:9">
      <c r="A416" s="7"/>
      <c r="B416" s="7">
        <v>1261</v>
      </c>
      <c r="C416" s="16">
        <v>230204</v>
      </c>
      <c r="D416" s="17" t="s">
        <v>190</v>
      </c>
      <c r="E416" s="18"/>
      <c r="F416" s="148">
        <v>0.277799841143765</v>
      </c>
      <c r="G416" s="20"/>
      <c r="H416" s="20">
        <v>3355.7976</v>
      </c>
      <c r="I416" s="29"/>
    </row>
    <row r="417" s="2" customFormat="1" spans="1:9">
      <c r="A417" s="7" t="s">
        <v>209</v>
      </c>
      <c r="B417" s="7">
        <v>1230</v>
      </c>
      <c r="C417" s="16">
        <v>23</v>
      </c>
      <c r="D417" s="17" t="s">
        <v>181</v>
      </c>
      <c r="E417" s="38" t="s">
        <v>182</v>
      </c>
      <c r="F417" s="39"/>
      <c r="G417" s="20"/>
      <c r="H417" s="20">
        <v>929316.0348</v>
      </c>
      <c r="I417" s="29"/>
    </row>
    <row r="418" s="2" customFormat="1" spans="1:9">
      <c r="A418" s="7"/>
      <c r="B418" s="7">
        <v>1231</v>
      </c>
      <c r="C418" s="16">
        <v>2301</v>
      </c>
      <c r="D418" s="17" t="s">
        <v>183</v>
      </c>
      <c r="E418" s="18" t="s">
        <v>184</v>
      </c>
      <c r="F418" s="40"/>
      <c r="G418" s="20"/>
      <c r="H418" s="20">
        <v>877639.5144</v>
      </c>
      <c r="I418" s="29"/>
    </row>
    <row r="419" s="2" customFormat="1" spans="1:9">
      <c r="A419" s="7"/>
      <c r="B419" s="7">
        <v>1232</v>
      </c>
      <c r="C419" s="41"/>
      <c r="D419" s="17" t="s">
        <v>185</v>
      </c>
      <c r="E419" s="18" t="s">
        <v>184</v>
      </c>
      <c r="F419" s="40"/>
      <c r="G419" s="20"/>
      <c r="H419" s="20">
        <v>867235.5828</v>
      </c>
      <c r="I419" s="29"/>
    </row>
    <row r="420" s="2" customFormat="1" spans="1:9">
      <c r="A420" s="7"/>
      <c r="B420" s="7">
        <v>1236</v>
      </c>
      <c r="C420" s="16">
        <v>230102</v>
      </c>
      <c r="D420" s="17" t="s">
        <v>186</v>
      </c>
      <c r="E420" s="18" t="s">
        <v>187</v>
      </c>
      <c r="F420" s="37"/>
      <c r="G420" s="20"/>
      <c r="H420" s="20">
        <v>609399.234</v>
      </c>
      <c r="I420" s="29"/>
    </row>
    <row r="421" s="2" customFormat="1" spans="1:9">
      <c r="A421" s="7"/>
      <c r="B421" s="7">
        <v>1237</v>
      </c>
      <c r="C421" s="16">
        <v>23010201</v>
      </c>
      <c r="D421" s="17" t="s">
        <v>210</v>
      </c>
      <c r="E421" s="18" t="s">
        <v>187</v>
      </c>
      <c r="F421" s="37">
        <v>24</v>
      </c>
      <c r="G421" s="20">
        <f t="shared" ref="G421:G423" si="29">H421/F421</f>
        <v>350.3133</v>
      </c>
      <c r="H421" s="20">
        <v>8407.5192</v>
      </c>
      <c r="I421" s="29"/>
    </row>
    <row r="422" s="2" customFormat="1" spans="1:9">
      <c r="A422" s="7"/>
      <c r="B422" s="7">
        <v>1238</v>
      </c>
      <c r="C422" s="16">
        <v>23010202</v>
      </c>
      <c r="D422" s="17" t="s">
        <v>207</v>
      </c>
      <c r="E422" s="18" t="s">
        <v>187</v>
      </c>
      <c r="F422" s="37">
        <v>970</v>
      </c>
      <c r="G422" s="20">
        <f t="shared" si="29"/>
        <v>575.193559175258</v>
      </c>
      <c r="H422" s="20">
        <v>557937.7524</v>
      </c>
      <c r="I422" s="29"/>
    </row>
    <row r="423" s="2" customFormat="1" spans="1:9">
      <c r="A423" s="7"/>
      <c r="B423" s="7">
        <v>1239</v>
      </c>
      <c r="C423" s="16">
        <v>23010204</v>
      </c>
      <c r="D423" s="17" t="s">
        <v>188</v>
      </c>
      <c r="E423" s="18" t="s">
        <v>187</v>
      </c>
      <c r="F423" s="37">
        <v>75</v>
      </c>
      <c r="G423" s="20">
        <f t="shared" si="29"/>
        <v>574.052976</v>
      </c>
      <c r="H423" s="20">
        <v>43053.9732</v>
      </c>
      <c r="I423" s="29"/>
    </row>
    <row r="424" s="2" customFormat="1" spans="1:9">
      <c r="A424" s="7"/>
      <c r="B424" s="7">
        <v>1241</v>
      </c>
      <c r="C424" s="16">
        <v>230103</v>
      </c>
      <c r="D424" s="17" t="s">
        <v>204</v>
      </c>
      <c r="E424" s="18" t="s">
        <v>195</v>
      </c>
      <c r="F424" s="37"/>
      <c r="G424" s="20"/>
      <c r="H424" s="20">
        <v>257836.3488</v>
      </c>
      <c r="I424" s="29"/>
    </row>
    <row r="425" s="2" customFormat="1" spans="1:9">
      <c r="A425" s="7"/>
      <c r="B425" s="7">
        <v>1242</v>
      </c>
      <c r="C425" s="16">
        <v>23010302</v>
      </c>
      <c r="D425" s="17" t="s">
        <v>205</v>
      </c>
      <c r="E425" s="18" t="s">
        <v>195</v>
      </c>
      <c r="F425" s="37">
        <v>1</v>
      </c>
      <c r="G425" s="20">
        <f>H425/F425</f>
        <v>257836.3488</v>
      </c>
      <c r="H425" s="20">
        <v>257836.3488</v>
      </c>
      <c r="I425" s="29"/>
    </row>
    <row r="426" s="2" customFormat="1" spans="1:9">
      <c r="A426" s="7"/>
      <c r="B426" s="7">
        <v>1243</v>
      </c>
      <c r="C426" s="41"/>
      <c r="D426" s="17" t="s">
        <v>189</v>
      </c>
      <c r="E426" s="18" t="s">
        <v>184</v>
      </c>
      <c r="F426" s="40"/>
      <c r="G426" s="20"/>
      <c r="H426" s="20">
        <v>10403.9316</v>
      </c>
      <c r="I426" s="29"/>
    </row>
    <row r="427" s="2" customFormat="1" spans="1:9">
      <c r="A427" s="7"/>
      <c r="B427" s="7">
        <v>1244</v>
      </c>
      <c r="C427" s="16">
        <v>230104</v>
      </c>
      <c r="D427" s="17" t="s">
        <v>190</v>
      </c>
      <c r="E427" s="18" t="s">
        <v>184</v>
      </c>
      <c r="F427" s="149">
        <v>0.13414481114318</v>
      </c>
      <c r="G427" s="20"/>
      <c r="H427" s="20">
        <v>10403.9316</v>
      </c>
      <c r="I427" s="29"/>
    </row>
    <row r="428" s="2" customFormat="1" spans="1:9">
      <c r="A428" s="7"/>
      <c r="B428" s="7">
        <v>1245</v>
      </c>
      <c r="C428" s="16">
        <v>2302</v>
      </c>
      <c r="D428" s="17" t="s">
        <v>191</v>
      </c>
      <c r="E428" s="18" t="s">
        <v>184</v>
      </c>
      <c r="F428" s="40"/>
      <c r="G428" s="20"/>
      <c r="H428" s="20">
        <v>51676.5204</v>
      </c>
      <c r="I428" s="29"/>
    </row>
    <row r="429" s="2" customFormat="1" spans="1:9">
      <c r="A429" s="7"/>
      <c r="B429" s="7">
        <v>1246</v>
      </c>
      <c r="C429" s="41"/>
      <c r="D429" s="17" t="s">
        <v>185</v>
      </c>
      <c r="E429" s="18" t="s">
        <v>184</v>
      </c>
      <c r="F429" s="40"/>
      <c r="G429" s="20"/>
      <c r="H429" s="20">
        <v>48992.364</v>
      </c>
      <c r="I429" s="29"/>
    </row>
    <row r="430" s="2" customFormat="1" spans="1:9">
      <c r="A430" s="7"/>
      <c r="B430" s="7">
        <v>1247</v>
      </c>
      <c r="C430" s="16">
        <v>230201</v>
      </c>
      <c r="D430" s="17" t="s">
        <v>192</v>
      </c>
      <c r="E430" s="18" t="s">
        <v>187</v>
      </c>
      <c r="F430" s="37"/>
      <c r="G430" s="20"/>
      <c r="H430" s="20">
        <v>48992.364</v>
      </c>
      <c r="I430" s="29"/>
    </row>
    <row r="431" s="2" customFormat="1" spans="1:9">
      <c r="A431" s="7"/>
      <c r="B431" s="7">
        <v>1249</v>
      </c>
      <c r="C431" s="16">
        <v>23020104</v>
      </c>
      <c r="D431" s="17" t="s">
        <v>193</v>
      </c>
      <c r="E431" s="18" t="s">
        <v>187</v>
      </c>
      <c r="F431" s="37">
        <v>50</v>
      </c>
      <c r="G431" s="20">
        <f t="shared" ref="G431:G437" si="30">H431/F431</f>
        <v>979.84728</v>
      </c>
      <c r="H431" s="20">
        <v>48992.364</v>
      </c>
      <c r="I431" s="29"/>
    </row>
    <row r="432" s="2" customFormat="1" spans="1:9">
      <c r="A432" s="7"/>
      <c r="B432" s="7">
        <v>1260</v>
      </c>
      <c r="C432" s="41"/>
      <c r="D432" s="17" t="s">
        <v>189</v>
      </c>
      <c r="E432" s="18" t="s">
        <v>184</v>
      </c>
      <c r="F432" s="40"/>
      <c r="G432" s="20"/>
      <c r="H432" s="20">
        <v>2684.1564</v>
      </c>
      <c r="I432" s="29"/>
    </row>
    <row r="433" s="2" customFormat="1" spans="1:9">
      <c r="A433" s="7"/>
      <c r="B433" s="7">
        <v>1261</v>
      </c>
      <c r="C433" s="16">
        <v>230204</v>
      </c>
      <c r="D433" s="17" t="s">
        <v>190</v>
      </c>
      <c r="E433" s="18"/>
      <c r="F433" s="19">
        <v>0.222200158856235</v>
      </c>
      <c r="G433" s="20"/>
      <c r="H433" s="20">
        <v>2684.1564</v>
      </c>
      <c r="I433" s="29"/>
    </row>
    <row r="434" s="2" customFormat="1" ht="28" spans="1:9">
      <c r="A434" s="7" t="s">
        <v>211</v>
      </c>
      <c r="B434" s="7">
        <v>1289</v>
      </c>
      <c r="C434" s="16">
        <v>2508</v>
      </c>
      <c r="D434" s="17" t="s">
        <v>212</v>
      </c>
      <c r="E434" s="18" t="s">
        <v>202</v>
      </c>
      <c r="F434" s="37"/>
      <c r="G434" s="20"/>
      <c r="H434" s="20">
        <v>15869.304</v>
      </c>
      <c r="I434" s="29"/>
    </row>
    <row r="435" s="2" customFormat="1" ht="28" spans="1:9">
      <c r="A435" s="7"/>
      <c r="B435" s="7">
        <v>1290</v>
      </c>
      <c r="C435" s="16">
        <v>250801</v>
      </c>
      <c r="D435" s="17" t="s">
        <v>213</v>
      </c>
      <c r="E435" s="18" t="s">
        <v>202</v>
      </c>
      <c r="F435" s="37">
        <v>1</v>
      </c>
      <c r="G435" s="20">
        <f t="shared" si="30"/>
        <v>15869.304</v>
      </c>
      <c r="H435" s="20">
        <v>15869.304</v>
      </c>
      <c r="I435" s="29"/>
    </row>
    <row r="436" s="2" customFormat="1" spans="1:9">
      <c r="A436" s="7"/>
      <c r="B436" s="7">
        <v>1291</v>
      </c>
      <c r="C436" s="41"/>
      <c r="D436" s="17" t="s">
        <v>185</v>
      </c>
      <c r="E436" s="18" t="s">
        <v>202</v>
      </c>
      <c r="F436" s="37">
        <v>1</v>
      </c>
      <c r="G436" s="20">
        <f t="shared" si="30"/>
        <v>15869.304</v>
      </c>
      <c r="H436" s="20">
        <v>15869.304</v>
      </c>
      <c r="I436" s="29"/>
    </row>
    <row r="437" s="2" customFormat="1" spans="1:9">
      <c r="A437" s="7"/>
      <c r="B437" s="7">
        <v>1292</v>
      </c>
      <c r="C437" s="16">
        <v>25080101</v>
      </c>
      <c r="D437" s="17" t="s">
        <v>214</v>
      </c>
      <c r="E437" s="18" t="s">
        <v>202</v>
      </c>
      <c r="F437" s="37">
        <v>1</v>
      </c>
      <c r="G437" s="20">
        <f t="shared" si="30"/>
        <v>15869.304</v>
      </c>
      <c r="H437" s="20">
        <v>15869.304</v>
      </c>
      <c r="I437" s="29"/>
    </row>
    <row r="438" s="2" customFormat="1" ht="28" spans="1:9">
      <c r="A438" s="7" t="s">
        <v>215</v>
      </c>
      <c r="B438" s="7">
        <v>1289</v>
      </c>
      <c r="C438" s="16">
        <v>2508</v>
      </c>
      <c r="D438" s="17" t="s">
        <v>212</v>
      </c>
      <c r="E438" s="18" t="s">
        <v>202</v>
      </c>
      <c r="F438" s="37"/>
      <c r="G438" s="20"/>
      <c r="H438" s="20">
        <v>15869.304</v>
      </c>
      <c r="I438" s="29"/>
    </row>
    <row r="439" s="2" customFormat="1" ht="28" spans="1:9">
      <c r="A439" s="7"/>
      <c r="B439" s="7">
        <v>1290</v>
      </c>
      <c r="C439" s="16">
        <v>250801</v>
      </c>
      <c r="D439" s="17" t="s">
        <v>213</v>
      </c>
      <c r="E439" s="18" t="s">
        <v>202</v>
      </c>
      <c r="F439" s="37">
        <v>1</v>
      </c>
      <c r="G439" s="20">
        <f t="shared" ref="G439:G441" si="31">H439/F439</f>
        <v>15869.304</v>
      </c>
      <c r="H439" s="20">
        <v>15869.304</v>
      </c>
      <c r="I439" s="29"/>
    </row>
    <row r="440" s="2" customFormat="1" spans="1:9">
      <c r="A440" s="7"/>
      <c r="B440" s="7">
        <v>1291</v>
      </c>
      <c r="C440" s="41"/>
      <c r="D440" s="17" t="s">
        <v>185</v>
      </c>
      <c r="E440" s="18" t="s">
        <v>202</v>
      </c>
      <c r="F440" s="37">
        <v>1</v>
      </c>
      <c r="G440" s="20">
        <f t="shared" si="31"/>
        <v>15869.304</v>
      </c>
      <c r="H440" s="20">
        <v>15869.304</v>
      </c>
      <c r="I440" s="29"/>
    </row>
    <row r="441" s="2" customFormat="1" spans="1:9">
      <c r="A441" s="7"/>
      <c r="B441" s="7">
        <v>1292</v>
      </c>
      <c r="C441" s="16">
        <v>25080101</v>
      </c>
      <c r="D441" s="17" t="s">
        <v>214</v>
      </c>
      <c r="E441" s="18" t="s">
        <v>202</v>
      </c>
      <c r="F441" s="37">
        <v>1</v>
      </c>
      <c r="G441" s="20">
        <f t="shared" si="31"/>
        <v>15869.304</v>
      </c>
      <c r="H441" s="20">
        <v>15869.304</v>
      </c>
      <c r="I441" s="29"/>
    </row>
    <row r="442" s="2" customFormat="1" ht="28" spans="1:9">
      <c r="A442" s="7" t="s">
        <v>216</v>
      </c>
      <c r="B442" s="7">
        <v>1289</v>
      </c>
      <c r="C442" s="16">
        <v>2508</v>
      </c>
      <c r="D442" s="17" t="s">
        <v>212</v>
      </c>
      <c r="E442" s="18" t="s">
        <v>202</v>
      </c>
      <c r="F442" s="37"/>
      <c r="G442" s="20"/>
      <c r="H442" s="20">
        <v>15869.304</v>
      </c>
      <c r="I442" s="29"/>
    </row>
    <row r="443" s="2" customFormat="1" ht="28" spans="1:9">
      <c r="A443" s="7"/>
      <c r="B443" s="7">
        <v>1290</v>
      </c>
      <c r="C443" s="16">
        <v>250801</v>
      </c>
      <c r="D443" s="17" t="s">
        <v>213</v>
      </c>
      <c r="E443" s="18" t="s">
        <v>202</v>
      </c>
      <c r="F443" s="37">
        <v>1</v>
      </c>
      <c r="G443" s="20">
        <f t="shared" ref="G443:G445" si="32">H443/F443</f>
        <v>15869.304</v>
      </c>
      <c r="H443" s="20">
        <v>15869.304</v>
      </c>
      <c r="I443" s="29"/>
    </row>
    <row r="444" s="2" customFormat="1" spans="1:9">
      <c r="A444" s="7"/>
      <c r="B444" s="7">
        <v>1291</v>
      </c>
      <c r="C444" s="41"/>
      <c r="D444" s="17" t="s">
        <v>185</v>
      </c>
      <c r="E444" s="18" t="s">
        <v>202</v>
      </c>
      <c r="F444" s="37">
        <v>1</v>
      </c>
      <c r="G444" s="20">
        <f t="shared" si="32"/>
        <v>15869.304</v>
      </c>
      <c r="H444" s="20">
        <v>15869.304</v>
      </c>
      <c r="I444" s="29"/>
    </row>
    <row r="445" s="2" customFormat="1" spans="1:9">
      <c r="A445" s="7"/>
      <c r="B445" s="7">
        <v>1292</v>
      </c>
      <c r="C445" s="16">
        <v>25080101</v>
      </c>
      <c r="D445" s="17" t="s">
        <v>214</v>
      </c>
      <c r="E445" s="18" t="s">
        <v>202</v>
      </c>
      <c r="F445" s="37">
        <v>1</v>
      </c>
      <c r="G445" s="20">
        <f t="shared" si="32"/>
        <v>15869.304</v>
      </c>
      <c r="H445" s="20">
        <v>15869.304</v>
      </c>
      <c r="I445" s="29"/>
    </row>
    <row r="446" s="2" customFormat="1" ht="28" spans="1:9">
      <c r="A446" s="7" t="s">
        <v>217</v>
      </c>
      <c r="B446" s="7">
        <v>1289</v>
      </c>
      <c r="C446" s="16">
        <v>2508</v>
      </c>
      <c r="D446" s="17" t="s">
        <v>212</v>
      </c>
      <c r="E446" s="18" t="s">
        <v>202</v>
      </c>
      <c r="F446" s="37"/>
      <c r="G446" s="20"/>
      <c r="H446" s="20">
        <v>15869.304</v>
      </c>
      <c r="I446" s="29"/>
    </row>
    <row r="447" s="2" customFormat="1" ht="28" spans="1:9">
      <c r="A447" s="7"/>
      <c r="B447" s="7">
        <v>1290</v>
      </c>
      <c r="C447" s="16">
        <v>250801</v>
      </c>
      <c r="D447" s="17" t="s">
        <v>213</v>
      </c>
      <c r="E447" s="18" t="s">
        <v>202</v>
      </c>
      <c r="F447" s="37">
        <v>1</v>
      </c>
      <c r="G447" s="20">
        <f t="shared" ref="G447:G449" si="33">H447/F447</f>
        <v>15869.304</v>
      </c>
      <c r="H447" s="20">
        <v>15869.304</v>
      </c>
      <c r="I447" s="29"/>
    </row>
    <row r="448" s="2" customFormat="1" spans="1:9">
      <c r="A448" s="7"/>
      <c r="B448" s="7">
        <v>1291</v>
      </c>
      <c r="C448" s="41"/>
      <c r="D448" s="17" t="s">
        <v>185</v>
      </c>
      <c r="E448" s="18" t="s">
        <v>202</v>
      </c>
      <c r="F448" s="37">
        <v>1</v>
      </c>
      <c r="G448" s="20">
        <f t="shared" si="33"/>
        <v>15869.304</v>
      </c>
      <c r="H448" s="20">
        <v>15869.304</v>
      </c>
      <c r="I448" s="29"/>
    </row>
    <row r="449" s="2" customFormat="1" spans="1:9">
      <c r="A449" s="7"/>
      <c r="B449" s="7">
        <v>1292</v>
      </c>
      <c r="C449" s="16">
        <v>25080101</v>
      </c>
      <c r="D449" s="17" t="s">
        <v>214</v>
      </c>
      <c r="E449" s="18" t="s">
        <v>202</v>
      </c>
      <c r="F449" s="37">
        <v>1</v>
      </c>
      <c r="G449" s="20">
        <f t="shared" si="33"/>
        <v>15869.304</v>
      </c>
      <c r="H449" s="20">
        <v>15869.304</v>
      </c>
      <c r="I449" s="29"/>
    </row>
  </sheetData>
  <mergeCells count="67">
    <mergeCell ref="A1:H1"/>
    <mergeCell ref="G2:H2"/>
    <mergeCell ref="A328:H328"/>
    <mergeCell ref="G329:H329"/>
    <mergeCell ref="A2:A3"/>
    <mergeCell ref="A5:A17"/>
    <mergeCell ref="A18:A19"/>
    <mergeCell ref="A20:A32"/>
    <mergeCell ref="A33:A34"/>
    <mergeCell ref="A35:A36"/>
    <mergeCell ref="A37:A38"/>
    <mergeCell ref="A39:A51"/>
    <mergeCell ref="A52:A53"/>
    <mergeCell ref="A54:A55"/>
    <mergeCell ref="A56:A57"/>
    <mergeCell ref="A58:A72"/>
    <mergeCell ref="A73:A88"/>
    <mergeCell ref="A89:A103"/>
    <mergeCell ref="A104:A122"/>
    <mergeCell ref="A123:A124"/>
    <mergeCell ref="A125:A140"/>
    <mergeCell ref="A141:A155"/>
    <mergeCell ref="A156:A157"/>
    <mergeCell ref="A158:A177"/>
    <mergeCell ref="A178:A190"/>
    <mergeCell ref="A191:A192"/>
    <mergeCell ref="A193:A194"/>
    <mergeCell ref="A195:A196"/>
    <mergeCell ref="A197:A198"/>
    <mergeCell ref="A199:A209"/>
    <mergeCell ref="A210:A222"/>
    <mergeCell ref="A223:A237"/>
    <mergeCell ref="A238:A239"/>
    <mergeCell ref="A240:A241"/>
    <mergeCell ref="A242:A243"/>
    <mergeCell ref="A244:A245"/>
    <mergeCell ref="A246:A258"/>
    <mergeCell ref="A259:A271"/>
    <mergeCell ref="A272:A277"/>
    <mergeCell ref="A278:A286"/>
    <mergeCell ref="A287:A293"/>
    <mergeCell ref="A294:A295"/>
    <mergeCell ref="A296:A308"/>
    <mergeCell ref="A309:A318"/>
    <mergeCell ref="A319:A321"/>
    <mergeCell ref="A322:A324"/>
    <mergeCell ref="A329:A330"/>
    <mergeCell ref="A332:A347"/>
    <mergeCell ref="A348:A363"/>
    <mergeCell ref="A364:A379"/>
    <mergeCell ref="A380:A399"/>
    <mergeCell ref="A400:A416"/>
    <mergeCell ref="A417:A433"/>
    <mergeCell ref="A434:A437"/>
    <mergeCell ref="A438:A441"/>
    <mergeCell ref="A442:A445"/>
    <mergeCell ref="A446:A449"/>
    <mergeCell ref="B2:B3"/>
    <mergeCell ref="B329:B330"/>
    <mergeCell ref="C2:C3"/>
    <mergeCell ref="C329:C330"/>
    <mergeCell ref="D2:D3"/>
    <mergeCell ref="D329:D330"/>
    <mergeCell ref="E2:E3"/>
    <mergeCell ref="E329:E330"/>
    <mergeCell ref="F2:F3"/>
    <mergeCell ref="F329:F330"/>
  </mergeCells>
  <conditionalFormatting sqref="G6">
    <cfRule type="expression" dxfId="0" priority="90">
      <formula>""</formula>
    </cfRule>
  </conditionalFormatting>
  <conditionalFormatting sqref="G9">
    <cfRule type="expression" dxfId="0" priority="89">
      <formula>""</formula>
    </cfRule>
  </conditionalFormatting>
  <conditionalFormatting sqref="G11">
    <cfRule type="expression" dxfId="0" priority="88">
      <formula>""</formula>
    </cfRule>
  </conditionalFormatting>
  <conditionalFormatting sqref="G12">
    <cfRule type="expression" dxfId="0" priority="87">
      <formula>""</formula>
    </cfRule>
  </conditionalFormatting>
  <conditionalFormatting sqref="G13">
    <cfRule type="expression" dxfId="0" priority="86">
      <formula>""</formula>
    </cfRule>
  </conditionalFormatting>
  <conditionalFormatting sqref="F18">
    <cfRule type="expression" dxfId="0" priority="113">
      <formula>""</formula>
    </cfRule>
  </conditionalFormatting>
  <conditionalFormatting sqref="G21">
    <cfRule type="expression" dxfId="0" priority="85">
      <formula>""</formula>
    </cfRule>
  </conditionalFormatting>
  <conditionalFormatting sqref="G24">
    <cfRule type="expression" dxfId="0" priority="84">
      <formula>""</formula>
    </cfRule>
  </conditionalFormatting>
  <conditionalFormatting sqref="G26">
    <cfRule type="expression" dxfId="0" priority="83">
      <formula>""</formula>
    </cfRule>
  </conditionalFormatting>
  <conditionalFormatting sqref="G27">
    <cfRule type="expression" dxfId="0" priority="82">
      <formula>""</formula>
    </cfRule>
  </conditionalFormatting>
  <conditionalFormatting sqref="G28">
    <cfRule type="expression" dxfId="0" priority="81">
      <formula>""</formula>
    </cfRule>
  </conditionalFormatting>
  <conditionalFormatting sqref="G40">
    <cfRule type="expression" dxfId="0" priority="80">
      <formula>""</formula>
    </cfRule>
  </conditionalFormatting>
  <conditionalFormatting sqref="G43">
    <cfRule type="expression" dxfId="0" priority="79">
      <formula>""</formula>
    </cfRule>
  </conditionalFormatting>
  <conditionalFormatting sqref="G45">
    <cfRule type="expression" dxfId="0" priority="78">
      <formula>""</formula>
    </cfRule>
  </conditionalFormatting>
  <conditionalFormatting sqref="G46">
    <cfRule type="expression" dxfId="0" priority="77">
      <formula>""</formula>
    </cfRule>
  </conditionalFormatting>
  <conditionalFormatting sqref="G47">
    <cfRule type="expression" dxfId="0" priority="76">
      <formula>""</formula>
    </cfRule>
  </conditionalFormatting>
  <conditionalFormatting sqref="F52">
    <cfRule type="expression" dxfId="0" priority="112">
      <formula>""</formula>
    </cfRule>
  </conditionalFormatting>
  <conditionalFormatting sqref="H58">
    <cfRule type="expression" dxfId="0" priority="106">
      <formula>""</formula>
    </cfRule>
  </conditionalFormatting>
  <conditionalFormatting sqref="G59">
    <cfRule type="expression" dxfId="0" priority="75">
      <formula>""</formula>
    </cfRule>
  </conditionalFormatting>
  <conditionalFormatting sqref="G62">
    <cfRule type="expression" dxfId="0" priority="74">
      <formula>""</formula>
    </cfRule>
  </conditionalFormatting>
  <conditionalFormatting sqref="G64">
    <cfRule type="expression" dxfId="0" priority="73">
      <formula>""</formula>
    </cfRule>
  </conditionalFormatting>
  <conditionalFormatting sqref="G65">
    <cfRule type="expression" dxfId="0" priority="72">
      <formula>""</formula>
    </cfRule>
  </conditionalFormatting>
  <conditionalFormatting sqref="G66">
    <cfRule type="expression" dxfId="0" priority="71">
      <formula>""</formula>
    </cfRule>
  </conditionalFormatting>
  <conditionalFormatting sqref="G75">
    <cfRule type="expression" dxfId="0" priority="70">
      <formula>""</formula>
    </cfRule>
  </conditionalFormatting>
  <conditionalFormatting sqref="G78">
    <cfRule type="expression" dxfId="0" priority="69">
      <formula>""</formula>
    </cfRule>
  </conditionalFormatting>
  <conditionalFormatting sqref="G80">
    <cfRule type="expression" dxfId="0" priority="68">
      <formula>""</formula>
    </cfRule>
  </conditionalFormatting>
  <conditionalFormatting sqref="G81">
    <cfRule type="expression" dxfId="0" priority="67">
      <formula>""</formula>
    </cfRule>
  </conditionalFormatting>
  <conditionalFormatting sqref="G82">
    <cfRule type="expression" dxfId="0" priority="66">
      <formula>""</formula>
    </cfRule>
  </conditionalFormatting>
  <conditionalFormatting sqref="G90">
    <cfRule type="expression" dxfId="0" priority="65">
      <formula>""</formula>
    </cfRule>
  </conditionalFormatting>
  <conditionalFormatting sqref="G93">
    <cfRule type="expression" dxfId="0" priority="64">
      <formula>""</formula>
    </cfRule>
  </conditionalFormatting>
  <conditionalFormatting sqref="G95">
    <cfRule type="expression" dxfId="0" priority="63">
      <formula>""</formula>
    </cfRule>
  </conditionalFormatting>
  <conditionalFormatting sqref="G96">
    <cfRule type="expression" dxfId="0" priority="62">
      <formula>""</formula>
    </cfRule>
  </conditionalFormatting>
  <conditionalFormatting sqref="G97">
    <cfRule type="expression" dxfId="0" priority="61">
      <formula>""</formula>
    </cfRule>
  </conditionalFormatting>
  <conditionalFormatting sqref="F102">
    <cfRule type="expression" dxfId="0" priority="111">
      <formula>""</formula>
    </cfRule>
  </conditionalFormatting>
  <conditionalFormatting sqref="H104">
    <cfRule type="expression" dxfId="0" priority="103">
      <formula>""</formula>
    </cfRule>
  </conditionalFormatting>
  <conditionalFormatting sqref="G105">
    <cfRule type="expression" dxfId="0" priority="60">
      <formula>""</formula>
    </cfRule>
  </conditionalFormatting>
  <conditionalFormatting sqref="G108">
    <cfRule type="expression" dxfId="0" priority="59">
      <formula>""</formula>
    </cfRule>
  </conditionalFormatting>
  <conditionalFormatting sqref="G110">
    <cfRule type="expression" dxfId="0" priority="58">
      <formula>""</formula>
    </cfRule>
  </conditionalFormatting>
  <conditionalFormatting sqref="G111">
    <cfRule type="expression" dxfId="0" priority="57">
      <formula>""</formula>
    </cfRule>
  </conditionalFormatting>
  <conditionalFormatting sqref="G112">
    <cfRule type="expression" dxfId="0" priority="56">
      <formula>""</formula>
    </cfRule>
  </conditionalFormatting>
  <conditionalFormatting sqref="G127">
    <cfRule type="expression" dxfId="0" priority="55">
      <formula>""</formula>
    </cfRule>
  </conditionalFormatting>
  <conditionalFormatting sqref="G130">
    <cfRule type="expression" dxfId="0" priority="54">
      <formula>""</formula>
    </cfRule>
  </conditionalFormatting>
  <conditionalFormatting sqref="G132">
    <cfRule type="expression" dxfId="0" priority="53">
      <formula>""</formula>
    </cfRule>
  </conditionalFormatting>
  <conditionalFormatting sqref="G133">
    <cfRule type="expression" dxfId="0" priority="52">
      <formula>""</formula>
    </cfRule>
  </conditionalFormatting>
  <conditionalFormatting sqref="G134">
    <cfRule type="expression" dxfId="0" priority="51">
      <formula>""</formula>
    </cfRule>
  </conditionalFormatting>
  <conditionalFormatting sqref="H141">
    <cfRule type="expression" dxfId="0" priority="101">
      <formula>""</formula>
    </cfRule>
  </conditionalFormatting>
  <conditionalFormatting sqref="G142">
    <cfRule type="expression" dxfId="0" priority="50">
      <formula>""</formula>
    </cfRule>
  </conditionalFormatting>
  <conditionalFormatting sqref="G145">
    <cfRule type="expression" dxfId="0" priority="49">
      <formula>""</formula>
    </cfRule>
  </conditionalFormatting>
  <conditionalFormatting sqref="G147">
    <cfRule type="expression" dxfId="0" priority="48">
      <formula>""</formula>
    </cfRule>
  </conditionalFormatting>
  <conditionalFormatting sqref="G148">
    <cfRule type="expression" dxfId="0" priority="47">
      <formula>""</formula>
    </cfRule>
  </conditionalFormatting>
  <conditionalFormatting sqref="G149">
    <cfRule type="expression" dxfId="0" priority="46">
      <formula>""</formula>
    </cfRule>
  </conditionalFormatting>
  <conditionalFormatting sqref="F154">
    <cfRule type="expression" dxfId="0" priority="110">
      <formula>""</formula>
    </cfRule>
  </conditionalFormatting>
  <conditionalFormatting sqref="H158">
    <cfRule type="expression" dxfId="0" priority="100">
      <formula>""</formula>
    </cfRule>
  </conditionalFormatting>
  <conditionalFormatting sqref="G159">
    <cfRule type="expression" dxfId="0" priority="45">
      <formula>""</formula>
    </cfRule>
  </conditionalFormatting>
  <conditionalFormatting sqref="G162">
    <cfRule type="expression" dxfId="0" priority="44">
      <formula>""</formula>
    </cfRule>
  </conditionalFormatting>
  <conditionalFormatting sqref="G164">
    <cfRule type="expression" dxfId="0" priority="43">
      <formula>""</formula>
    </cfRule>
  </conditionalFormatting>
  <conditionalFormatting sqref="G165">
    <cfRule type="expression" dxfId="0" priority="42">
      <formula>""</formula>
    </cfRule>
  </conditionalFormatting>
  <conditionalFormatting sqref="G166">
    <cfRule type="expression" dxfId="0" priority="41">
      <formula>""</formula>
    </cfRule>
  </conditionalFormatting>
  <conditionalFormatting sqref="H178">
    <cfRule type="expression" dxfId="0" priority="99">
      <formula>""</formula>
    </cfRule>
  </conditionalFormatting>
  <conditionalFormatting sqref="G179">
    <cfRule type="expression" dxfId="0" priority="40">
      <formula>""</formula>
    </cfRule>
  </conditionalFormatting>
  <conditionalFormatting sqref="G182">
    <cfRule type="expression" dxfId="0" priority="39">
      <formula>""</formula>
    </cfRule>
  </conditionalFormatting>
  <conditionalFormatting sqref="G184">
    <cfRule type="expression" dxfId="0" priority="38">
      <formula>""</formula>
    </cfRule>
  </conditionalFormatting>
  <conditionalFormatting sqref="G185">
    <cfRule type="expression" dxfId="0" priority="37">
      <formula>""</formula>
    </cfRule>
  </conditionalFormatting>
  <conditionalFormatting sqref="G186">
    <cfRule type="expression" dxfId="0" priority="36">
      <formula>""</formula>
    </cfRule>
  </conditionalFormatting>
  <conditionalFormatting sqref="A191">
    <cfRule type="expression" dxfId="0" priority="115">
      <formula>""</formula>
    </cfRule>
  </conditionalFormatting>
  <conditionalFormatting sqref="F191">
    <cfRule type="expression" dxfId="0" priority="109">
      <formula>""</formula>
    </cfRule>
  </conditionalFormatting>
  <conditionalFormatting sqref="H199">
    <cfRule type="expression" dxfId="0" priority="98">
      <formula>""</formula>
    </cfRule>
  </conditionalFormatting>
  <conditionalFormatting sqref="G200">
    <cfRule type="expression" dxfId="0" priority="35">
      <formula>""</formula>
    </cfRule>
  </conditionalFormatting>
  <conditionalFormatting sqref="G203">
    <cfRule type="expression" dxfId="0" priority="34">
      <formula>""</formula>
    </cfRule>
  </conditionalFormatting>
  <conditionalFormatting sqref="G205">
    <cfRule type="expression" dxfId="0" priority="33">
      <formula>""</formula>
    </cfRule>
  </conditionalFormatting>
  <conditionalFormatting sqref="G206">
    <cfRule type="expression" dxfId="0" priority="32">
      <formula>""</formula>
    </cfRule>
  </conditionalFormatting>
  <conditionalFormatting sqref="G207">
    <cfRule type="expression" dxfId="0" priority="31">
      <formula>""</formula>
    </cfRule>
  </conditionalFormatting>
  <conditionalFormatting sqref="H212">
    <cfRule type="expression" dxfId="0" priority="97">
      <formula>""</formula>
    </cfRule>
  </conditionalFormatting>
  <conditionalFormatting sqref="G213">
    <cfRule type="expression" dxfId="0" priority="30">
      <formula>""</formula>
    </cfRule>
  </conditionalFormatting>
  <conditionalFormatting sqref="G216">
    <cfRule type="expression" dxfId="0" priority="29">
      <formula>""</formula>
    </cfRule>
  </conditionalFormatting>
  <conditionalFormatting sqref="G218">
    <cfRule type="expression" dxfId="0" priority="28">
      <formula>""</formula>
    </cfRule>
  </conditionalFormatting>
  <conditionalFormatting sqref="G219">
    <cfRule type="expression" dxfId="0" priority="27">
      <formula>""</formula>
    </cfRule>
  </conditionalFormatting>
  <conditionalFormatting sqref="G220">
    <cfRule type="expression" dxfId="0" priority="26">
      <formula>""</formula>
    </cfRule>
  </conditionalFormatting>
  <conditionalFormatting sqref="H225">
    <cfRule type="expression" dxfId="0" priority="96">
      <formula>""</formula>
    </cfRule>
  </conditionalFormatting>
  <conditionalFormatting sqref="G226">
    <cfRule type="expression" dxfId="0" priority="25">
      <formula>""</formula>
    </cfRule>
  </conditionalFormatting>
  <conditionalFormatting sqref="G229">
    <cfRule type="expression" dxfId="0" priority="24">
      <formula>""</formula>
    </cfRule>
  </conditionalFormatting>
  <conditionalFormatting sqref="G231">
    <cfRule type="expression" dxfId="0" priority="23">
      <formula>""</formula>
    </cfRule>
  </conditionalFormatting>
  <conditionalFormatting sqref="G232">
    <cfRule type="expression" dxfId="0" priority="22">
      <formula>""</formula>
    </cfRule>
  </conditionalFormatting>
  <conditionalFormatting sqref="G233">
    <cfRule type="expression" dxfId="0" priority="21">
      <formula>""</formula>
    </cfRule>
  </conditionalFormatting>
  <conditionalFormatting sqref="F238">
    <cfRule type="expression" dxfId="0" priority="108">
      <formula>""</formula>
    </cfRule>
  </conditionalFormatting>
  <conditionalFormatting sqref="H246">
    <cfRule type="expression" dxfId="0" priority="95">
      <formula>""</formula>
    </cfRule>
  </conditionalFormatting>
  <conditionalFormatting sqref="G247">
    <cfRule type="expression" dxfId="0" priority="20">
      <formula>""</formula>
    </cfRule>
  </conditionalFormatting>
  <conditionalFormatting sqref="G250">
    <cfRule type="expression" dxfId="0" priority="19">
      <formula>""</formula>
    </cfRule>
  </conditionalFormatting>
  <conditionalFormatting sqref="G252">
    <cfRule type="expression" dxfId="0" priority="18">
      <formula>""</formula>
    </cfRule>
  </conditionalFormatting>
  <conditionalFormatting sqref="G253">
    <cfRule type="expression" dxfId="0" priority="17">
      <formula>""</formula>
    </cfRule>
  </conditionalFormatting>
  <conditionalFormatting sqref="G254">
    <cfRule type="expression" dxfId="0" priority="16">
      <formula>""</formula>
    </cfRule>
  </conditionalFormatting>
  <conditionalFormatting sqref="H259">
    <cfRule type="expression" dxfId="0" priority="94">
      <formula>""</formula>
    </cfRule>
  </conditionalFormatting>
  <conditionalFormatting sqref="G260">
    <cfRule type="expression" dxfId="0" priority="15">
      <formula>""</formula>
    </cfRule>
  </conditionalFormatting>
  <conditionalFormatting sqref="G263">
    <cfRule type="expression" dxfId="0" priority="14">
      <formula>""</formula>
    </cfRule>
  </conditionalFormatting>
  <conditionalFormatting sqref="G265">
    <cfRule type="expression" dxfId="0" priority="13">
      <formula>""</formula>
    </cfRule>
  </conditionalFormatting>
  <conditionalFormatting sqref="G266">
    <cfRule type="expression" dxfId="0" priority="12">
      <formula>""</formula>
    </cfRule>
  </conditionalFormatting>
  <conditionalFormatting sqref="G267">
    <cfRule type="expression" dxfId="0" priority="11">
      <formula>""</formula>
    </cfRule>
  </conditionalFormatting>
  <conditionalFormatting sqref="F294">
    <cfRule type="expression" dxfId="0" priority="107">
      <formula>""</formula>
    </cfRule>
  </conditionalFormatting>
  <conditionalFormatting sqref="H296">
    <cfRule type="expression" dxfId="0" priority="93">
      <formula>""</formula>
    </cfRule>
  </conditionalFormatting>
  <conditionalFormatting sqref="G297">
    <cfRule type="expression" dxfId="0" priority="10">
      <formula>""</formula>
    </cfRule>
  </conditionalFormatting>
  <conditionalFormatting sqref="G300">
    <cfRule type="expression" dxfId="0" priority="9">
      <formula>""</formula>
    </cfRule>
  </conditionalFormatting>
  <conditionalFormatting sqref="G302">
    <cfRule type="expression" dxfId="0" priority="8">
      <formula>""</formula>
    </cfRule>
  </conditionalFormatting>
  <conditionalFormatting sqref="G303">
    <cfRule type="expression" dxfId="0" priority="7">
      <formula>""</formula>
    </cfRule>
  </conditionalFormatting>
  <conditionalFormatting sqref="G304">
    <cfRule type="expression" dxfId="0" priority="6">
      <formula>""</formula>
    </cfRule>
  </conditionalFormatting>
  <conditionalFormatting sqref="H309">
    <cfRule type="expression" dxfId="0" priority="92">
      <formula>""</formula>
    </cfRule>
  </conditionalFormatting>
  <conditionalFormatting sqref="G310">
    <cfRule type="expression" dxfId="0" priority="5">
      <formula>""</formula>
    </cfRule>
  </conditionalFormatting>
  <conditionalFormatting sqref="G312">
    <cfRule type="expression" dxfId="0" priority="4">
      <formula>""</formula>
    </cfRule>
  </conditionalFormatting>
  <conditionalFormatting sqref="G314">
    <cfRule type="expression" dxfId="0" priority="3">
      <formula>""</formula>
    </cfRule>
  </conditionalFormatting>
  <conditionalFormatting sqref="G315">
    <cfRule type="expression" dxfId="0" priority="2">
      <formula>""</formula>
    </cfRule>
  </conditionalFormatting>
  <conditionalFormatting sqref="G316">
    <cfRule type="expression" dxfId="0" priority="1">
      <formula>""</formula>
    </cfRule>
  </conditionalFormatting>
  <conditionalFormatting sqref="A272:A294">
    <cfRule type="expression" dxfId="0" priority="114">
      <formula>""</formula>
    </cfRule>
  </conditionalFormatting>
  <conditionalFormatting sqref="I1:XFD4 J5:XFD12 A328 A332 A348 A364 A380 A400 A417 A434 A438 A442 A446 A450:F1048576">
    <cfRule type="expression" dxfId="0" priority="122">
      <formula>""</formula>
    </cfRule>
  </conditionalFormatting>
  <conditionalFormatting sqref="A1:H5 A6:F6 H6 A7:H8 A9:F9 H9 A10:H10 A11:F11 H11 A12:F12 H12 A13:F13 H13 A14:H17 A20:H20 A21:F21 H21 A22:H23 A24:F24 H24 A25:H25 A26:F26 H26 A27:F27 H27 A28:F28 H28 A29:H39 A40:F40 H40 A41:H42 A43:F43 H43 A44:H44 A45:F45 H45 A46:F46 H46 A47:F47 H47 A48:H51 A52 B156:H157 B158:G158 B159:F159 H159 B160:H161 B162:F162 H162 B163:H163 B164:F164 H164 B165:F165 H165 B166:F166 H166 B167:H177 B178:G178 B179:F179 H179 B180:H181 B182:F182 H182 B183:H183 B184:F184 H184 B185:F185 H185 B186:F186 H186 B187:H190 G193:H198 G199 H200 G201:H202 H203 G204:H204 H205:H207 G208:H211 G212 H213 G214:H215 H216 G217:H217 H218:H220 G221:H224 G225 H226 G227:H228 H229 G230:H230 H231:H233 G234:H237 B240:H245 B246:G246 B247:F247 H247 B248:H249 B250:F250 H250 B251:H251 B252:F252 H252 B253:F253 H253 B254:F254 H254 B255:H258 B259:G259 B260:F260 H260 B261:H262 B263:F263 H263 B264:H264 B265:F265 H265 B266:F266 H266 B267:F267 H267 B268:H293">
    <cfRule type="expression" dxfId="0" priority="117">
      <formula>""</formula>
    </cfRule>
  </conditionalFormatting>
  <conditionalFormatting sqref="I13:XFD291 J292:XFD304 I305:XFD324 A325:I327 R325:XFD327 I328:I330 R328:XFD331 G332:H449 J332:XFD449 G450:XFD1048576">
    <cfRule type="expression" dxfId="0" priority="120">
      <formula>""</formula>
    </cfRule>
  </conditionalFormatting>
  <conditionalFormatting sqref="A18 B90:E101 A104:F104 A158:A178 A193:F196 B197:F198 A199:F199 B200:F209 A210:F223 B224:F237 A238 A240:A246 A259">
    <cfRule type="expression" dxfId="0" priority="118">
      <formula>""</formula>
    </cfRule>
  </conditionalFormatting>
  <conditionalFormatting sqref="A54:H57 A58:G58 A59:E70 A71:H72 A73:E86 A87:H88 A89:E89 G104 B105:F105 H105 B106:H107 B108:F108 H108 B109:H109 B110:F110 H110 B111:F111 H111 B112:F112 H112 B113:H122 A123:H124 A125:E138 A139:H140 A141:G141 A142:F142 H142 A143:H144 A145:F145 H145 A146:H146 A147:F147 H147 A148:F148 H148 A149:F149 H149 A150:H153 A154:A156 A296:G296 A297:F297 H297 A298:H299 A300:F300 H300 A301:H301 A302:F302 H302 A303:F303 H303 A304:F304 H304 A305:H308 A309:G309 A310:F310 H310 A311:H311 A312:F312 H312 A313:H313 A314:F314 H314 A315:F315 H315 A316:F316 H316 A317:H324">
    <cfRule type="expression" dxfId="0" priority="116">
      <formula>""</formula>
    </cfRule>
  </conditionalFormatting>
  <conditionalFormatting sqref="A329:F331">
    <cfRule type="expression" dxfId="0" priority="119">
      <formula>""</formula>
    </cfRule>
  </conditionalFormatting>
  <conditionalFormatting sqref="G329:H331">
    <cfRule type="expression" dxfId="0" priority="121">
      <formula>""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8"/>
  <sheetViews>
    <sheetView zoomScale="130" zoomScaleNormal="130" workbookViewId="0">
      <selection activeCell="G498" sqref="G498"/>
    </sheetView>
  </sheetViews>
  <sheetFormatPr defaultColWidth="9" defaultRowHeight="16.8"/>
  <cols>
    <col min="1" max="1" width="15.5" customWidth="1"/>
    <col min="2" max="2" width="4.375" customWidth="1"/>
    <col min="3" max="3" width="16.875" customWidth="1"/>
    <col min="4" max="4" width="25.875" customWidth="1"/>
    <col min="5" max="5" width="8" customWidth="1"/>
    <col min="6" max="6" width="9.5" customWidth="1"/>
    <col min="7" max="7" width="12.5" style="50" customWidth="1"/>
    <col min="8" max="8" width="13.875" style="60" customWidth="1"/>
    <col min="9" max="10" width="12.8846153846154"/>
    <col min="11" max="11" width="12.875" customWidth="1"/>
  </cols>
  <sheetData>
    <row r="1" ht="20.4" spans="1:9">
      <c r="A1" s="106" t="s">
        <v>0</v>
      </c>
      <c r="B1" s="107"/>
      <c r="C1" s="107"/>
      <c r="D1" s="107"/>
      <c r="E1" s="107"/>
      <c r="F1" s="107"/>
      <c r="G1" s="63"/>
      <c r="H1" s="108"/>
    </row>
    <row r="2" spans="1:9">
      <c r="A2" s="65" t="s">
        <v>1</v>
      </c>
      <c r="B2" s="66" t="s">
        <v>2</v>
      </c>
      <c r="C2" s="66" t="s">
        <v>3</v>
      </c>
      <c r="D2" s="66" t="s">
        <v>4</v>
      </c>
      <c r="E2" s="66" t="s">
        <v>5</v>
      </c>
      <c r="F2" s="67" t="s">
        <v>6</v>
      </c>
      <c r="G2" s="109" t="s">
        <v>7</v>
      </c>
      <c r="H2" s="69"/>
    </row>
    <row r="3" spans="1:9">
      <c r="A3" s="65"/>
      <c r="B3" s="66"/>
      <c r="C3" s="66"/>
      <c r="D3" s="66"/>
      <c r="E3" s="66"/>
      <c r="F3" s="67"/>
      <c r="G3" s="70" t="s">
        <v>178</v>
      </c>
      <c r="H3" s="67" t="s">
        <v>9</v>
      </c>
    </row>
    <row r="4" spans="1:9">
      <c r="A4" s="110"/>
      <c r="B4" s="111"/>
      <c r="C4" s="111"/>
      <c r="D4" s="111"/>
      <c r="E4" s="111"/>
      <c r="F4" s="112"/>
      <c r="G4" s="113"/>
      <c r="H4" s="112">
        <f t="array" ref="H4">SUM(IF(G5:G399="",H5:H399,""))</f>
        <v>16034259.5776078</v>
      </c>
      <c r="I4" s="114"/>
    </row>
    <row r="5" spans="1:9">
      <c r="A5" s="75" t="s">
        <v>218</v>
      </c>
      <c r="B5" s="76">
        <v>524</v>
      </c>
      <c r="C5" s="77">
        <v>22010301</v>
      </c>
      <c r="D5" s="78" t="s">
        <v>219</v>
      </c>
      <c r="E5" s="79" t="s">
        <v>12</v>
      </c>
      <c r="F5" s="80">
        <f>F6</f>
        <v>26.09</v>
      </c>
      <c r="G5" s="82"/>
      <c r="H5" s="81">
        <f>H7+H10+H12+H13+H14</f>
        <v>236992.323266752</v>
      </c>
    </row>
    <row r="6" spans="1:9">
      <c r="A6" s="75"/>
      <c r="B6" s="76">
        <v>525</v>
      </c>
      <c r="C6" s="77">
        <v>2201030106</v>
      </c>
      <c r="D6" s="78" t="s">
        <v>63</v>
      </c>
      <c r="E6" s="79" t="s">
        <v>12</v>
      </c>
      <c r="F6" s="80">
        <v>26.09</v>
      </c>
      <c r="G6" s="82">
        <f>H6/F6</f>
        <v>9083.64596652941</v>
      </c>
      <c r="H6" s="82">
        <f>H5</f>
        <v>236992.323266752</v>
      </c>
    </row>
    <row r="7" spans="1:9">
      <c r="A7" s="75"/>
      <c r="B7" s="76">
        <v>526</v>
      </c>
      <c r="C7" s="77">
        <v>220103010601</v>
      </c>
      <c r="D7" s="78" t="s">
        <v>13</v>
      </c>
      <c r="E7" s="79" t="s">
        <v>12</v>
      </c>
      <c r="F7" s="80">
        <v>26.09</v>
      </c>
      <c r="G7" s="50">
        <v>2003.77880519645</v>
      </c>
      <c r="H7" s="82">
        <f>G7*F7</f>
        <v>52278.5890275753</v>
      </c>
    </row>
    <row r="8" spans="1:9">
      <c r="A8" s="75"/>
      <c r="B8" s="76">
        <v>527</v>
      </c>
      <c r="C8" s="77">
        <v>22010301060101</v>
      </c>
      <c r="D8" s="78" t="s">
        <v>15</v>
      </c>
      <c r="E8" s="79" t="s">
        <v>16</v>
      </c>
      <c r="F8" s="80">
        <v>0.5304</v>
      </c>
      <c r="G8" s="82">
        <f>H8/F8</f>
        <v>364.688498118455</v>
      </c>
      <c r="H8" s="82">
        <f>0.0037*H7</f>
        <v>193.430779402029</v>
      </c>
    </row>
    <row r="9" spans="1:9">
      <c r="A9" s="75"/>
      <c r="B9" s="76">
        <v>528</v>
      </c>
      <c r="C9" s="77">
        <v>22010301060102</v>
      </c>
      <c r="D9" s="78" t="s">
        <v>18</v>
      </c>
      <c r="E9" s="79" t="s">
        <v>19</v>
      </c>
      <c r="F9" s="80">
        <v>18.7075</v>
      </c>
      <c r="G9" s="82">
        <f>H9/F9</f>
        <v>2784.18592800605</v>
      </c>
      <c r="H9" s="82">
        <f>H7-H8</f>
        <v>52085.1582481733</v>
      </c>
    </row>
    <row r="10" spans="1:9">
      <c r="A10" s="75"/>
      <c r="B10" s="76">
        <v>529</v>
      </c>
      <c r="C10" s="77">
        <v>220103010602</v>
      </c>
      <c r="D10" s="78" t="s">
        <v>20</v>
      </c>
      <c r="E10" s="79" t="s">
        <v>12</v>
      </c>
      <c r="F10" s="80">
        <v>26.09</v>
      </c>
      <c r="G10" s="50">
        <v>1413.83736086286</v>
      </c>
      <c r="H10" s="82">
        <f>G10*F10</f>
        <v>36887.0167449119</v>
      </c>
    </row>
    <row r="11" spans="1:9">
      <c r="A11" s="75"/>
      <c r="B11" s="76">
        <v>530</v>
      </c>
      <c r="C11" s="77">
        <v>22010301060202</v>
      </c>
      <c r="D11" s="78" t="s">
        <v>22</v>
      </c>
      <c r="E11" s="79" t="s">
        <v>12</v>
      </c>
      <c r="F11" s="80">
        <v>26.09</v>
      </c>
      <c r="G11" s="82">
        <f>H10/F11</f>
        <v>1413.83736086286</v>
      </c>
      <c r="H11" s="82">
        <f t="shared" ref="H11:H18" si="0">G11*F11</f>
        <v>36887.0167449119</v>
      </c>
    </row>
    <row r="12" spans="1:9">
      <c r="A12" s="75"/>
      <c r="B12" s="76">
        <v>531</v>
      </c>
      <c r="C12" s="77">
        <v>220103010603</v>
      </c>
      <c r="D12" s="78" t="s">
        <v>23</v>
      </c>
      <c r="E12" s="79" t="s">
        <v>12</v>
      </c>
      <c r="F12" s="80">
        <v>26.09</v>
      </c>
      <c r="G12" s="50">
        <v>2107.49578158714</v>
      </c>
      <c r="H12" s="82">
        <f t="shared" si="0"/>
        <v>54984.5649416085</v>
      </c>
    </row>
    <row r="13" spans="1:9">
      <c r="A13" s="75"/>
      <c r="B13" s="76">
        <v>532</v>
      </c>
      <c r="C13" s="77">
        <v>220103010604</v>
      </c>
      <c r="D13" s="78" t="s">
        <v>24</v>
      </c>
      <c r="E13" s="79" t="s">
        <v>12</v>
      </c>
      <c r="F13" s="80">
        <v>26.09</v>
      </c>
      <c r="G13" s="50">
        <v>225.715849300707</v>
      </c>
      <c r="H13" s="82">
        <f t="shared" si="0"/>
        <v>5888.92650825544</v>
      </c>
    </row>
    <row r="14" spans="1:9">
      <c r="A14" s="75"/>
      <c r="B14" s="76">
        <v>533</v>
      </c>
      <c r="C14" s="77">
        <v>220103010605</v>
      </c>
      <c r="D14" s="78" t="s">
        <v>25</v>
      </c>
      <c r="E14" s="79" t="s">
        <v>12</v>
      </c>
      <c r="F14" s="80">
        <v>29.35</v>
      </c>
      <c r="G14" s="50">
        <v>2962.63121105285</v>
      </c>
      <c r="H14" s="82">
        <f t="shared" si="0"/>
        <v>86953.2260444011</v>
      </c>
    </row>
    <row r="15" spans="1:9">
      <c r="A15" s="75"/>
      <c r="B15" s="76">
        <v>534</v>
      </c>
      <c r="C15" s="77">
        <v>22010301060501</v>
      </c>
      <c r="D15" s="78" t="s">
        <v>27</v>
      </c>
      <c r="E15" s="79" t="s">
        <v>16</v>
      </c>
      <c r="F15" s="80">
        <v>721.96</v>
      </c>
      <c r="G15" s="82">
        <f>H14/F15</f>
        <v>120.440503690511</v>
      </c>
      <c r="H15" s="82">
        <f t="shared" si="0"/>
        <v>86953.2260444011</v>
      </c>
    </row>
    <row r="16" spans="1:9">
      <c r="A16" s="75"/>
      <c r="B16" s="76">
        <v>535</v>
      </c>
      <c r="C16" s="78" t="s">
        <v>56</v>
      </c>
      <c r="D16" s="78" t="s">
        <v>29</v>
      </c>
      <c r="E16" s="79" t="s">
        <v>16</v>
      </c>
      <c r="F16" s="80">
        <v>11.88</v>
      </c>
      <c r="G16" s="82">
        <f>H16/F16</f>
        <v>212.259558525895</v>
      </c>
      <c r="H16" s="82">
        <f>0.029*H15</f>
        <v>2521.64355528763</v>
      </c>
    </row>
    <row r="17" spans="1:8">
      <c r="A17" s="75"/>
      <c r="B17" s="76">
        <v>536</v>
      </c>
      <c r="C17" s="78" t="s">
        <v>57</v>
      </c>
      <c r="D17" s="78" t="s">
        <v>31</v>
      </c>
      <c r="E17" s="79" t="s">
        <v>16</v>
      </c>
      <c r="F17" s="80">
        <v>11.88</v>
      </c>
      <c r="G17" s="82">
        <f>G16</f>
        <v>212.259558525895</v>
      </c>
      <c r="H17" s="82">
        <f t="shared" si="0"/>
        <v>2521.64355528763</v>
      </c>
    </row>
    <row r="18" spans="1:8">
      <c r="A18" s="75"/>
      <c r="B18" s="76">
        <v>537</v>
      </c>
      <c r="C18" s="78" t="s">
        <v>58</v>
      </c>
      <c r="D18" s="78" t="s">
        <v>33</v>
      </c>
      <c r="E18" s="79" t="s">
        <v>16</v>
      </c>
      <c r="F18" s="80">
        <v>710.08</v>
      </c>
      <c r="G18" s="82">
        <f>H18/F18</f>
        <v>118.904324145327</v>
      </c>
      <c r="H18" s="82">
        <f>H15-H17</f>
        <v>84431.5824891135</v>
      </c>
    </row>
    <row r="19" spans="1:8">
      <c r="A19" s="75"/>
      <c r="B19" s="76">
        <v>1183</v>
      </c>
      <c r="C19" s="77">
        <v>22030323</v>
      </c>
      <c r="D19" s="78" t="s">
        <v>59</v>
      </c>
      <c r="E19" s="79" t="s">
        <v>12</v>
      </c>
      <c r="F19" s="80">
        <f>F20</f>
        <v>26.09</v>
      </c>
      <c r="G19" s="82"/>
      <c r="H19" s="82">
        <v>2281.71</v>
      </c>
    </row>
    <row r="20" ht="28" spans="1:8">
      <c r="A20" s="75"/>
      <c r="B20" s="76">
        <v>1187</v>
      </c>
      <c r="C20" s="77">
        <v>2203032305</v>
      </c>
      <c r="D20" s="78" t="s">
        <v>220</v>
      </c>
      <c r="E20" s="79" t="s">
        <v>12</v>
      </c>
      <c r="F20" s="80">
        <v>26.09</v>
      </c>
      <c r="G20" s="82">
        <v>87.45</v>
      </c>
      <c r="H20" s="82">
        <v>2281.71</v>
      </c>
    </row>
    <row r="21" spans="1:8">
      <c r="A21" s="75" t="s">
        <v>221</v>
      </c>
      <c r="B21" s="76">
        <v>630</v>
      </c>
      <c r="C21" s="77">
        <v>2201030233</v>
      </c>
      <c r="D21" s="78" t="s">
        <v>222</v>
      </c>
      <c r="E21" s="79" t="s">
        <v>12</v>
      </c>
      <c r="F21" s="80">
        <f>F22</f>
        <v>595.35</v>
      </c>
      <c r="G21" s="82"/>
      <c r="H21" s="81">
        <f>H22+H25+H27+H28+H29</f>
        <v>2269772.36488558</v>
      </c>
    </row>
    <row r="22" spans="1:8">
      <c r="A22" s="75"/>
      <c r="B22" s="76">
        <v>631</v>
      </c>
      <c r="C22" s="77">
        <v>220103023301</v>
      </c>
      <c r="D22" s="78" t="s">
        <v>13</v>
      </c>
      <c r="E22" s="79" t="s">
        <v>12</v>
      </c>
      <c r="F22" s="80">
        <v>595.35</v>
      </c>
      <c r="G22" s="50">
        <v>821.891672705574</v>
      </c>
      <c r="H22" s="82">
        <f>G22*F22</f>
        <v>489313.207345264</v>
      </c>
    </row>
    <row r="23" spans="1:8">
      <c r="A23" s="75"/>
      <c r="B23" s="76">
        <v>632</v>
      </c>
      <c r="C23" s="77">
        <v>22010302330101</v>
      </c>
      <c r="D23" s="78" t="s">
        <v>15</v>
      </c>
      <c r="E23" s="79" t="s">
        <v>16</v>
      </c>
      <c r="F23" s="80">
        <v>15.4</v>
      </c>
      <c r="G23" s="82">
        <f>H23/F23</f>
        <v>343.154716839536</v>
      </c>
      <c r="H23" s="82">
        <f>0.0108*H22</f>
        <v>5284.58263932885</v>
      </c>
    </row>
    <row r="24" spans="1:8">
      <c r="A24" s="75"/>
      <c r="B24" s="76">
        <v>633</v>
      </c>
      <c r="C24" s="77">
        <v>22010302330102</v>
      </c>
      <c r="D24" s="78" t="s">
        <v>18</v>
      </c>
      <c r="E24" s="79" t="s">
        <v>19</v>
      </c>
      <c r="F24" s="80">
        <v>431.87</v>
      </c>
      <c r="G24" s="82">
        <f>H24/F24</f>
        <v>1120.77390118771</v>
      </c>
      <c r="H24" s="82">
        <f>H22-H23</f>
        <v>484028.624705935</v>
      </c>
    </row>
    <row r="25" spans="1:8">
      <c r="A25" s="75"/>
      <c r="B25" s="76">
        <v>634</v>
      </c>
      <c r="C25" s="77">
        <v>220103023302</v>
      </c>
      <c r="D25" s="78" t="s">
        <v>20</v>
      </c>
      <c r="E25" s="79" t="s">
        <v>12</v>
      </c>
      <c r="F25" s="80">
        <v>595.35</v>
      </c>
      <c r="G25" s="50">
        <v>1010.87811226967</v>
      </c>
      <c r="H25" s="82">
        <f t="shared" ref="H23:H30" si="1">G25*F25</f>
        <v>601826.284139746</v>
      </c>
    </row>
    <row r="26" spans="1:8">
      <c r="A26" s="75"/>
      <c r="B26" s="76">
        <v>635</v>
      </c>
      <c r="C26" s="77">
        <v>22010302330202</v>
      </c>
      <c r="D26" s="78" t="s">
        <v>22</v>
      </c>
      <c r="E26" s="79" t="s">
        <v>12</v>
      </c>
      <c r="F26" s="80">
        <v>595.35</v>
      </c>
      <c r="G26" s="82">
        <v>1052.99803361424</v>
      </c>
      <c r="H26" s="82">
        <f t="shared" si="1"/>
        <v>626902.379312236</v>
      </c>
    </row>
    <row r="27" spans="1:8">
      <c r="A27" s="75"/>
      <c r="B27" s="76">
        <v>636</v>
      </c>
      <c r="C27" s="77">
        <v>220103023303</v>
      </c>
      <c r="D27" s="78" t="s">
        <v>23</v>
      </c>
      <c r="E27" s="79" t="s">
        <v>12</v>
      </c>
      <c r="F27" s="80">
        <v>595.35</v>
      </c>
      <c r="G27" s="50">
        <v>1098.50284721612</v>
      </c>
      <c r="H27" s="82">
        <f t="shared" si="1"/>
        <v>653993.670090118</v>
      </c>
    </row>
    <row r="28" spans="1:8">
      <c r="A28" s="75"/>
      <c r="B28" s="76">
        <v>637</v>
      </c>
      <c r="C28" s="77">
        <v>220103023304</v>
      </c>
      <c r="D28" s="78" t="s">
        <v>24</v>
      </c>
      <c r="E28" s="79" t="s">
        <v>12</v>
      </c>
      <c r="F28" s="80">
        <v>595.35</v>
      </c>
      <c r="G28" s="50">
        <v>251.643518318346</v>
      </c>
      <c r="H28" s="82">
        <f t="shared" si="1"/>
        <v>149815.968630827</v>
      </c>
    </row>
    <row r="29" spans="1:8">
      <c r="A29" s="75"/>
      <c r="B29" s="76">
        <v>638</v>
      </c>
      <c r="C29" s="77">
        <v>220103023305</v>
      </c>
      <c r="D29" s="78" t="s">
        <v>25</v>
      </c>
      <c r="E29" s="79" t="s">
        <v>12</v>
      </c>
      <c r="F29" s="80">
        <v>595.35</v>
      </c>
      <c r="G29" s="50">
        <v>629.584672343365</v>
      </c>
      <c r="H29" s="82">
        <f t="shared" si="1"/>
        <v>374823.234679623</v>
      </c>
    </row>
    <row r="30" spans="1:8">
      <c r="A30" s="75"/>
      <c r="B30" s="76">
        <v>639</v>
      </c>
      <c r="C30" s="77">
        <v>22010302330501</v>
      </c>
      <c r="D30" s="78" t="s">
        <v>27</v>
      </c>
      <c r="E30" s="79" t="s">
        <v>16</v>
      </c>
      <c r="F30" s="80">
        <v>1134</v>
      </c>
      <c r="G30" s="82">
        <f>H29/F30</f>
        <v>330.531952980267</v>
      </c>
      <c r="H30" s="82">
        <f t="shared" si="1"/>
        <v>374823.234679623</v>
      </c>
    </row>
    <row r="31" spans="1:8">
      <c r="A31" s="75"/>
      <c r="B31" s="76">
        <v>640</v>
      </c>
      <c r="C31" s="78" t="s">
        <v>223</v>
      </c>
      <c r="D31" s="78" t="s">
        <v>29</v>
      </c>
      <c r="E31" s="79" t="s">
        <v>16</v>
      </c>
      <c r="F31" s="80">
        <v>260</v>
      </c>
      <c r="G31" s="82">
        <f>G32</f>
        <v>586.742525056178</v>
      </c>
      <c r="H31" s="82">
        <f>H32</f>
        <v>152553.056514606</v>
      </c>
    </row>
    <row r="32" spans="1:8">
      <c r="A32" s="75"/>
      <c r="B32" s="76">
        <v>641</v>
      </c>
      <c r="C32" s="78" t="s">
        <v>224</v>
      </c>
      <c r="D32" s="78" t="s">
        <v>31</v>
      </c>
      <c r="E32" s="79" t="s">
        <v>16</v>
      </c>
      <c r="F32" s="80">
        <v>260</v>
      </c>
      <c r="G32" s="82">
        <f>H32/F32</f>
        <v>586.742525056178</v>
      </c>
      <c r="H32" s="82">
        <f>0.407*H30</f>
        <v>152553.056514606</v>
      </c>
    </row>
    <row r="33" spans="1:8">
      <c r="A33" s="75"/>
      <c r="B33" s="76">
        <v>642</v>
      </c>
      <c r="C33" s="78" t="s">
        <v>225</v>
      </c>
      <c r="D33" s="78" t="s">
        <v>33</v>
      </c>
      <c r="E33" s="79" t="s">
        <v>16</v>
      </c>
      <c r="F33" s="80">
        <v>874</v>
      </c>
      <c r="G33" s="82">
        <v>106.1</v>
      </c>
      <c r="H33" s="82">
        <f>H30-H32</f>
        <v>222270.178165016</v>
      </c>
    </row>
    <row r="34" spans="1:8">
      <c r="A34" s="75"/>
      <c r="B34" s="76">
        <v>1114</v>
      </c>
      <c r="C34" s="77">
        <v>22030131</v>
      </c>
      <c r="D34" s="78" t="s">
        <v>226</v>
      </c>
      <c r="E34" s="79" t="s">
        <v>12</v>
      </c>
      <c r="F34" s="80">
        <f t="shared" ref="F34:F38" si="2">F35</f>
        <v>595.35</v>
      </c>
      <c r="G34" s="82"/>
      <c r="H34" s="82">
        <v>7179.14</v>
      </c>
    </row>
    <row r="35" spans="1:8">
      <c r="A35" s="75"/>
      <c r="B35" s="76">
        <v>1115</v>
      </c>
      <c r="C35" s="77">
        <v>2203013101</v>
      </c>
      <c r="D35" s="78" t="s">
        <v>44</v>
      </c>
      <c r="E35" s="79" t="s">
        <v>12</v>
      </c>
      <c r="F35" s="80">
        <v>595.35</v>
      </c>
      <c r="G35" s="82">
        <v>12.06</v>
      </c>
      <c r="H35" s="82">
        <v>7179.14</v>
      </c>
    </row>
    <row r="36" spans="1:8">
      <c r="A36" s="75"/>
      <c r="B36" s="76">
        <v>1154</v>
      </c>
      <c r="C36" s="77">
        <v>22030231</v>
      </c>
      <c r="D36" s="78" t="s">
        <v>227</v>
      </c>
      <c r="E36" s="79" t="s">
        <v>12</v>
      </c>
      <c r="F36" s="80">
        <f t="shared" si="2"/>
        <v>595.35</v>
      </c>
      <c r="G36" s="82"/>
      <c r="H36" s="82">
        <v>107710.39</v>
      </c>
    </row>
    <row r="37" spans="1:8">
      <c r="A37" s="75"/>
      <c r="B37" s="76">
        <v>1155</v>
      </c>
      <c r="C37" s="77">
        <v>2203023101</v>
      </c>
      <c r="D37" s="78" t="s">
        <v>44</v>
      </c>
      <c r="E37" s="79" t="s">
        <v>12</v>
      </c>
      <c r="F37" s="80">
        <v>595.35</v>
      </c>
      <c r="G37" s="82">
        <v>180.92</v>
      </c>
      <c r="H37" s="82">
        <v>107710.39</v>
      </c>
    </row>
    <row r="38" spans="1:8">
      <c r="A38" s="75"/>
      <c r="B38" s="76">
        <v>1204</v>
      </c>
      <c r="C38" s="77">
        <v>22030331</v>
      </c>
      <c r="D38" s="78" t="s">
        <v>228</v>
      </c>
      <c r="E38" s="79" t="s">
        <v>12</v>
      </c>
      <c r="F38" s="80">
        <f t="shared" si="2"/>
        <v>595.35</v>
      </c>
      <c r="G38" s="82"/>
      <c r="H38" s="82">
        <v>19214.33</v>
      </c>
    </row>
    <row r="39" spans="1:8">
      <c r="A39" s="75"/>
      <c r="B39" s="76">
        <v>1205</v>
      </c>
      <c r="C39" s="77">
        <v>2203033101</v>
      </c>
      <c r="D39" s="78" t="s">
        <v>44</v>
      </c>
      <c r="E39" s="79" t="s">
        <v>12</v>
      </c>
      <c r="F39" s="80">
        <v>595.35</v>
      </c>
      <c r="G39" s="82">
        <v>32.28</v>
      </c>
      <c r="H39" s="82">
        <v>19214.33</v>
      </c>
    </row>
    <row r="40" spans="1:8">
      <c r="A40" s="75" t="s">
        <v>229</v>
      </c>
      <c r="B40" s="76">
        <v>1037</v>
      </c>
      <c r="C40" s="77">
        <v>22010411</v>
      </c>
      <c r="D40" s="78" t="s">
        <v>230</v>
      </c>
      <c r="E40" s="79" t="s">
        <v>12</v>
      </c>
      <c r="F40" s="80">
        <f>F41</f>
        <v>16.78</v>
      </c>
      <c r="G40" s="82"/>
      <c r="H40" s="82">
        <v>16666.31</v>
      </c>
    </row>
    <row r="41" spans="1:8">
      <c r="A41" s="75"/>
      <c r="B41" s="76">
        <v>1038</v>
      </c>
      <c r="C41" s="77">
        <v>2201041102</v>
      </c>
      <c r="D41" s="78" t="s">
        <v>53</v>
      </c>
      <c r="E41" s="79" t="s">
        <v>12</v>
      </c>
      <c r="F41" s="80">
        <v>16.78</v>
      </c>
      <c r="G41" s="82">
        <v>993.23</v>
      </c>
      <c r="H41" s="82">
        <v>16666.31</v>
      </c>
    </row>
    <row r="42" spans="1:8">
      <c r="A42" s="75" t="s">
        <v>231</v>
      </c>
      <c r="B42" s="76">
        <v>524</v>
      </c>
      <c r="C42" s="77">
        <v>22010301</v>
      </c>
      <c r="D42" s="78" t="s">
        <v>232</v>
      </c>
      <c r="E42" s="79" t="s">
        <v>12</v>
      </c>
      <c r="F42" s="80">
        <f>F43</f>
        <v>26.09</v>
      </c>
      <c r="G42" s="82"/>
      <c r="H42" s="81">
        <f>H44+H47+H49+H50+H51</f>
        <v>236992.323266752</v>
      </c>
    </row>
    <row r="43" spans="1:8">
      <c r="A43" s="75"/>
      <c r="B43" s="76">
        <v>525</v>
      </c>
      <c r="C43" s="77">
        <v>2201030106</v>
      </c>
      <c r="D43" s="78" t="s">
        <v>63</v>
      </c>
      <c r="E43" s="79" t="s">
        <v>12</v>
      </c>
      <c r="F43" s="80">
        <v>26.09</v>
      </c>
      <c r="G43" s="82">
        <f t="shared" ref="G43:G46" si="3">H43/F43</f>
        <v>9083.64596652941</v>
      </c>
      <c r="H43" s="82">
        <f>H42</f>
        <v>236992.323266752</v>
      </c>
    </row>
    <row r="44" spans="1:8">
      <c r="A44" s="75"/>
      <c r="B44" s="76">
        <v>526</v>
      </c>
      <c r="C44" s="77">
        <v>220103010601</v>
      </c>
      <c r="D44" s="78" t="s">
        <v>13</v>
      </c>
      <c r="E44" s="79" t="s">
        <v>12</v>
      </c>
      <c r="F44" s="80">
        <v>26.09</v>
      </c>
      <c r="G44" s="50">
        <v>2003.77880519645</v>
      </c>
      <c r="H44" s="82">
        <f t="shared" ref="H44:H52" si="4">G44*F44</f>
        <v>52278.5890275753</v>
      </c>
    </row>
    <row r="45" spans="1:8">
      <c r="A45" s="75"/>
      <c r="B45" s="76">
        <v>527</v>
      </c>
      <c r="C45" s="77">
        <v>22010301060101</v>
      </c>
      <c r="D45" s="78" t="s">
        <v>15</v>
      </c>
      <c r="E45" s="79" t="s">
        <v>16</v>
      </c>
      <c r="F45" s="80">
        <v>0.5304</v>
      </c>
      <c r="G45" s="82">
        <f t="shared" si="3"/>
        <v>364.688498118455</v>
      </c>
      <c r="H45" s="82">
        <f>0.0037*H44</f>
        <v>193.430779402029</v>
      </c>
    </row>
    <row r="46" spans="1:8">
      <c r="A46" s="75"/>
      <c r="B46" s="76">
        <v>528</v>
      </c>
      <c r="C46" s="77">
        <v>22010301060102</v>
      </c>
      <c r="D46" s="78" t="s">
        <v>18</v>
      </c>
      <c r="E46" s="79" t="s">
        <v>19</v>
      </c>
      <c r="F46" s="80">
        <v>18.7075</v>
      </c>
      <c r="G46" s="82">
        <f t="shared" si="3"/>
        <v>2784.18592800605</v>
      </c>
      <c r="H46" s="82">
        <f>H44-H45</f>
        <v>52085.1582481733</v>
      </c>
    </row>
    <row r="47" spans="1:8">
      <c r="A47" s="75"/>
      <c r="B47" s="76">
        <v>529</v>
      </c>
      <c r="C47" s="77">
        <v>220103010602</v>
      </c>
      <c r="D47" s="78" t="s">
        <v>20</v>
      </c>
      <c r="E47" s="79" t="s">
        <v>12</v>
      </c>
      <c r="F47" s="80">
        <v>26.09</v>
      </c>
      <c r="G47" s="50">
        <v>1413.83736086286</v>
      </c>
      <c r="H47" s="82">
        <f t="shared" si="4"/>
        <v>36887.0167449119</v>
      </c>
    </row>
    <row r="48" spans="1:8">
      <c r="A48" s="75"/>
      <c r="B48" s="76">
        <v>530</v>
      </c>
      <c r="C48" s="77">
        <v>22010301060202</v>
      </c>
      <c r="D48" s="78" t="s">
        <v>22</v>
      </c>
      <c r="E48" s="79" t="s">
        <v>12</v>
      </c>
      <c r="F48" s="80">
        <v>26.09</v>
      </c>
      <c r="G48" s="82">
        <f>H47/F48</f>
        <v>1413.83736086286</v>
      </c>
      <c r="H48" s="82">
        <f t="shared" si="4"/>
        <v>36887.0167449119</v>
      </c>
    </row>
    <row r="49" spans="1:8">
      <c r="A49" s="75"/>
      <c r="B49" s="76">
        <v>531</v>
      </c>
      <c r="C49" s="77">
        <v>220103010603</v>
      </c>
      <c r="D49" s="78" t="s">
        <v>23</v>
      </c>
      <c r="E49" s="79" t="s">
        <v>12</v>
      </c>
      <c r="F49" s="80">
        <v>26.09</v>
      </c>
      <c r="G49" s="50">
        <v>2107.49578158714</v>
      </c>
      <c r="H49" s="82">
        <f t="shared" si="4"/>
        <v>54984.5649416085</v>
      </c>
    </row>
    <row r="50" spans="1:8">
      <c r="A50" s="75"/>
      <c r="B50" s="76">
        <v>532</v>
      </c>
      <c r="C50" s="77">
        <v>220103010604</v>
      </c>
      <c r="D50" s="78" t="s">
        <v>24</v>
      </c>
      <c r="E50" s="79" t="s">
        <v>12</v>
      </c>
      <c r="F50" s="80">
        <v>26.09</v>
      </c>
      <c r="G50" s="50">
        <v>225.715849300707</v>
      </c>
      <c r="H50" s="82">
        <f t="shared" si="4"/>
        <v>5888.92650825544</v>
      </c>
    </row>
    <row r="51" spans="1:8">
      <c r="A51" s="75"/>
      <c r="B51" s="76">
        <v>533</v>
      </c>
      <c r="C51" s="77">
        <v>220103010605</v>
      </c>
      <c r="D51" s="78" t="s">
        <v>25</v>
      </c>
      <c r="E51" s="79" t="s">
        <v>12</v>
      </c>
      <c r="F51" s="80">
        <v>29.35</v>
      </c>
      <c r="G51" s="50">
        <v>2962.63121105285</v>
      </c>
      <c r="H51" s="82">
        <f t="shared" si="4"/>
        <v>86953.2260444011</v>
      </c>
    </row>
    <row r="52" spans="1:8">
      <c r="A52" s="75"/>
      <c r="B52" s="76">
        <v>534</v>
      </c>
      <c r="C52" s="77">
        <v>22010301060501</v>
      </c>
      <c r="D52" s="78" t="s">
        <v>27</v>
      </c>
      <c r="E52" s="79" t="s">
        <v>16</v>
      </c>
      <c r="F52" s="80">
        <v>721.96</v>
      </c>
      <c r="G52" s="82">
        <f>H51/F52</f>
        <v>120.440503690511</v>
      </c>
      <c r="H52" s="82">
        <f t="shared" si="4"/>
        <v>86953.2260444011</v>
      </c>
    </row>
    <row r="53" spans="1:8">
      <c r="A53" s="75"/>
      <c r="B53" s="76">
        <v>535</v>
      </c>
      <c r="C53" s="78" t="s">
        <v>56</v>
      </c>
      <c r="D53" s="78" t="s">
        <v>29</v>
      </c>
      <c r="E53" s="79" t="s">
        <v>16</v>
      </c>
      <c r="F53" s="80">
        <v>11.88</v>
      </c>
      <c r="G53" s="82">
        <f>H53/F53</f>
        <v>212.259558525895</v>
      </c>
      <c r="H53" s="82">
        <f>0.029*H52</f>
        <v>2521.64355528763</v>
      </c>
    </row>
    <row r="54" spans="1:8">
      <c r="A54" s="75"/>
      <c r="B54" s="76">
        <v>536</v>
      </c>
      <c r="C54" s="78" t="s">
        <v>57</v>
      </c>
      <c r="D54" s="78" t="s">
        <v>31</v>
      </c>
      <c r="E54" s="79" t="s">
        <v>16</v>
      </c>
      <c r="F54" s="80">
        <v>11.88</v>
      </c>
      <c r="G54" s="82">
        <f>G53</f>
        <v>212.259558525895</v>
      </c>
      <c r="H54" s="82">
        <f>G54*F54</f>
        <v>2521.64355528763</v>
      </c>
    </row>
    <row r="55" spans="1:8">
      <c r="A55" s="75"/>
      <c r="B55" s="76">
        <v>537</v>
      </c>
      <c r="C55" s="78" t="s">
        <v>58</v>
      </c>
      <c r="D55" s="78" t="s">
        <v>33</v>
      </c>
      <c r="E55" s="79" t="s">
        <v>16</v>
      </c>
      <c r="F55" s="80">
        <v>710.08</v>
      </c>
      <c r="G55" s="82">
        <f>H55/F55</f>
        <v>118.904324145327</v>
      </c>
      <c r="H55" s="82">
        <f>H52-H54</f>
        <v>84431.5824891135</v>
      </c>
    </row>
    <row r="56" spans="1:8">
      <c r="A56" s="75"/>
      <c r="B56" s="76">
        <v>1183</v>
      </c>
      <c r="C56" s="77">
        <v>22030323</v>
      </c>
      <c r="D56" s="78" t="s">
        <v>59</v>
      </c>
      <c r="E56" s="79" t="s">
        <v>12</v>
      </c>
      <c r="F56" s="80">
        <f>F57</f>
        <v>26.09</v>
      </c>
      <c r="G56" s="82"/>
      <c r="H56" s="82">
        <v>2281.71</v>
      </c>
    </row>
    <row r="57" ht="28" spans="1:8">
      <c r="A57" s="75"/>
      <c r="B57" s="76">
        <v>1187</v>
      </c>
      <c r="C57" s="77">
        <v>2203032305</v>
      </c>
      <c r="D57" s="78" t="s">
        <v>233</v>
      </c>
      <c r="E57" s="79" t="s">
        <v>12</v>
      </c>
      <c r="F57" s="80">
        <v>26.09</v>
      </c>
      <c r="G57" s="82">
        <v>87.45</v>
      </c>
      <c r="H57" s="82">
        <v>2281.71</v>
      </c>
    </row>
    <row r="58" spans="1:8">
      <c r="A58" s="75" t="s">
        <v>234</v>
      </c>
      <c r="B58" s="76">
        <v>524</v>
      </c>
      <c r="C58" s="77">
        <v>22010301</v>
      </c>
      <c r="D58" s="78" t="s">
        <v>235</v>
      </c>
      <c r="E58" s="79" t="s">
        <v>12</v>
      </c>
      <c r="F58" s="80">
        <f>F59</f>
        <v>26.09</v>
      </c>
      <c r="G58" s="82"/>
      <c r="H58" s="81">
        <f>H60+H63+H65+H66+H67</f>
        <v>236992.323266752</v>
      </c>
    </row>
    <row r="59" spans="1:8">
      <c r="A59" s="75"/>
      <c r="B59" s="76">
        <v>525</v>
      </c>
      <c r="C59" s="77">
        <v>2201030106</v>
      </c>
      <c r="D59" s="78" t="s">
        <v>63</v>
      </c>
      <c r="E59" s="79" t="s">
        <v>12</v>
      </c>
      <c r="F59" s="80">
        <v>26.09</v>
      </c>
      <c r="G59" s="82">
        <f t="shared" ref="G59:G62" si="5">H59/F59</f>
        <v>9083.64596652941</v>
      </c>
      <c r="H59" s="82">
        <f>H58</f>
        <v>236992.323266752</v>
      </c>
    </row>
    <row r="60" spans="1:8">
      <c r="A60" s="75"/>
      <c r="B60" s="76">
        <v>526</v>
      </c>
      <c r="C60" s="77">
        <v>220103010601</v>
      </c>
      <c r="D60" s="78" t="s">
        <v>13</v>
      </c>
      <c r="E60" s="79" t="s">
        <v>12</v>
      </c>
      <c r="F60" s="80">
        <v>26.09</v>
      </c>
      <c r="G60" s="50">
        <v>2003.77880519645</v>
      </c>
      <c r="H60" s="82">
        <f t="shared" ref="H60:H68" si="6">G60*F60</f>
        <v>52278.5890275753</v>
      </c>
    </row>
    <row r="61" spans="1:8">
      <c r="A61" s="75"/>
      <c r="B61" s="76">
        <v>527</v>
      </c>
      <c r="C61" s="77">
        <v>22010301060101</v>
      </c>
      <c r="D61" s="78" t="s">
        <v>15</v>
      </c>
      <c r="E61" s="79" t="s">
        <v>16</v>
      </c>
      <c r="F61" s="80">
        <v>0.5304</v>
      </c>
      <c r="G61" s="82">
        <f t="shared" si="5"/>
        <v>364.688498118455</v>
      </c>
      <c r="H61" s="82">
        <f>0.0037*H60</f>
        <v>193.430779402029</v>
      </c>
    </row>
    <row r="62" spans="1:8">
      <c r="A62" s="75"/>
      <c r="B62" s="76">
        <v>528</v>
      </c>
      <c r="C62" s="77">
        <v>22010301060102</v>
      </c>
      <c r="D62" s="78" t="s">
        <v>18</v>
      </c>
      <c r="E62" s="79" t="s">
        <v>19</v>
      </c>
      <c r="F62" s="80">
        <v>18.7075</v>
      </c>
      <c r="G62" s="82">
        <f t="shared" si="5"/>
        <v>2784.18592800605</v>
      </c>
      <c r="H62" s="82">
        <f>H60-H61</f>
        <v>52085.1582481733</v>
      </c>
    </row>
    <row r="63" spans="1:8">
      <c r="A63" s="75"/>
      <c r="B63" s="76">
        <v>529</v>
      </c>
      <c r="C63" s="77">
        <v>220103010602</v>
      </c>
      <c r="D63" s="78" t="s">
        <v>20</v>
      </c>
      <c r="E63" s="79" t="s">
        <v>12</v>
      </c>
      <c r="F63" s="80">
        <v>26.09</v>
      </c>
      <c r="G63" s="50">
        <v>1413.83736086286</v>
      </c>
      <c r="H63" s="82">
        <f t="shared" si="6"/>
        <v>36887.0167449119</v>
      </c>
    </row>
    <row r="64" spans="1:8">
      <c r="A64" s="75"/>
      <c r="B64" s="76">
        <v>530</v>
      </c>
      <c r="C64" s="77">
        <v>22010301060202</v>
      </c>
      <c r="D64" s="78" t="s">
        <v>22</v>
      </c>
      <c r="E64" s="79" t="s">
        <v>12</v>
      </c>
      <c r="F64" s="80">
        <v>26.09</v>
      </c>
      <c r="G64" s="82">
        <f>H63/F64</f>
        <v>1413.83736086286</v>
      </c>
      <c r="H64" s="82">
        <f t="shared" si="6"/>
        <v>36887.0167449119</v>
      </c>
    </row>
    <row r="65" spans="1:8">
      <c r="A65" s="75"/>
      <c r="B65" s="76">
        <v>531</v>
      </c>
      <c r="C65" s="77">
        <v>220103010603</v>
      </c>
      <c r="D65" s="78" t="s">
        <v>23</v>
      </c>
      <c r="E65" s="79" t="s">
        <v>12</v>
      </c>
      <c r="F65" s="80">
        <v>26.09</v>
      </c>
      <c r="G65" s="50">
        <v>2107.49578158714</v>
      </c>
      <c r="H65" s="82">
        <f t="shared" si="6"/>
        <v>54984.5649416085</v>
      </c>
    </row>
    <row r="66" spans="1:8">
      <c r="A66" s="75"/>
      <c r="B66" s="76">
        <v>532</v>
      </c>
      <c r="C66" s="77">
        <v>220103010604</v>
      </c>
      <c r="D66" s="78" t="s">
        <v>24</v>
      </c>
      <c r="E66" s="79" t="s">
        <v>12</v>
      </c>
      <c r="F66" s="80">
        <v>26.09</v>
      </c>
      <c r="G66" s="50">
        <v>225.715849300707</v>
      </c>
      <c r="H66" s="82">
        <f t="shared" si="6"/>
        <v>5888.92650825544</v>
      </c>
    </row>
    <row r="67" spans="1:8">
      <c r="A67" s="75"/>
      <c r="B67" s="76">
        <v>533</v>
      </c>
      <c r="C67" s="77">
        <v>220103010605</v>
      </c>
      <c r="D67" s="78" t="s">
        <v>25</v>
      </c>
      <c r="E67" s="79" t="s">
        <v>12</v>
      </c>
      <c r="F67" s="80">
        <v>29.35</v>
      </c>
      <c r="G67" s="50">
        <v>2962.63121105285</v>
      </c>
      <c r="H67" s="82">
        <f t="shared" si="6"/>
        <v>86953.2260444011</v>
      </c>
    </row>
    <row r="68" spans="1:8">
      <c r="A68" s="75"/>
      <c r="B68" s="76">
        <v>534</v>
      </c>
      <c r="C68" s="77">
        <v>22010301060501</v>
      </c>
      <c r="D68" s="78" t="s">
        <v>27</v>
      </c>
      <c r="E68" s="79" t="s">
        <v>16</v>
      </c>
      <c r="F68" s="80">
        <v>721.96</v>
      </c>
      <c r="G68" s="82">
        <f>H67/F68</f>
        <v>120.440503690511</v>
      </c>
      <c r="H68" s="82">
        <f t="shared" si="6"/>
        <v>86953.2260444011</v>
      </c>
    </row>
    <row r="69" spans="1:8">
      <c r="A69" s="75"/>
      <c r="B69" s="76">
        <v>535</v>
      </c>
      <c r="C69" s="78" t="s">
        <v>56</v>
      </c>
      <c r="D69" s="78" t="s">
        <v>29</v>
      </c>
      <c r="E69" s="79" t="s">
        <v>16</v>
      </c>
      <c r="F69" s="80">
        <v>11.88</v>
      </c>
      <c r="G69" s="82">
        <f>H69/F69</f>
        <v>212.259558525895</v>
      </c>
      <c r="H69" s="82">
        <f>0.029*H68</f>
        <v>2521.64355528763</v>
      </c>
    </row>
    <row r="70" spans="1:8">
      <c r="A70" s="75"/>
      <c r="B70" s="76">
        <v>536</v>
      </c>
      <c r="C70" s="78" t="s">
        <v>57</v>
      </c>
      <c r="D70" s="78" t="s">
        <v>31</v>
      </c>
      <c r="E70" s="79" t="s">
        <v>16</v>
      </c>
      <c r="F70" s="80">
        <v>11.88</v>
      </c>
      <c r="G70" s="82">
        <f>G69</f>
        <v>212.259558525895</v>
      </c>
      <c r="H70" s="82">
        <f>G70*F70</f>
        <v>2521.64355528763</v>
      </c>
    </row>
    <row r="71" spans="1:8">
      <c r="A71" s="75"/>
      <c r="B71" s="76">
        <v>537</v>
      </c>
      <c r="C71" s="78" t="s">
        <v>58</v>
      </c>
      <c r="D71" s="78" t="s">
        <v>33</v>
      </c>
      <c r="E71" s="79" t="s">
        <v>16</v>
      </c>
      <c r="F71" s="80">
        <v>710.08</v>
      </c>
      <c r="G71" s="82">
        <f>H71/F71</f>
        <v>118.904324145327</v>
      </c>
      <c r="H71" s="82">
        <f>H68-H70</f>
        <v>84431.5824891135</v>
      </c>
    </row>
    <row r="72" spans="1:8">
      <c r="A72" s="75"/>
      <c r="B72" s="76">
        <v>1183</v>
      </c>
      <c r="C72" s="77">
        <v>22030323</v>
      </c>
      <c r="D72" s="78" t="s">
        <v>59</v>
      </c>
      <c r="E72" s="79" t="s">
        <v>12</v>
      </c>
      <c r="F72" s="80">
        <f>F73</f>
        <v>26.09</v>
      </c>
      <c r="G72" s="82"/>
      <c r="H72" s="82">
        <v>2281.71</v>
      </c>
    </row>
    <row r="73" ht="28" spans="1:8">
      <c r="A73" s="75"/>
      <c r="B73" s="76">
        <v>1187</v>
      </c>
      <c r="C73" s="77">
        <v>2203032305</v>
      </c>
      <c r="D73" s="78" t="s">
        <v>236</v>
      </c>
      <c r="E73" s="79" t="s">
        <v>12</v>
      </c>
      <c r="F73" s="80">
        <v>26.09</v>
      </c>
      <c r="G73" s="82">
        <v>87.45</v>
      </c>
      <c r="H73" s="82">
        <v>2281.71</v>
      </c>
    </row>
    <row r="74" spans="1:8">
      <c r="A74" s="75" t="s">
        <v>237</v>
      </c>
      <c r="B74" s="76">
        <v>524</v>
      </c>
      <c r="C74" s="77">
        <v>22010301</v>
      </c>
      <c r="D74" s="78" t="s">
        <v>238</v>
      </c>
      <c r="E74" s="79" t="s">
        <v>12</v>
      </c>
      <c r="F74" s="80">
        <f>F75</f>
        <v>26.09</v>
      </c>
      <c r="G74" s="82"/>
      <c r="H74" s="81">
        <f>H76+H79+H81+H82+H83</f>
        <v>236992.323266752</v>
      </c>
    </row>
    <row r="75" spans="1:8">
      <c r="A75" s="75"/>
      <c r="B75" s="76">
        <v>525</v>
      </c>
      <c r="C75" s="77">
        <v>2201030106</v>
      </c>
      <c r="D75" s="78" t="s">
        <v>63</v>
      </c>
      <c r="E75" s="79" t="s">
        <v>12</v>
      </c>
      <c r="F75" s="80">
        <v>26.09</v>
      </c>
      <c r="G75" s="82">
        <f t="shared" ref="G75:G78" si="7">H75/F75</f>
        <v>9083.64596652941</v>
      </c>
      <c r="H75" s="82">
        <f>H74</f>
        <v>236992.323266752</v>
      </c>
    </row>
    <row r="76" spans="1:8">
      <c r="A76" s="75"/>
      <c r="B76" s="76">
        <v>526</v>
      </c>
      <c r="C76" s="77">
        <v>220103010601</v>
      </c>
      <c r="D76" s="78" t="s">
        <v>13</v>
      </c>
      <c r="E76" s="79" t="s">
        <v>12</v>
      </c>
      <c r="F76" s="80">
        <v>26.09</v>
      </c>
      <c r="G76" s="50">
        <v>2003.77880519645</v>
      </c>
      <c r="H76" s="82">
        <f t="shared" ref="H76:H84" si="8">G76*F76</f>
        <v>52278.5890275753</v>
      </c>
    </row>
    <row r="77" spans="1:8">
      <c r="A77" s="75"/>
      <c r="B77" s="76">
        <v>527</v>
      </c>
      <c r="C77" s="77">
        <v>22010301060101</v>
      </c>
      <c r="D77" s="78" t="s">
        <v>15</v>
      </c>
      <c r="E77" s="79" t="s">
        <v>16</v>
      </c>
      <c r="F77" s="80">
        <v>0.5304</v>
      </c>
      <c r="G77" s="82">
        <f t="shared" si="7"/>
        <v>364.688498118455</v>
      </c>
      <c r="H77" s="82">
        <f>0.0037*H76</f>
        <v>193.430779402029</v>
      </c>
    </row>
    <row r="78" spans="1:8">
      <c r="A78" s="75"/>
      <c r="B78" s="76">
        <v>528</v>
      </c>
      <c r="C78" s="77">
        <v>22010301060102</v>
      </c>
      <c r="D78" s="78" t="s">
        <v>18</v>
      </c>
      <c r="E78" s="79" t="s">
        <v>19</v>
      </c>
      <c r="F78" s="80">
        <v>18.7075</v>
      </c>
      <c r="G78" s="82">
        <f t="shared" si="7"/>
        <v>2784.18592800605</v>
      </c>
      <c r="H78" s="82">
        <f>H76-H77</f>
        <v>52085.1582481733</v>
      </c>
    </row>
    <row r="79" spans="1:8">
      <c r="A79" s="75"/>
      <c r="B79" s="76">
        <v>529</v>
      </c>
      <c r="C79" s="77">
        <v>220103010602</v>
      </c>
      <c r="D79" s="78" t="s">
        <v>20</v>
      </c>
      <c r="E79" s="79" t="s">
        <v>12</v>
      </c>
      <c r="F79" s="80">
        <v>26.09</v>
      </c>
      <c r="G79" s="50">
        <v>1413.83736086286</v>
      </c>
      <c r="H79" s="82">
        <f t="shared" si="8"/>
        <v>36887.0167449119</v>
      </c>
    </row>
    <row r="80" spans="1:8">
      <c r="A80" s="75"/>
      <c r="B80" s="76">
        <v>530</v>
      </c>
      <c r="C80" s="77">
        <v>22010301060202</v>
      </c>
      <c r="D80" s="78" t="s">
        <v>22</v>
      </c>
      <c r="E80" s="79" t="s">
        <v>12</v>
      </c>
      <c r="F80" s="80">
        <v>26.09</v>
      </c>
      <c r="G80" s="82">
        <f>H79/F80</f>
        <v>1413.83736086286</v>
      </c>
      <c r="H80" s="82">
        <f t="shared" si="8"/>
        <v>36887.0167449119</v>
      </c>
    </row>
    <row r="81" spans="1:8">
      <c r="A81" s="75"/>
      <c r="B81" s="76">
        <v>531</v>
      </c>
      <c r="C81" s="77">
        <v>220103010603</v>
      </c>
      <c r="D81" s="78" t="s">
        <v>23</v>
      </c>
      <c r="E81" s="79" t="s">
        <v>12</v>
      </c>
      <c r="F81" s="80">
        <v>26.09</v>
      </c>
      <c r="G81" s="50">
        <v>2107.49578158714</v>
      </c>
      <c r="H81" s="82">
        <f t="shared" si="8"/>
        <v>54984.5649416085</v>
      </c>
    </row>
    <row r="82" spans="1:8">
      <c r="A82" s="75"/>
      <c r="B82" s="76">
        <v>532</v>
      </c>
      <c r="C82" s="77">
        <v>220103010604</v>
      </c>
      <c r="D82" s="78" t="s">
        <v>24</v>
      </c>
      <c r="E82" s="79" t="s">
        <v>12</v>
      </c>
      <c r="F82" s="80">
        <v>26.09</v>
      </c>
      <c r="G82" s="50">
        <v>225.715849300707</v>
      </c>
      <c r="H82" s="82">
        <f t="shared" si="8"/>
        <v>5888.92650825544</v>
      </c>
    </row>
    <row r="83" spans="1:8">
      <c r="A83" s="75"/>
      <c r="B83" s="76">
        <v>533</v>
      </c>
      <c r="C83" s="77">
        <v>220103010605</v>
      </c>
      <c r="D83" s="78" t="s">
        <v>25</v>
      </c>
      <c r="E83" s="79" t="s">
        <v>12</v>
      </c>
      <c r="F83" s="80">
        <v>29.35</v>
      </c>
      <c r="G83" s="50">
        <v>2962.63121105285</v>
      </c>
      <c r="H83" s="82">
        <f t="shared" si="8"/>
        <v>86953.2260444011</v>
      </c>
    </row>
    <row r="84" spans="1:8">
      <c r="A84" s="75"/>
      <c r="B84" s="76">
        <v>534</v>
      </c>
      <c r="C84" s="77">
        <v>22010301060501</v>
      </c>
      <c r="D84" s="78" t="s">
        <v>27</v>
      </c>
      <c r="E84" s="79" t="s">
        <v>16</v>
      </c>
      <c r="F84" s="80">
        <v>721.96</v>
      </c>
      <c r="G84" s="82">
        <f>H83/F84</f>
        <v>120.440503690511</v>
      </c>
      <c r="H84" s="82">
        <f t="shared" si="8"/>
        <v>86953.2260444011</v>
      </c>
    </row>
    <row r="85" spans="1:8">
      <c r="A85" s="75"/>
      <c r="B85" s="76">
        <v>535</v>
      </c>
      <c r="C85" s="78" t="s">
        <v>56</v>
      </c>
      <c r="D85" s="78" t="s">
        <v>29</v>
      </c>
      <c r="E85" s="79" t="s">
        <v>16</v>
      </c>
      <c r="F85" s="80">
        <v>11.88</v>
      </c>
      <c r="G85" s="82">
        <f>H85/F85</f>
        <v>212.259558525895</v>
      </c>
      <c r="H85" s="82">
        <f>0.029*H84</f>
        <v>2521.64355528763</v>
      </c>
    </row>
    <row r="86" spans="1:8">
      <c r="A86" s="75"/>
      <c r="B86" s="76">
        <v>536</v>
      </c>
      <c r="C86" s="78" t="s">
        <v>57</v>
      </c>
      <c r="D86" s="78" t="s">
        <v>31</v>
      </c>
      <c r="E86" s="79" t="s">
        <v>16</v>
      </c>
      <c r="F86" s="80">
        <v>11.88</v>
      </c>
      <c r="G86" s="82">
        <f>G85</f>
        <v>212.259558525895</v>
      </c>
      <c r="H86" s="82">
        <f>G86*F86</f>
        <v>2521.64355528763</v>
      </c>
    </row>
    <row r="87" spans="1:8">
      <c r="A87" s="75"/>
      <c r="B87" s="76">
        <v>537</v>
      </c>
      <c r="C87" s="78" t="s">
        <v>58</v>
      </c>
      <c r="D87" s="78" t="s">
        <v>33</v>
      </c>
      <c r="E87" s="79" t="s">
        <v>16</v>
      </c>
      <c r="F87" s="80">
        <v>710.08</v>
      </c>
      <c r="G87" s="82">
        <f>H87/F87</f>
        <v>118.904324145327</v>
      </c>
      <c r="H87" s="82">
        <f>H84-H86</f>
        <v>84431.5824891135</v>
      </c>
    </row>
    <row r="88" spans="1:8">
      <c r="A88" s="75"/>
      <c r="B88" s="76">
        <v>1183</v>
      </c>
      <c r="C88" s="77">
        <v>22030323</v>
      </c>
      <c r="D88" s="78" t="s">
        <v>59</v>
      </c>
      <c r="E88" s="79" t="s">
        <v>12</v>
      </c>
      <c r="F88" s="80">
        <f>F89</f>
        <v>26.09</v>
      </c>
      <c r="G88" s="82"/>
      <c r="H88" s="82">
        <v>2281.71</v>
      </c>
    </row>
    <row r="89" ht="28" spans="1:8">
      <c r="A89" s="75"/>
      <c r="B89" s="76">
        <v>1187</v>
      </c>
      <c r="C89" s="77">
        <v>2203032305</v>
      </c>
      <c r="D89" s="78" t="s">
        <v>239</v>
      </c>
      <c r="E89" s="79" t="s">
        <v>12</v>
      </c>
      <c r="F89" s="80">
        <v>26.09</v>
      </c>
      <c r="G89" s="82">
        <v>87.45</v>
      </c>
      <c r="H89" s="82">
        <v>2281.71</v>
      </c>
    </row>
    <row r="90" spans="1:8">
      <c r="A90" s="75" t="s">
        <v>240</v>
      </c>
      <c r="B90" s="76">
        <v>524</v>
      </c>
      <c r="C90" s="77">
        <v>22010301</v>
      </c>
      <c r="D90" s="78" t="s">
        <v>241</v>
      </c>
      <c r="E90" s="79" t="s">
        <v>12</v>
      </c>
      <c r="F90" s="80">
        <f>F91</f>
        <v>26.09</v>
      </c>
      <c r="G90" s="82"/>
      <c r="H90" s="81">
        <f>H92+H95+H97+H98+H99</f>
        <v>236992.323266752</v>
      </c>
    </row>
    <row r="91" spans="1:8">
      <c r="A91" s="75"/>
      <c r="B91" s="76">
        <v>525</v>
      </c>
      <c r="C91" s="77">
        <v>2201030106</v>
      </c>
      <c r="D91" s="78" t="s">
        <v>63</v>
      </c>
      <c r="E91" s="79" t="s">
        <v>12</v>
      </c>
      <c r="F91" s="80">
        <v>26.09</v>
      </c>
      <c r="G91" s="82">
        <f t="shared" ref="G91:G94" si="9">H91/F91</f>
        <v>9083.64596652941</v>
      </c>
      <c r="H91" s="82">
        <f>H90</f>
        <v>236992.323266752</v>
      </c>
    </row>
    <row r="92" spans="1:8">
      <c r="A92" s="75"/>
      <c r="B92" s="76">
        <v>526</v>
      </c>
      <c r="C92" s="77">
        <v>220103010601</v>
      </c>
      <c r="D92" s="78" t="s">
        <v>13</v>
      </c>
      <c r="E92" s="79" t="s">
        <v>12</v>
      </c>
      <c r="F92" s="80">
        <v>26.09</v>
      </c>
      <c r="G92" s="50">
        <v>2003.77880519645</v>
      </c>
      <c r="H92" s="82">
        <f t="shared" ref="H92:H100" si="10">G92*F92</f>
        <v>52278.5890275753</v>
      </c>
    </row>
    <row r="93" spans="1:8">
      <c r="A93" s="75"/>
      <c r="B93" s="76">
        <v>527</v>
      </c>
      <c r="C93" s="77">
        <v>22010301060101</v>
      </c>
      <c r="D93" s="78" t="s">
        <v>15</v>
      </c>
      <c r="E93" s="79" t="s">
        <v>16</v>
      </c>
      <c r="F93" s="80">
        <v>0.5304</v>
      </c>
      <c r="G93" s="82">
        <f t="shared" si="9"/>
        <v>364.688498118455</v>
      </c>
      <c r="H93" s="82">
        <f>0.0037*H92</f>
        <v>193.430779402029</v>
      </c>
    </row>
    <row r="94" spans="1:8">
      <c r="A94" s="75"/>
      <c r="B94" s="76">
        <v>528</v>
      </c>
      <c r="C94" s="77">
        <v>22010301060102</v>
      </c>
      <c r="D94" s="78" t="s">
        <v>18</v>
      </c>
      <c r="E94" s="79" t="s">
        <v>19</v>
      </c>
      <c r="F94" s="80">
        <v>18.7075</v>
      </c>
      <c r="G94" s="82">
        <f t="shared" si="9"/>
        <v>2784.18592800605</v>
      </c>
      <c r="H94" s="82">
        <f>H92-H93</f>
        <v>52085.1582481733</v>
      </c>
    </row>
    <row r="95" spans="1:8">
      <c r="A95" s="75"/>
      <c r="B95" s="76">
        <v>529</v>
      </c>
      <c r="C95" s="77">
        <v>220103010602</v>
      </c>
      <c r="D95" s="78" t="s">
        <v>20</v>
      </c>
      <c r="E95" s="79" t="s">
        <v>12</v>
      </c>
      <c r="F95" s="80">
        <v>26.09</v>
      </c>
      <c r="G95" s="50">
        <v>1413.83736086286</v>
      </c>
      <c r="H95" s="82">
        <f t="shared" si="10"/>
        <v>36887.0167449119</v>
      </c>
    </row>
    <row r="96" spans="1:8">
      <c r="A96" s="75"/>
      <c r="B96" s="76">
        <v>530</v>
      </c>
      <c r="C96" s="77">
        <v>22010301060202</v>
      </c>
      <c r="D96" s="78" t="s">
        <v>22</v>
      </c>
      <c r="E96" s="79" t="s">
        <v>12</v>
      </c>
      <c r="F96" s="80">
        <v>26.09</v>
      </c>
      <c r="G96" s="82">
        <f>H95/F96</f>
        <v>1413.83736086286</v>
      </c>
      <c r="H96" s="82">
        <f t="shared" si="10"/>
        <v>36887.0167449119</v>
      </c>
    </row>
    <row r="97" spans="1:8">
      <c r="A97" s="75"/>
      <c r="B97" s="76">
        <v>531</v>
      </c>
      <c r="C97" s="77">
        <v>220103010603</v>
      </c>
      <c r="D97" s="78" t="s">
        <v>23</v>
      </c>
      <c r="E97" s="79" t="s">
        <v>12</v>
      </c>
      <c r="F97" s="80">
        <v>26.09</v>
      </c>
      <c r="G97" s="50">
        <v>2107.49578158714</v>
      </c>
      <c r="H97" s="82">
        <f t="shared" si="10"/>
        <v>54984.5649416085</v>
      </c>
    </row>
    <row r="98" spans="1:8">
      <c r="A98" s="75"/>
      <c r="B98" s="76">
        <v>532</v>
      </c>
      <c r="C98" s="77">
        <v>220103010604</v>
      </c>
      <c r="D98" s="78" t="s">
        <v>24</v>
      </c>
      <c r="E98" s="79" t="s">
        <v>12</v>
      </c>
      <c r="F98" s="80">
        <v>26.09</v>
      </c>
      <c r="G98" s="50">
        <v>225.715849300707</v>
      </c>
      <c r="H98" s="82">
        <f t="shared" si="10"/>
        <v>5888.92650825544</v>
      </c>
    </row>
    <row r="99" spans="1:8">
      <c r="A99" s="75"/>
      <c r="B99" s="76">
        <v>533</v>
      </c>
      <c r="C99" s="77">
        <v>220103010605</v>
      </c>
      <c r="D99" s="78" t="s">
        <v>25</v>
      </c>
      <c r="E99" s="79" t="s">
        <v>12</v>
      </c>
      <c r="F99" s="80">
        <v>29.35</v>
      </c>
      <c r="G99" s="50">
        <v>2962.63121105285</v>
      </c>
      <c r="H99" s="82">
        <f t="shared" si="10"/>
        <v>86953.2260444011</v>
      </c>
    </row>
    <row r="100" spans="1:8">
      <c r="A100" s="75"/>
      <c r="B100" s="76">
        <v>534</v>
      </c>
      <c r="C100" s="77">
        <v>22010301060501</v>
      </c>
      <c r="D100" s="78" t="s">
        <v>27</v>
      </c>
      <c r="E100" s="79" t="s">
        <v>16</v>
      </c>
      <c r="F100" s="80">
        <v>721.96</v>
      </c>
      <c r="G100" s="82">
        <f>H99/F100</f>
        <v>120.440503690511</v>
      </c>
      <c r="H100" s="82">
        <f t="shared" si="10"/>
        <v>86953.2260444011</v>
      </c>
    </row>
    <row r="101" spans="1:8">
      <c r="A101" s="75"/>
      <c r="B101" s="76">
        <v>535</v>
      </c>
      <c r="C101" s="78" t="s">
        <v>56</v>
      </c>
      <c r="D101" s="78" t="s">
        <v>29</v>
      </c>
      <c r="E101" s="79" t="s">
        <v>16</v>
      </c>
      <c r="F101" s="80">
        <v>11.88</v>
      </c>
      <c r="G101" s="82">
        <f>H101/F101</f>
        <v>212.259558525895</v>
      </c>
      <c r="H101" s="82">
        <f>0.029*H100</f>
        <v>2521.64355528763</v>
      </c>
    </row>
    <row r="102" spans="1:8">
      <c r="A102" s="75"/>
      <c r="B102" s="76">
        <v>536</v>
      </c>
      <c r="C102" s="78" t="s">
        <v>57</v>
      </c>
      <c r="D102" s="78" t="s">
        <v>31</v>
      </c>
      <c r="E102" s="79" t="s">
        <v>16</v>
      </c>
      <c r="F102" s="80">
        <v>11.88</v>
      </c>
      <c r="G102" s="82">
        <f>G101</f>
        <v>212.259558525895</v>
      </c>
      <c r="H102" s="82">
        <f>G102*F102</f>
        <v>2521.64355528763</v>
      </c>
    </row>
    <row r="103" spans="1:8">
      <c r="A103" s="75"/>
      <c r="B103" s="76">
        <v>537</v>
      </c>
      <c r="C103" s="78" t="s">
        <v>58</v>
      </c>
      <c r="D103" s="78" t="s">
        <v>33</v>
      </c>
      <c r="E103" s="79" t="s">
        <v>16</v>
      </c>
      <c r="F103" s="80">
        <v>710.08</v>
      </c>
      <c r="G103" s="82">
        <f>H103/F103</f>
        <v>118.904324145327</v>
      </c>
      <c r="H103" s="82">
        <f>H100-H102</f>
        <v>84431.5824891135</v>
      </c>
    </row>
    <row r="104" spans="1:8">
      <c r="A104" s="75"/>
      <c r="B104" s="76">
        <v>1183</v>
      </c>
      <c r="C104" s="77">
        <v>22030323</v>
      </c>
      <c r="D104" s="78" t="s">
        <v>59</v>
      </c>
      <c r="E104" s="79" t="s">
        <v>12</v>
      </c>
      <c r="F104" s="80">
        <f>F105</f>
        <v>26.09</v>
      </c>
      <c r="G104" s="82"/>
      <c r="H104" s="82">
        <v>2281.71</v>
      </c>
    </row>
    <row r="105" ht="28" spans="1:8">
      <c r="A105" s="75"/>
      <c r="B105" s="76">
        <v>1187</v>
      </c>
      <c r="C105" s="77">
        <v>2203032305</v>
      </c>
      <c r="D105" s="78" t="s">
        <v>242</v>
      </c>
      <c r="E105" s="79" t="s">
        <v>12</v>
      </c>
      <c r="F105" s="80">
        <v>26.09</v>
      </c>
      <c r="G105" s="82">
        <v>87.45</v>
      </c>
      <c r="H105" s="82">
        <v>2281.71</v>
      </c>
    </row>
    <row r="106" spans="1:8">
      <c r="A106" s="75" t="s">
        <v>243</v>
      </c>
      <c r="B106" s="76">
        <v>719</v>
      </c>
      <c r="C106" s="77">
        <v>2201030613</v>
      </c>
      <c r="D106" s="78" t="s">
        <v>66</v>
      </c>
      <c r="E106" s="79" t="s">
        <v>12</v>
      </c>
      <c r="F106" s="80">
        <f>F107</f>
        <v>27.42</v>
      </c>
      <c r="G106" s="82"/>
      <c r="H106" s="81">
        <f>H107+H110+H112+H113+H114</f>
        <v>230010.53694336</v>
      </c>
    </row>
    <row r="107" spans="1:8">
      <c r="A107" s="75"/>
      <c r="B107" s="76">
        <v>720</v>
      </c>
      <c r="C107" s="77">
        <v>220103061301</v>
      </c>
      <c r="D107" s="78" t="s">
        <v>13</v>
      </c>
      <c r="E107" s="79" t="s">
        <v>12</v>
      </c>
      <c r="F107" s="80">
        <v>27.42</v>
      </c>
      <c r="G107" s="50">
        <v>1747.02483680591</v>
      </c>
      <c r="H107" s="82">
        <f>G107*F107</f>
        <v>47903.421025218</v>
      </c>
    </row>
    <row r="108" spans="1:8">
      <c r="A108" s="75"/>
      <c r="B108" s="76">
        <v>721</v>
      </c>
      <c r="C108" s="77">
        <v>22010306130101</v>
      </c>
      <c r="D108" s="78" t="s">
        <v>15</v>
      </c>
      <c r="E108" s="79" t="s">
        <v>16</v>
      </c>
      <c r="F108" s="80">
        <v>0.42</v>
      </c>
      <c r="G108" s="82">
        <f>H108/F108</f>
        <v>342.167293037272</v>
      </c>
      <c r="H108" s="82">
        <f>H107*0.003</f>
        <v>143.710263075654</v>
      </c>
    </row>
    <row r="109" spans="1:8">
      <c r="A109" s="75"/>
      <c r="B109" s="76">
        <v>722</v>
      </c>
      <c r="C109" s="77">
        <v>22010306130102</v>
      </c>
      <c r="D109" s="78" t="s">
        <v>18</v>
      </c>
      <c r="E109" s="79" t="s">
        <v>19</v>
      </c>
      <c r="F109" s="80">
        <v>17.94</v>
      </c>
      <c r="G109" s="82">
        <f>H109/F109</f>
        <v>2662.19123534796</v>
      </c>
      <c r="H109" s="82">
        <f>H107-H108</f>
        <v>47759.7107621424</v>
      </c>
    </row>
    <row r="110" spans="1:8">
      <c r="A110" s="75"/>
      <c r="B110" s="76">
        <v>723</v>
      </c>
      <c r="C110" s="77">
        <v>220103061302</v>
      </c>
      <c r="D110" s="78" t="s">
        <v>20</v>
      </c>
      <c r="E110" s="79" t="s">
        <v>12</v>
      </c>
      <c r="F110" s="80">
        <v>27.42</v>
      </c>
      <c r="G110" s="50">
        <v>1165.7639930428</v>
      </c>
      <c r="H110" s="82">
        <f t="shared" ref="H110:H115" si="11">G110*F110</f>
        <v>31965.2486892335</v>
      </c>
    </row>
    <row r="111" spans="1:8">
      <c r="A111" s="75"/>
      <c r="B111" s="76">
        <v>724</v>
      </c>
      <c r="C111" s="77">
        <v>22010306130202</v>
      </c>
      <c r="D111" s="78" t="s">
        <v>22</v>
      </c>
      <c r="E111" s="79" t="s">
        <v>12</v>
      </c>
      <c r="F111" s="80">
        <v>27.42</v>
      </c>
      <c r="G111" s="82">
        <v>1214.33749275291</v>
      </c>
      <c r="H111" s="82">
        <f t="shared" si="11"/>
        <v>33297.1340512849</v>
      </c>
    </row>
    <row r="112" spans="1:8">
      <c r="A112" s="75"/>
      <c r="B112" s="76">
        <v>725</v>
      </c>
      <c r="C112" s="77">
        <v>220103061303</v>
      </c>
      <c r="D112" s="78" t="s">
        <v>23</v>
      </c>
      <c r="E112" s="79" t="s">
        <v>12</v>
      </c>
      <c r="F112" s="80">
        <v>27.42</v>
      </c>
      <c r="G112" s="50">
        <v>1910.03896960943</v>
      </c>
      <c r="H112" s="82">
        <f t="shared" si="11"/>
        <v>52373.2685466906</v>
      </c>
    </row>
    <row r="113" spans="1:8">
      <c r="A113" s="75"/>
      <c r="B113" s="76">
        <v>726</v>
      </c>
      <c r="C113" s="77">
        <v>220103061304</v>
      </c>
      <c r="D113" s="78" t="s">
        <v>24</v>
      </c>
      <c r="E113" s="79" t="s">
        <v>12</v>
      </c>
      <c r="F113" s="80">
        <v>27.42</v>
      </c>
      <c r="G113" s="50">
        <v>215.05153124277</v>
      </c>
      <c r="H113" s="82">
        <f t="shared" si="11"/>
        <v>5896.71298667675</v>
      </c>
    </row>
    <row r="114" spans="1:8">
      <c r="A114" s="75"/>
      <c r="B114" s="76">
        <v>727</v>
      </c>
      <c r="C114" s="77">
        <v>220103061305</v>
      </c>
      <c r="D114" s="78" t="s">
        <v>25</v>
      </c>
      <c r="E114" s="79" t="s">
        <v>12</v>
      </c>
      <c r="F114" s="80">
        <v>27.42</v>
      </c>
      <c r="G114" s="50">
        <v>3350.54287729909</v>
      </c>
      <c r="H114" s="82">
        <f t="shared" si="11"/>
        <v>91871.8856955412</v>
      </c>
    </row>
    <row r="115" spans="1:8">
      <c r="A115" s="75"/>
      <c r="B115" s="76">
        <v>728</v>
      </c>
      <c r="C115" s="77">
        <v>22010306130501</v>
      </c>
      <c r="D115" s="78" t="s">
        <v>27</v>
      </c>
      <c r="E115" s="79" t="s">
        <v>16</v>
      </c>
      <c r="F115" s="80">
        <v>802.04</v>
      </c>
      <c r="G115" s="82">
        <f>H114/F115</f>
        <v>114.547760330583</v>
      </c>
      <c r="H115" s="82">
        <f t="shared" si="11"/>
        <v>91871.8856955412</v>
      </c>
    </row>
    <row r="116" spans="1:8">
      <c r="A116" s="75"/>
      <c r="B116" s="76">
        <v>729</v>
      </c>
      <c r="C116" s="78" t="s">
        <v>67</v>
      </c>
      <c r="D116" s="78" t="s">
        <v>29</v>
      </c>
      <c r="E116" s="79" t="s">
        <v>16</v>
      </c>
      <c r="F116" s="80">
        <v>9.29</v>
      </c>
      <c r="G116" s="82">
        <f>H116/F116</f>
        <v>197.786621518926</v>
      </c>
      <c r="H116" s="82">
        <f>0.02*H115</f>
        <v>1837.43771391082</v>
      </c>
    </row>
    <row r="117" spans="1:8">
      <c r="A117" s="75"/>
      <c r="B117" s="76">
        <v>730</v>
      </c>
      <c r="C117" s="78" t="s">
        <v>68</v>
      </c>
      <c r="D117" s="78" t="s">
        <v>31</v>
      </c>
      <c r="E117" s="79" t="s">
        <v>16</v>
      </c>
      <c r="F117" s="80">
        <v>9.29</v>
      </c>
      <c r="G117" s="82">
        <f>G116</f>
        <v>197.786621518926</v>
      </c>
      <c r="H117" s="82">
        <f>H116</f>
        <v>1837.43771391082</v>
      </c>
    </row>
    <row r="118" spans="1:8">
      <c r="A118" s="75"/>
      <c r="B118" s="76">
        <v>731</v>
      </c>
      <c r="C118" s="78" t="s">
        <v>69</v>
      </c>
      <c r="D118" s="78" t="s">
        <v>33</v>
      </c>
      <c r="E118" s="79" t="s">
        <v>16</v>
      </c>
      <c r="F118" s="80">
        <v>792.74</v>
      </c>
      <c r="G118" s="82">
        <f>H118/F118</f>
        <v>113.573741682809</v>
      </c>
      <c r="H118" s="82">
        <f>H115-H117</f>
        <v>90034.4479816304</v>
      </c>
    </row>
    <row r="119" spans="1:8">
      <c r="A119" s="75"/>
      <c r="B119" s="76">
        <v>1183</v>
      </c>
      <c r="C119" s="77">
        <v>22030323</v>
      </c>
      <c r="D119" s="78" t="s">
        <v>59</v>
      </c>
      <c r="E119" s="79" t="s">
        <v>12</v>
      </c>
      <c r="F119" s="80">
        <v>2284.82</v>
      </c>
      <c r="G119" s="82"/>
      <c r="H119" s="82">
        <v>1983.05</v>
      </c>
    </row>
    <row r="120" spans="1:8">
      <c r="A120" s="75"/>
      <c r="B120" s="76">
        <v>1185</v>
      </c>
      <c r="C120" s="77">
        <v>2203032303</v>
      </c>
      <c r="D120" s="78" t="s">
        <v>70</v>
      </c>
      <c r="E120" s="79" t="s">
        <v>12</v>
      </c>
      <c r="F120" s="80">
        <v>27.42</v>
      </c>
      <c r="G120" s="82">
        <v>72.31</v>
      </c>
      <c r="H120" s="82">
        <v>1983.05</v>
      </c>
    </row>
    <row r="121" ht="28" spans="1:8">
      <c r="A121" s="75" t="s">
        <v>244</v>
      </c>
      <c r="B121" s="79">
        <v>893</v>
      </c>
      <c r="C121" s="115">
        <v>220103090219</v>
      </c>
      <c r="D121" s="78" t="s">
        <v>245</v>
      </c>
      <c r="E121" s="79" t="s">
        <v>12</v>
      </c>
      <c r="F121" s="116">
        <v>14.05</v>
      </c>
      <c r="G121" s="82"/>
      <c r="H121" s="81">
        <f>H122+H125+H127+H128+H129</f>
        <v>226147.83336</v>
      </c>
    </row>
    <row r="122" spans="1:8">
      <c r="A122" s="75"/>
      <c r="B122" s="79">
        <v>894</v>
      </c>
      <c r="C122" s="115">
        <v>22010309021901</v>
      </c>
      <c r="D122" s="78" t="s">
        <v>13</v>
      </c>
      <c r="E122" s="79" t="s">
        <v>12</v>
      </c>
      <c r="F122" s="116">
        <v>14.05</v>
      </c>
      <c r="G122" s="50">
        <v>4020.32766561512</v>
      </c>
      <c r="H122" s="82">
        <f>G122*F122</f>
        <v>56485.6037018924</v>
      </c>
    </row>
    <row r="123" spans="1:8">
      <c r="A123" s="75"/>
      <c r="B123" s="79">
        <v>895</v>
      </c>
      <c r="C123" s="78" t="s">
        <v>246</v>
      </c>
      <c r="D123" s="78" t="s">
        <v>15</v>
      </c>
      <c r="E123" s="79" t="s">
        <v>16</v>
      </c>
      <c r="F123" s="116">
        <v>0.38</v>
      </c>
      <c r="G123" s="82">
        <f>H123/F123</f>
        <v>34188.654872198</v>
      </c>
      <c r="H123" s="82">
        <f>0.23*H122</f>
        <v>12991.6888514353</v>
      </c>
    </row>
    <row r="124" spans="1:8">
      <c r="A124" s="75"/>
      <c r="B124" s="79">
        <v>896</v>
      </c>
      <c r="C124" s="78" t="s">
        <v>247</v>
      </c>
      <c r="D124" s="78" t="s">
        <v>18</v>
      </c>
      <c r="E124" s="79" t="s">
        <v>19</v>
      </c>
      <c r="F124" s="116">
        <v>17.8</v>
      </c>
      <c r="G124" s="82">
        <f>H124/F124</f>
        <v>2443.47836238523</v>
      </c>
      <c r="H124" s="82">
        <f>H122-H123</f>
        <v>43493.9148504571</v>
      </c>
    </row>
    <row r="125" spans="1:8">
      <c r="A125" s="75"/>
      <c r="B125" s="79">
        <v>897</v>
      </c>
      <c r="C125" s="115">
        <v>22010309021902</v>
      </c>
      <c r="D125" s="78" t="s">
        <v>20</v>
      </c>
      <c r="E125" s="79" t="s">
        <v>12</v>
      </c>
      <c r="F125" s="116">
        <v>14.05</v>
      </c>
      <c r="G125" s="50">
        <v>1041.59057255177</v>
      </c>
      <c r="H125" s="82">
        <f t="shared" ref="H125:H130" si="12">G125*F125</f>
        <v>14634.3475443523</v>
      </c>
    </row>
    <row r="126" spans="1:8">
      <c r="A126" s="75"/>
      <c r="B126" s="79">
        <v>898</v>
      </c>
      <c r="C126" s="78" t="s">
        <v>248</v>
      </c>
      <c r="D126" s="78" t="s">
        <v>22</v>
      </c>
      <c r="E126" s="79" t="s">
        <v>12</v>
      </c>
      <c r="F126" s="116">
        <v>14.05</v>
      </c>
      <c r="G126" s="82">
        <f>H125/F126</f>
        <v>1041.59057255177</v>
      </c>
      <c r="H126" s="82">
        <f t="shared" si="12"/>
        <v>14634.3475443523</v>
      </c>
    </row>
    <row r="127" spans="1:8">
      <c r="A127" s="75"/>
      <c r="B127" s="79">
        <v>899</v>
      </c>
      <c r="C127" s="115">
        <v>22010309021903</v>
      </c>
      <c r="D127" s="78" t="s">
        <v>23</v>
      </c>
      <c r="E127" s="79" t="s">
        <v>12</v>
      </c>
      <c r="F127" s="116">
        <v>14.05</v>
      </c>
      <c r="G127" s="50">
        <v>3568.44633639145</v>
      </c>
      <c r="H127" s="82">
        <f t="shared" si="12"/>
        <v>50136.6710262998</v>
      </c>
    </row>
    <row r="128" spans="1:8">
      <c r="A128" s="75"/>
      <c r="B128" s="79">
        <v>900</v>
      </c>
      <c r="C128" s="115">
        <v>22010309021904</v>
      </c>
      <c r="D128" s="78" t="s">
        <v>24</v>
      </c>
      <c r="E128" s="79" t="s">
        <v>12</v>
      </c>
      <c r="F128" s="116">
        <v>14.05</v>
      </c>
      <c r="G128" s="50">
        <v>333.529678629935</v>
      </c>
      <c r="H128" s="82">
        <f t="shared" si="12"/>
        <v>4686.09198475059</v>
      </c>
    </row>
    <row r="129" spans="1:8">
      <c r="A129" s="75"/>
      <c r="B129" s="79">
        <v>901</v>
      </c>
      <c r="C129" s="115">
        <v>22010309021905</v>
      </c>
      <c r="D129" s="78" t="s">
        <v>25</v>
      </c>
      <c r="E129" s="79" t="s">
        <v>12</v>
      </c>
      <c r="F129" s="116">
        <v>14.05</v>
      </c>
      <c r="G129" s="50">
        <v>7132.03694681174</v>
      </c>
      <c r="H129" s="82">
        <f t="shared" si="12"/>
        <v>100205.119102705</v>
      </c>
    </row>
    <row r="130" spans="1:8">
      <c r="A130" s="75"/>
      <c r="B130" s="79">
        <v>902</v>
      </c>
      <c r="C130" s="78" t="s">
        <v>249</v>
      </c>
      <c r="D130" s="78" t="s">
        <v>27</v>
      </c>
      <c r="E130" s="79" t="s">
        <v>16</v>
      </c>
      <c r="F130" s="116">
        <v>878.45</v>
      </c>
      <c r="G130" s="82">
        <f>H129/F130</f>
        <v>114.070372932671</v>
      </c>
      <c r="H130" s="82">
        <f t="shared" si="12"/>
        <v>100205.119102705</v>
      </c>
    </row>
    <row r="131" spans="1:8">
      <c r="A131" s="75"/>
      <c r="B131" s="79">
        <v>903</v>
      </c>
      <c r="C131" s="78" t="s">
        <v>250</v>
      </c>
      <c r="D131" s="78" t="s">
        <v>29</v>
      </c>
      <c r="E131" s="79" t="s">
        <v>16</v>
      </c>
      <c r="F131" s="116">
        <v>8.45</v>
      </c>
      <c r="G131" s="82">
        <f>H131/F131</f>
        <v>2004.1023820541</v>
      </c>
      <c r="H131" s="82">
        <f>0.169*H130</f>
        <v>16934.6651283571</v>
      </c>
    </row>
    <row r="132" ht="28" spans="1:8">
      <c r="A132" s="75"/>
      <c r="B132" s="79">
        <v>904</v>
      </c>
      <c r="C132" s="78" t="s">
        <v>251</v>
      </c>
      <c r="D132" s="78" t="s">
        <v>31</v>
      </c>
      <c r="E132" s="79" t="s">
        <v>16</v>
      </c>
      <c r="F132" s="116">
        <v>8.45</v>
      </c>
      <c r="G132" s="82">
        <f>G131</f>
        <v>2004.1023820541</v>
      </c>
      <c r="H132" s="82">
        <f>H131</f>
        <v>16934.6651283571</v>
      </c>
    </row>
    <row r="133" spans="1:8">
      <c r="A133" s="75"/>
      <c r="B133" s="79">
        <v>905</v>
      </c>
      <c r="C133" s="78" t="s">
        <v>252</v>
      </c>
      <c r="D133" s="78" t="s">
        <v>33</v>
      </c>
      <c r="E133" s="79" t="s">
        <v>16</v>
      </c>
      <c r="F133" s="116">
        <f>H133/G133</f>
        <v>784.82991493259</v>
      </c>
      <c r="G133" s="82">
        <v>106.1</v>
      </c>
      <c r="H133" s="82">
        <f>H130-H131</f>
        <v>83270.4539743478</v>
      </c>
    </row>
    <row r="134" spans="1:8">
      <c r="A134" s="75"/>
      <c r="B134" s="76">
        <v>1183</v>
      </c>
      <c r="C134" s="77">
        <v>22030323</v>
      </c>
      <c r="D134" s="78" t="s">
        <v>59</v>
      </c>
      <c r="E134" s="79" t="s">
        <v>12</v>
      </c>
      <c r="F134" s="80">
        <f>F135</f>
        <v>32.96</v>
      </c>
      <c r="G134" s="82"/>
      <c r="H134" s="82">
        <v>693.61</v>
      </c>
    </row>
    <row r="135" spans="1:8">
      <c r="A135" s="75"/>
      <c r="B135" s="76">
        <v>1188</v>
      </c>
      <c r="C135" s="77">
        <v>2203032306</v>
      </c>
      <c r="D135" s="78" t="s">
        <v>253</v>
      </c>
      <c r="E135" s="79" t="s">
        <v>12</v>
      </c>
      <c r="F135" s="80">
        <v>32.96</v>
      </c>
      <c r="G135" s="82">
        <v>21.04</v>
      </c>
      <c r="H135" s="82">
        <v>693.61</v>
      </c>
    </row>
    <row r="136" spans="1:8">
      <c r="A136" s="75" t="s">
        <v>254</v>
      </c>
      <c r="B136" s="79">
        <v>695</v>
      </c>
      <c r="C136" s="115">
        <v>2201030512</v>
      </c>
      <c r="D136" s="78" t="s">
        <v>255</v>
      </c>
      <c r="E136" s="79" t="s">
        <v>12</v>
      </c>
      <c r="F136" s="80">
        <f>F137</f>
        <v>1042</v>
      </c>
      <c r="G136" s="82"/>
      <c r="H136" s="81">
        <f>H137+H140+H142+H143+H144</f>
        <v>2040078.716352</v>
      </c>
    </row>
    <row r="137" spans="1:8">
      <c r="A137" s="75"/>
      <c r="B137" s="79">
        <v>696</v>
      </c>
      <c r="C137" s="115">
        <v>220103051201</v>
      </c>
      <c r="D137" s="78" t="s">
        <v>13</v>
      </c>
      <c r="E137" s="79" t="s">
        <v>12</v>
      </c>
      <c r="F137" s="116">
        <v>1042</v>
      </c>
      <c r="G137" s="50">
        <v>469.983312523381</v>
      </c>
      <c r="H137" s="82">
        <f>G137*F137</f>
        <v>489722.611649363</v>
      </c>
    </row>
    <row r="138" spans="1:8">
      <c r="A138" s="75"/>
      <c r="B138" s="79">
        <v>697</v>
      </c>
      <c r="C138" s="115">
        <v>22010305120101</v>
      </c>
      <c r="D138" s="78" t="s">
        <v>15</v>
      </c>
      <c r="E138" s="79" t="s">
        <v>16</v>
      </c>
      <c r="F138" s="116">
        <v>7.96</v>
      </c>
      <c r="G138" s="82">
        <f>H138/F138</f>
        <v>338.376176390892</v>
      </c>
      <c r="H138" s="82">
        <f>0.0055*H137</f>
        <v>2693.4743640715</v>
      </c>
    </row>
    <row r="139" spans="1:8">
      <c r="A139" s="75"/>
      <c r="B139" s="79">
        <v>698</v>
      </c>
      <c r="C139" s="115">
        <v>22010305120102</v>
      </c>
      <c r="D139" s="78" t="s">
        <v>18</v>
      </c>
      <c r="E139" s="79" t="s">
        <v>19</v>
      </c>
      <c r="F139" s="116">
        <v>340.26</v>
      </c>
      <c r="G139" s="82">
        <f>H139/F139</f>
        <v>1431.34408183534</v>
      </c>
      <c r="H139" s="82">
        <f>H137-H138</f>
        <v>487029.137285292</v>
      </c>
    </row>
    <row r="140" spans="1:8">
      <c r="A140" s="75"/>
      <c r="B140" s="79">
        <v>699</v>
      </c>
      <c r="C140" s="115">
        <v>220103051202</v>
      </c>
      <c r="D140" s="78" t="s">
        <v>20</v>
      </c>
      <c r="E140" s="79" t="s">
        <v>12</v>
      </c>
      <c r="F140" s="116">
        <v>1042</v>
      </c>
      <c r="G140" s="50">
        <v>555.364549683466</v>
      </c>
      <c r="H140" s="82">
        <f t="shared" ref="H140:H145" si="13">G140*F140</f>
        <v>578689.860770171</v>
      </c>
    </row>
    <row r="141" spans="1:8">
      <c r="A141" s="75"/>
      <c r="B141" s="79">
        <v>700</v>
      </c>
      <c r="C141" s="115">
        <v>22010305120202</v>
      </c>
      <c r="D141" s="78" t="s">
        <v>22</v>
      </c>
      <c r="E141" s="79" t="s">
        <v>12</v>
      </c>
      <c r="F141" s="116">
        <v>1042</v>
      </c>
      <c r="G141" s="82">
        <v>578.50473925361</v>
      </c>
      <c r="H141" s="82">
        <f t="shared" si="13"/>
        <v>602801.938302262</v>
      </c>
    </row>
    <row r="142" spans="1:8">
      <c r="A142" s="75"/>
      <c r="B142" s="79">
        <v>701</v>
      </c>
      <c r="C142" s="115">
        <v>220103051203</v>
      </c>
      <c r="D142" s="78" t="s">
        <v>23</v>
      </c>
      <c r="E142" s="79" t="s">
        <v>12</v>
      </c>
      <c r="F142" s="116">
        <v>1042</v>
      </c>
      <c r="G142" s="50">
        <v>674.345522116891</v>
      </c>
      <c r="H142" s="82">
        <f t="shared" si="13"/>
        <v>702668.034045801</v>
      </c>
    </row>
    <row r="143" spans="1:8">
      <c r="A143" s="75"/>
      <c r="B143" s="79">
        <v>702</v>
      </c>
      <c r="C143" s="115">
        <v>220103051204</v>
      </c>
      <c r="D143" s="78" t="s">
        <v>24</v>
      </c>
      <c r="E143" s="79" t="s">
        <v>12</v>
      </c>
      <c r="F143" s="116">
        <v>1042</v>
      </c>
      <c r="G143" s="50">
        <v>79.0594464389421</v>
      </c>
      <c r="H143" s="82">
        <f t="shared" si="13"/>
        <v>82379.9431893776</v>
      </c>
    </row>
    <row r="144" spans="1:8">
      <c r="A144" s="75"/>
      <c r="B144" s="79">
        <v>703</v>
      </c>
      <c r="C144" s="115">
        <v>220103051205</v>
      </c>
      <c r="D144" s="78" t="s">
        <v>25</v>
      </c>
      <c r="E144" s="79" t="s">
        <v>12</v>
      </c>
      <c r="F144" s="116">
        <v>1042</v>
      </c>
      <c r="G144" s="50">
        <v>179.096225237319</v>
      </c>
      <c r="H144" s="82">
        <f t="shared" si="13"/>
        <v>186618.266697287</v>
      </c>
    </row>
    <row r="145" spans="1:8">
      <c r="A145" s="75"/>
      <c r="B145" s="79">
        <v>704</v>
      </c>
      <c r="C145" s="115">
        <v>22010305120501</v>
      </c>
      <c r="D145" s="78" t="s">
        <v>27</v>
      </c>
      <c r="E145" s="79" t="s">
        <v>16</v>
      </c>
      <c r="F145" s="116">
        <v>1219.3</v>
      </c>
      <c r="G145" s="82">
        <f>H144/F145</f>
        <v>153.053610019919</v>
      </c>
      <c r="H145" s="82">
        <f t="shared" si="13"/>
        <v>186618.266697287</v>
      </c>
    </row>
    <row r="146" spans="1:8">
      <c r="A146" s="75"/>
      <c r="B146" s="79">
        <v>705</v>
      </c>
      <c r="C146" s="78" t="s">
        <v>256</v>
      </c>
      <c r="D146" s="78" t="s">
        <v>29</v>
      </c>
      <c r="E146" s="79" t="s">
        <v>16</v>
      </c>
      <c r="F146" s="116">
        <v>569.95</v>
      </c>
      <c r="G146" s="82">
        <f>H146/F146</f>
        <v>199.404376556975</v>
      </c>
      <c r="H146" s="82">
        <f>0.609*H145</f>
        <v>113650.524418648</v>
      </c>
    </row>
    <row r="147" spans="1:8">
      <c r="A147" s="75"/>
      <c r="B147" s="79">
        <v>706</v>
      </c>
      <c r="C147" s="78" t="s">
        <v>257</v>
      </c>
      <c r="D147" s="78" t="s">
        <v>31</v>
      </c>
      <c r="E147" s="79" t="s">
        <v>16</v>
      </c>
      <c r="F147" s="116">
        <v>569.95</v>
      </c>
      <c r="G147" s="82">
        <v>207.712892246849</v>
      </c>
      <c r="H147" s="82">
        <f>H146</f>
        <v>113650.524418648</v>
      </c>
    </row>
    <row r="148" spans="1:8">
      <c r="A148" s="75"/>
      <c r="B148" s="79">
        <v>707</v>
      </c>
      <c r="C148" s="78" t="s">
        <v>258</v>
      </c>
      <c r="D148" s="78" t="s">
        <v>33</v>
      </c>
      <c r="E148" s="79" t="s">
        <v>16</v>
      </c>
      <c r="F148" s="116">
        <v>649.35</v>
      </c>
      <c r="G148" s="82">
        <v>106.1</v>
      </c>
      <c r="H148" s="82">
        <f>H145-H146</f>
        <v>72967.7422786392</v>
      </c>
    </row>
    <row r="149" spans="1:8">
      <c r="A149" s="75" t="s">
        <v>259</v>
      </c>
      <c r="B149" s="79">
        <v>643</v>
      </c>
      <c r="C149" s="115">
        <v>2201030234</v>
      </c>
      <c r="D149" s="78" t="s">
        <v>260</v>
      </c>
      <c r="E149" s="79" t="s">
        <v>12</v>
      </c>
      <c r="F149" s="80">
        <f>F150</f>
        <v>595.35</v>
      </c>
      <c r="G149" s="82"/>
      <c r="H149" s="81">
        <f>H150+H153+H155+H156+H157</f>
        <v>2044796.5780704</v>
      </c>
    </row>
    <row r="150" spans="1:8">
      <c r="A150" s="75"/>
      <c r="B150" s="79">
        <v>644</v>
      </c>
      <c r="C150" s="115">
        <v>220103023401</v>
      </c>
      <c r="D150" s="78" t="s">
        <v>13</v>
      </c>
      <c r="E150" s="79" t="s">
        <v>12</v>
      </c>
      <c r="F150" s="116">
        <v>595.35</v>
      </c>
      <c r="G150" s="50">
        <v>821.891672705574</v>
      </c>
      <c r="H150" s="82">
        <f>G150*F150</f>
        <v>489313.207345264</v>
      </c>
    </row>
    <row r="151" spans="1:8">
      <c r="A151" s="75"/>
      <c r="B151" s="79">
        <v>645</v>
      </c>
      <c r="C151" s="115">
        <v>22010302340101</v>
      </c>
      <c r="D151" s="78" t="s">
        <v>15</v>
      </c>
      <c r="E151" s="79" t="s">
        <v>16</v>
      </c>
      <c r="F151" s="116">
        <v>15.4</v>
      </c>
      <c r="G151" s="82">
        <f>H151/F151</f>
        <v>349.509433818045</v>
      </c>
      <c r="H151" s="82">
        <f>0.011*H150</f>
        <v>5382.4452807979</v>
      </c>
    </row>
    <row r="152" spans="1:8">
      <c r="A152" s="75"/>
      <c r="B152" s="79">
        <v>646</v>
      </c>
      <c r="C152" s="115">
        <v>22010302340102</v>
      </c>
      <c r="D152" s="78" t="s">
        <v>18</v>
      </c>
      <c r="E152" s="79" t="s">
        <v>19</v>
      </c>
      <c r="F152" s="116">
        <v>431.87</v>
      </c>
      <c r="G152" s="82">
        <f>H152/F152</f>
        <v>1120.54729910498</v>
      </c>
      <c r="H152" s="82">
        <f>H150-H151</f>
        <v>483930.762064466</v>
      </c>
    </row>
    <row r="153" spans="1:8">
      <c r="A153" s="75"/>
      <c r="B153" s="79">
        <v>647</v>
      </c>
      <c r="C153" s="115">
        <v>220103023402</v>
      </c>
      <c r="D153" s="78" t="s">
        <v>20</v>
      </c>
      <c r="E153" s="79" t="s">
        <v>12</v>
      </c>
      <c r="F153" s="116">
        <v>595.35</v>
      </c>
      <c r="G153" s="50">
        <v>1010.87811226967</v>
      </c>
      <c r="H153" s="82">
        <f>G153*F153</f>
        <v>601826.284139746</v>
      </c>
    </row>
    <row r="154" spans="1:8">
      <c r="A154" s="75"/>
      <c r="B154" s="79">
        <v>648</v>
      </c>
      <c r="C154" s="115">
        <v>22010302340202</v>
      </c>
      <c r="D154" s="78" t="s">
        <v>22</v>
      </c>
      <c r="E154" s="79" t="s">
        <v>12</v>
      </c>
      <c r="F154" s="116">
        <v>595.35</v>
      </c>
      <c r="G154" s="82">
        <v>1052.99803361424</v>
      </c>
      <c r="H154" s="82">
        <f>G154*F154</f>
        <v>626902.379312236</v>
      </c>
    </row>
    <row r="155" spans="1:8">
      <c r="A155" s="75"/>
      <c r="B155" s="79">
        <v>649</v>
      </c>
      <c r="C155" s="115">
        <v>220103023403</v>
      </c>
      <c r="D155" s="78" t="s">
        <v>23</v>
      </c>
      <c r="E155" s="79" t="s">
        <v>12</v>
      </c>
      <c r="F155" s="116">
        <v>595.35</v>
      </c>
      <c r="G155" s="50">
        <v>1098.50284721612</v>
      </c>
      <c r="H155" s="82">
        <f>G155*F155</f>
        <v>653993.670090118</v>
      </c>
    </row>
    <row r="156" spans="1:8">
      <c r="A156" s="75"/>
      <c r="B156" s="79">
        <v>650</v>
      </c>
      <c r="C156" s="115">
        <v>220103023404</v>
      </c>
      <c r="D156" s="78" t="s">
        <v>24</v>
      </c>
      <c r="E156" s="79" t="s">
        <v>12</v>
      </c>
      <c r="F156" s="116">
        <v>595.35</v>
      </c>
      <c r="G156" s="50">
        <v>251.643518318346</v>
      </c>
      <c r="H156" s="82">
        <f>G156*F156</f>
        <v>149815.968630827</v>
      </c>
    </row>
    <row r="157" spans="1:8">
      <c r="A157" s="75"/>
      <c r="B157" s="79">
        <v>651</v>
      </c>
      <c r="C157" s="115">
        <v>220103023405</v>
      </c>
      <c r="D157" s="78" t="s">
        <v>25</v>
      </c>
      <c r="E157" s="79" t="s">
        <v>12</v>
      </c>
      <c r="F157" s="116">
        <v>595.35</v>
      </c>
      <c r="G157" s="50">
        <v>251.69639349029</v>
      </c>
      <c r="H157" s="82">
        <f>G157*F157</f>
        <v>149847.447864444</v>
      </c>
    </row>
    <row r="158" spans="1:8">
      <c r="A158" s="75"/>
      <c r="B158" s="79">
        <v>652</v>
      </c>
      <c r="C158" s="115">
        <v>22010302340501</v>
      </c>
      <c r="D158" s="78" t="s">
        <v>27</v>
      </c>
      <c r="E158" s="79" t="s">
        <v>16</v>
      </c>
      <c r="F158" s="116">
        <v>1134</v>
      </c>
      <c r="G158" s="82">
        <f>H158/F158</f>
        <v>132.140606582402</v>
      </c>
      <c r="H158" s="82">
        <f>H157</f>
        <v>149847.447864444</v>
      </c>
    </row>
    <row r="159" spans="1:8">
      <c r="A159" s="75"/>
      <c r="B159" s="79">
        <v>653</v>
      </c>
      <c r="C159" s="78" t="s">
        <v>261</v>
      </c>
      <c r="D159" s="78" t="s">
        <v>29</v>
      </c>
      <c r="E159" s="79" t="s">
        <v>16</v>
      </c>
      <c r="F159" s="116">
        <v>260</v>
      </c>
      <c r="G159" s="82">
        <f>H159/F159</f>
        <v>199.412372927299</v>
      </c>
      <c r="H159" s="82">
        <f>0.346*H158</f>
        <v>51847.2169610978</v>
      </c>
    </row>
    <row r="160" spans="1:8">
      <c r="A160" s="75"/>
      <c r="B160" s="79">
        <v>654</v>
      </c>
      <c r="C160" s="78" t="s">
        <v>262</v>
      </c>
      <c r="D160" s="78" t="s">
        <v>31</v>
      </c>
      <c r="E160" s="79" t="s">
        <v>16</v>
      </c>
      <c r="F160" s="116">
        <v>260</v>
      </c>
      <c r="G160" s="82">
        <f>H160/F160</f>
        <v>199.412372927299</v>
      </c>
      <c r="H160" s="82">
        <f>H159</f>
        <v>51847.2169610978</v>
      </c>
    </row>
    <row r="161" spans="1:8">
      <c r="A161" s="75"/>
      <c r="B161" s="79">
        <v>655</v>
      </c>
      <c r="C161" s="78" t="s">
        <v>263</v>
      </c>
      <c r="D161" s="78" t="s">
        <v>33</v>
      </c>
      <c r="E161" s="79" t="s">
        <v>16</v>
      </c>
      <c r="F161" s="116">
        <v>874</v>
      </c>
      <c r="G161" s="82">
        <v>106.1</v>
      </c>
      <c r="H161" s="82">
        <v>102083.573857653</v>
      </c>
    </row>
    <row r="162" spans="1:8">
      <c r="A162" s="75" t="s">
        <v>264</v>
      </c>
      <c r="B162" s="79">
        <v>1039</v>
      </c>
      <c r="C162" s="115">
        <v>22010412</v>
      </c>
      <c r="D162" s="78" t="s">
        <v>265</v>
      </c>
      <c r="E162" s="79" t="s">
        <v>12</v>
      </c>
      <c r="F162" s="80">
        <f t="shared" ref="F162:F167" si="14">F163</f>
        <v>76.19</v>
      </c>
      <c r="G162" s="82"/>
      <c r="H162" s="82">
        <v>40167.96</v>
      </c>
    </row>
    <row r="163" spans="1:8">
      <c r="A163" s="75"/>
      <c r="B163" s="79">
        <v>1040</v>
      </c>
      <c r="C163" s="115">
        <v>2201041202</v>
      </c>
      <c r="D163" s="78" t="s">
        <v>53</v>
      </c>
      <c r="E163" s="79" t="s">
        <v>12</v>
      </c>
      <c r="F163" s="116">
        <v>76.19</v>
      </c>
      <c r="G163" s="82">
        <v>527.21</v>
      </c>
      <c r="H163" s="82">
        <v>40167.96</v>
      </c>
    </row>
    <row r="164" spans="1:8">
      <c r="A164" s="75" t="s">
        <v>266</v>
      </c>
      <c r="B164" s="79">
        <v>1116</v>
      </c>
      <c r="C164" s="115">
        <v>22030132</v>
      </c>
      <c r="D164" s="78" t="s">
        <v>267</v>
      </c>
      <c r="E164" s="79" t="s">
        <v>12</v>
      </c>
      <c r="F164" s="80">
        <f t="shared" si="14"/>
        <v>595.35</v>
      </c>
      <c r="G164" s="82"/>
      <c r="H164" s="82">
        <v>21392.22</v>
      </c>
    </row>
    <row r="165" spans="1:8">
      <c r="A165" s="75"/>
      <c r="B165" s="79">
        <v>1117</v>
      </c>
      <c r="C165" s="115">
        <v>2203013201</v>
      </c>
      <c r="D165" s="78" t="s">
        <v>44</v>
      </c>
      <c r="E165" s="79" t="s">
        <v>12</v>
      </c>
      <c r="F165" s="116">
        <v>595.35</v>
      </c>
      <c r="G165" s="82">
        <v>12.06</v>
      </c>
      <c r="H165" s="82">
        <v>7179.14</v>
      </c>
    </row>
    <row r="166" spans="1:8">
      <c r="A166" s="75"/>
      <c r="B166" s="79">
        <v>1118</v>
      </c>
      <c r="C166" s="115">
        <v>2203013202</v>
      </c>
      <c r="D166" s="78" t="s">
        <v>144</v>
      </c>
      <c r="E166" s="79" t="s">
        <v>12</v>
      </c>
      <c r="F166" s="116">
        <v>1047.84</v>
      </c>
      <c r="G166" s="82">
        <v>13.56</v>
      </c>
      <c r="H166" s="82">
        <v>14213.08</v>
      </c>
    </row>
    <row r="167" spans="1:8">
      <c r="A167" s="75" t="s">
        <v>268</v>
      </c>
      <c r="B167" s="79">
        <v>1156</v>
      </c>
      <c r="C167" s="115">
        <v>22030232</v>
      </c>
      <c r="D167" s="78" t="s">
        <v>269</v>
      </c>
      <c r="E167" s="79" t="s">
        <v>12</v>
      </c>
      <c r="F167" s="80">
        <f t="shared" si="14"/>
        <v>595.35</v>
      </c>
      <c r="G167" s="82"/>
      <c r="H167" s="82">
        <v>126055.07</v>
      </c>
    </row>
    <row r="168" spans="1:8">
      <c r="A168" s="75"/>
      <c r="B168" s="79">
        <v>1157</v>
      </c>
      <c r="C168" s="115">
        <v>2203023201</v>
      </c>
      <c r="D168" s="78" t="s">
        <v>44</v>
      </c>
      <c r="E168" s="79" t="s">
        <v>12</v>
      </c>
      <c r="F168" s="116">
        <v>595.35</v>
      </c>
      <c r="G168" s="82">
        <v>211.73</v>
      </c>
      <c r="H168" s="82">
        <v>126055.07</v>
      </c>
    </row>
    <row r="169" spans="1:8">
      <c r="A169" s="75" t="s">
        <v>270</v>
      </c>
      <c r="B169" s="79">
        <v>1206</v>
      </c>
      <c r="C169" s="115">
        <v>22030332</v>
      </c>
      <c r="D169" s="78" t="s">
        <v>271</v>
      </c>
      <c r="E169" s="79" t="s">
        <v>12</v>
      </c>
      <c r="F169" s="80">
        <f>F170</f>
        <v>595.35</v>
      </c>
      <c r="G169" s="82"/>
      <c r="H169" s="82">
        <v>36628.42</v>
      </c>
    </row>
    <row r="170" spans="1:8">
      <c r="A170" s="75"/>
      <c r="B170" s="79">
        <v>1207</v>
      </c>
      <c r="C170" s="115">
        <v>2203033201</v>
      </c>
      <c r="D170" s="78" t="s">
        <v>44</v>
      </c>
      <c r="E170" s="79" t="s">
        <v>12</v>
      </c>
      <c r="F170" s="116">
        <v>595.35</v>
      </c>
      <c r="G170" s="82">
        <v>32.28</v>
      </c>
      <c r="H170" s="82">
        <v>19214.33</v>
      </c>
    </row>
    <row r="171" spans="1:8">
      <c r="A171" s="75"/>
      <c r="B171" s="79">
        <v>1208</v>
      </c>
      <c r="C171" s="115">
        <v>2203033202</v>
      </c>
      <c r="D171" s="78" t="s">
        <v>144</v>
      </c>
      <c r="E171" s="79" t="s">
        <v>12</v>
      </c>
      <c r="F171" s="116">
        <v>1047.87</v>
      </c>
      <c r="G171" s="82">
        <v>16.29</v>
      </c>
      <c r="H171" s="82">
        <v>17066.53</v>
      </c>
    </row>
    <row r="172" spans="1:8">
      <c r="A172" s="75"/>
      <c r="B172" s="79">
        <v>1209</v>
      </c>
      <c r="C172" s="115">
        <v>2203033203</v>
      </c>
      <c r="D172" s="78" t="s">
        <v>272</v>
      </c>
      <c r="E172" s="79" t="s">
        <v>12</v>
      </c>
      <c r="F172" s="116">
        <v>16.48</v>
      </c>
      <c r="G172" s="82">
        <v>21.09</v>
      </c>
      <c r="H172" s="82">
        <v>347.56</v>
      </c>
    </row>
    <row r="173" spans="1:8">
      <c r="A173" s="75" t="s">
        <v>34</v>
      </c>
      <c r="B173" s="76">
        <v>1222</v>
      </c>
      <c r="C173" s="77">
        <v>220403</v>
      </c>
      <c r="D173" s="78" t="s">
        <v>35</v>
      </c>
      <c r="E173" s="79" t="s">
        <v>12</v>
      </c>
      <c r="F173" s="80">
        <f>F174</f>
        <v>162</v>
      </c>
      <c r="G173" s="82"/>
      <c r="H173" s="82">
        <v>19509.23</v>
      </c>
    </row>
    <row r="174" spans="1:8">
      <c r="A174" s="75"/>
      <c r="B174" s="76">
        <v>1223</v>
      </c>
      <c r="C174" s="77">
        <v>22040305</v>
      </c>
      <c r="D174" s="78" t="s">
        <v>36</v>
      </c>
      <c r="E174" s="79" t="s">
        <v>12</v>
      </c>
      <c r="F174" s="80">
        <v>162</v>
      </c>
      <c r="G174" s="82">
        <v>120.43</v>
      </c>
      <c r="H174" s="82">
        <v>19509.23</v>
      </c>
    </row>
    <row r="175" spans="1:8">
      <c r="A175" s="75" t="s">
        <v>273</v>
      </c>
      <c r="B175" s="76">
        <v>524</v>
      </c>
      <c r="C175" s="77">
        <v>22010301</v>
      </c>
      <c r="D175" s="78" t="s">
        <v>274</v>
      </c>
      <c r="E175" s="79" t="s">
        <v>12</v>
      </c>
      <c r="F175" s="80">
        <f>F176</f>
        <v>26.09</v>
      </c>
      <c r="G175" s="82"/>
      <c r="H175" s="81">
        <f>H177+H180+H182+H183+H184</f>
        <v>236992.323266752</v>
      </c>
    </row>
    <row r="176" spans="1:8">
      <c r="A176" s="75"/>
      <c r="B176" s="76">
        <v>525</v>
      </c>
      <c r="C176" s="77">
        <v>2201030106</v>
      </c>
      <c r="D176" s="78" t="s">
        <v>63</v>
      </c>
      <c r="E176" s="79" t="s">
        <v>12</v>
      </c>
      <c r="F176" s="80">
        <v>26.09</v>
      </c>
      <c r="G176" s="82">
        <f t="shared" ref="G176:G179" si="15">H176/F176</f>
        <v>9083.64596652941</v>
      </c>
      <c r="H176" s="82">
        <f>H175</f>
        <v>236992.323266752</v>
      </c>
    </row>
    <row r="177" spans="1:8">
      <c r="A177" s="75"/>
      <c r="B177" s="76">
        <v>526</v>
      </c>
      <c r="C177" s="77">
        <v>220103010601</v>
      </c>
      <c r="D177" s="78" t="s">
        <v>13</v>
      </c>
      <c r="E177" s="79" t="s">
        <v>12</v>
      </c>
      <c r="F177" s="80">
        <v>26.09</v>
      </c>
      <c r="G177" s="50">
        <v>2003.77880519645</v>
      </c>
      <c r="H177" s="82">
        <f t="shared" ref="H177:H185" si="16">G177*F177</f>
        <v>52278.5890275753</v>
      </c>
    </row>
    <row r="178" spans="1:8">
      <c r="A178" s="75"/>
      <c r="B178" s="76">
        <v>527</v>
      </c>
      <c r="C178" s="77">
        <v>22010301060101</v>
      </c>
      <c r="D178" s="78" t="s">
        <v>15</v>
      </c>
      <c r="E178" s="79" t="s">
        <v>16</v>
      </c>
      <c r="F178" s="80">
        <v>0.5304</v>
      </c>
      <c r="G178" s="82">
        <f t="shared" si="15"/>
        <v>364.688498118455</v>
      </c>
      <c r="H178" s="82">
        <f>0.0037*H177</f>
        <v>193.430779402029</v>
      </c>
    </row>
    <row r="179" spans="1:8">
      <c r="A179" s="75"/>
      <c r="B179" s="76">
        <v>528</v>
      </c>
      <c r="C179" s="77">
        <v>22010301060102</v>
      </c>
      <c r="D179" s="78" t="s">
        <v>18</v>
      </c>
      <c r="E179" s="79" t="s">
        <v>19</v>
      </c>
      <c r="F179" s="80">
        <v>18.7075</v>
      </c>
      <c r="G179" s="82">
        <f t="shared" si="15"/>
        <v>2784.18592800605</v>
      </c>
      <c r="H179" s="82">
        <f>H177-H178</f>
        <v>52085.1582481733</v>
      </c>
    </row>
    <row r="180" spans="1:8">
      <c r="A180" s="75"/>
      <c r="B180" s="76">
        <v>529</v>
      </c>
      <c r="C180" s="77">
        <v>220103010602</v>
      </c>
      <c r="D180" s="78" t="s">
        <v>20</v>
      </c>
      <c r="E180" s="79" t="s">
        <v>12</v>
      </c>
      <c r="F180" s="80">
        <v>26.09</v>
      </c>
      <c r="G180" s="50">
        <v>1413.83736086286</v>
      </c>
      <c r="H180" s="82">
        <f t="shared" si="16"/>
        <v>36887.0167449119</v>
      </c>
    </row>
    <row r="181" spans="1:8">
      <c r="A181" s="75"/>
      <c r="B181" s="76">
        <v>530</v>
      </c>
      <c r="C181" s="77">
        <v>22010301060202</v>
      </c>
      <c r="D181" s="78" t="s">
        <v>22</v>
      </c>
      <c r="E181" s="79" t="s">
        <v>12</v>
      </c>
      <c r="F181" s="80">
        <v>26.09</v>
      </c>
      <c r="G181" s="82">
        <f>H180/F181</f>
        <v>1413.83736086286</v>
      </c>
      <c r="H181" s="82">
        <f t="shared" si="16"/>
        <v>36887.0167449119</v>
      </c>
    </row>
    <row r="182" spans="1:8">
      <c r="A182" s="75"/>
      <c r="B182" s="76">
        <v>531</v>
      </c>
      <c r="C182" s="77">
        <v>220103010603</v>
      </c>
      <c r="D182" s="78" t="s">
        <v>23</v>
      </c>
      <c r="E182" s="79" t="s">
        <v>12</v>
      </c>
      <c r="F182" s="80">
        <v>26.09</v>
      </c>
      <c r="G182" s="50">
        <v>2107.49578158714</v>
      </c>
      <c r="H182" s="82">
        <f t="shared" si="16"/>
        <v>54984.5649416085</v>
      </c>
    </row>
    <row r="183" spans="1:8">
      <c r="A183" s="75"/>
      <c r="B183" s="76">
        <v>532</v>
      </c>
      <c r="C183" s="77">
        <v>220103010604</v>
      </c>
      <c r="D183" s="78" t="s">
        <v>24</v>
      </c>
      <c r="E183" s="79" t="s">
        <v>12</v>
      </c>
      <c r="F183" s="80">
        <v>26.09</v>
      </c>
      <c r="G183" s="50">
        <v>225.715849300707</v>
      </c>
      <c r="H183" s="82">
        <f t="shared" si="16"/>
        <v>5888.92650825544</v>
      </c>
    </row>
    <row r="184" spans="1:8">
      <c r="A184" s="75"/>
      <c r="B184" s="76">
        <v>533</v>
      </c>
      <c r="C184" s="77">
        <v>220103010605</v>
      </c>
      <c r="D184" s="78" t="s">
        <v>25</v>
      </c>
      <c r="E184" s="79" t="s">
        <v>12</v>
      </c>
      <c r="F184" s="80">
        <v>29.35</v>
      </c>
      <c r="G184" s="50">
        <v>2962.63121105285</v>
      </c>
      <c r="H184" s="82">
        <f t="shared" si="16"/>
        <v>86953.2260444011</v>
      </c>
    </row>
    <row r="185" spans="1:8">
      <c r="A185" s="75"/>
      <c r="B185" s="76">
        <v>534</v>
      </c>
      <c r="C185" s="77">
        <v>22010301060501</v>
      </c>
      <c r="D185" s="78" t="s">
        <v>27</v>
      </c>
      <c r="E185" s="79" t="s">
        <v>16</v>
      </c>
      <c r="F185" s="80">
        <v>721.96</v>
      </c>
      <c r="G185" s="82">
        <f>H184/F185</f>
        <v>120.440503690511</v>
      </c>
      <c r="H185" s="82">
        <f t="shared" si="16"/>
        <v>86953.2260444011</v>
      </c>
    </row>
    <row r="186" spans="1:8">
      <c r="A186" s="75"/>
      <c r="B186" s="76">
        <v>535</v>
      </c>
      <c r="C186" s="78" t="s">
        <v>56</v>
      </c>
      <c r="D186" s="78" t="s">
        <v>29</v>
      </c>
      <c r="E186" s="79" t="s">
        <v>16</v>
      </c>
      <c r="F186" s="80">
        <v>11.88</v>
      </c>
      <c r="G186" s="82">
        <f>H186/F186</f>
        <v>212.259558525895</v>
      </c>
      <c r="H186" s="82">
        <f>0.029*H185</f>
        <v>2521.64355528763</v>
      </c>
    </row>
    <row r="187" spans="1:8">
      <c r="A187" s="75"/>
      <c r="B187" s="76">
        <v>536</v>
      </c>
      <c r="C187" s="78" t="s">
        <v>57</v>
      </c>
      <c r="D187" s="78" t="s">
        <v>31</v>
      </c>
      <c r="E187" s="79" t="s">
        <v>16</v>
      </c>
      <c r="F187" s="80">
        <v>11.88</v>
      </c>
      <c r="G187" s="82">
        <f>G186</f>
        <v>212.259558525895</v>
      </c>
      <c r="H187" s="82">
        <f>G187*F187</f>
        <v>2521.64355528763</v>
      </c>
    </row>
    <row r="188" spans="1:8">
      <c r="A188" s="75"/>
      <c r="B188" s="76">
        <v>537</v>
      </c>
      <c r="C188" s="78" t="s">
        <v>58</v>
      </c>
      <c r="D188" s="78" t="s">
        <v>33</v>
      </c>
      <c r="E188" s="79" t="s">
        <v>16</v>
      </c>
      <c r="F188" s="80">
        <v>710.08</v>
      </c>
      <c r="G188" s="82">
        <f>H188/F188</f>
        <v>118.904324145327</v>
      </c>
      <c r="H188" s="82">
        <f>H185-H187</f>
        <v>84431.5824891135</v>
      </c>
    </row>
    <row r="189" spans="1:8">
      <c r="A189" s="75"/>
      <c r="B189" s="76">
        <v>1183</v>
      </c>
      <c r="C189" s="77">
        <v>22030323</v>
      </c>
      <c r="D189" s="78" t="s">
        <v>59</v>
      </c>
      <c r="E189" s="79" t="s">
        <v>12</v>
      </c>
      <c r="F189" s="80">
        <f>F190</f>
        <v>26.09</v>
      </c>
      <c r="G189" s="82"/>
      <c r="H189" s="82">
        <v>2281.71</v>
      </c>
    </row>
    <row r="190" ht="28" spans="1:8">
      <c r="A190" s="75"/>
      <c r="B190" s="76">
        <v>1187</v>
      </c>
      <c r="C190" s="77">
        <v>2203032305</v>
      </c>
      <c r="D190" s="78" t="s">
        <v>275</v>
      </c>
      <c r="E190" s="79" t="s">
        <v>12</v>
      </c>
      <c r="F190" s="80">
        <v>26.09</v>
      </c>
      <c r="G190" s="82">
        <v>87.45</v>
      </c>
      <c r="H190" s="82">
        <v>2281.71</v>
      </c>
    </row>
    <row r="191" ht="28" spans="1:8">
      <c r="A191" s="75" t="s">
        <v>276</v>
      </c>
      <c r="B191" s="76">
        <v>919</v>
      </c>
      <c r="C191" s="77">
        <v>220103090221</v>
      </c>
      <c r="D191" s="78" t="s">
        <v>277</v>
      </c>
      <c r="E191" s="79" t="s">
        <v>12</v>
      </c>
      <c r="F191" s="80">
        <f>F192</f>
        <v>14.05</v>
      </c>
      <c r="G191" s="82"/>
      <c r="H191" s="81">
        <f>H192+H195+H197+H198+H199</f>
        <v>192866.152896</v>
      </c>
    </row>
    <row r="192" spans="1:8">
      <c r="A192" s="75"/>
      <c r="B192" s="76">
        <v>920</v>
      </c>
      <c r="C192" s="77">
        <v>22010309022101</v>
      </c>
      <c r="D192" s="78" t="s">
        <v>13</v>
      </c>
      <c r="E192" s="79" t="s">
        <v>12</v>
      </c>
      <c r="F192" s="80">
        <v>14.05</v>
      </c>
      <c r="G192" s="50">
        <v>2835.50111064397</v>
      </c>
      <c r="H192" s="82">
        <f>G192*F192</f>
        <v>39838.7906045478</v>
      </c>
    </row>
    <row r="193" spans="1:8">
      <c r="A193" s="75"/>
      <c r="B193" s="76">
        <v>921</v>
      </c>
      <c r="C193" s="78" t="s">
        <v>278</v>
      </c>
      <c r="D193" s="78" t="s">
        <v>15</v>
      </c>
      <c r="E193" s="79" t="s">
        <v>16</v>
      </c>
      <c r="F193" s="80">
        <v>0.38</v>
      </c>
      <c r="G193" s="82">
        <f>H193/F193</f>
        <v>345.968444723705</v>
      </c>
      <c r="H193" s="82">
        <f>0.0033*H192</f>
        <v>131.468008995008</v>
      </c>
    </row>
    <row r="194" spans="1:8">
      <c r="A194" s="75"/>
      <c r="B194" s="76">
        <v>922</v>
      </c>
      <c r="C194" s="78" t="s">
        <v>279</v>
      </c>
      <c r="D194" s="78" t="s">
        <v>18</v>
      </c>
      <c r="E194" s="79" t="s">
        <v>19</v>
      </c>
      <c r="F194" s="80">
        <v>11.2</v>
      </c>
      <c r="G194" s="82">
        <f>H194/F194</f>
        <v>3545.29666031721</v>
      </c>
      <c r="H194" s="82">
        <f>H192-H193</f>
        <v>39707.3225955528</v>
      </c>
    </row>
    <row r="195" spans="1:8">
      <c r="A195" s="75"/>
      <c r="B195" s="76">
        <v>923</v>
      </c>
      <c r="C195" s="77">
        <v>22010309022102</v>
      </c>
      <c r="D195" s="78" t="s">
        <v>20</v>
      </c>
      <c r="E195" s="79" t="s">
        <v>12</v>
      </c>
      <c r="F195" s="80">
        <v>14.05</v>
      </c>
      <c r="G195" s="50">
        <v>1043.33206866107</v>
      </c>
      <c r="H195" s="82">
        <f>G195*F195</f>
        <v>14658.8155646881</v>
      </c>
    </row>
    <row r="196" spans="1:8">
      <c r="A196" s="75"/>
      <c r="B196" s="76">
        <v>924</v>
      </c>
      <c r="C196" s="78" t="s">
        <v>280</v>
      </c>
      <c r="D196" s="78" t="s">
        <v>22</v>
      </c>
      <c r="E196" s="79" t="s">
        <v>12</v>
      </c>
      <c r="F196" s="80">
        <v>14.05</v>
      </c>
      <c r="G196" s="82">
        <v>1086.80423818862</v>
      </c>
      <c r="H196" s="82">
        <f>G196*F196</f>
        <v>15269.5995465501</v>
      </c>
    </row>
    <row r="197" spans="1:8">
      <c r="A197" s="75"/>
      <c r="B197" s="76">
        <v>925</v>
      </c>
      <c r="C197" s="77">
        <v>22010309022103</v>
      </c>
      <c r="D197" s="78" t="s">
        <v>23</v>
      </c>
      <c r="E197" s="79" t="s">
        <v>12</v>
      </c>
      <c r="F197" s="80">
        <v>14.05</v>
      </c>
      <c r="G197" s="50">
        <v>2372.72768355687</v>
      </c>
      <c r="H197" s="82">
        <f>G197*F197</f>
        <v>33336.823953974</v>
      </c>
    </row>
    <row r="198" spans="1:8">
      <c r="A198" s="75"/>
      <c r="B198" s="76">
        <v>926</v>
      </c>
      <c r="C198" s="77">
        <v>22010309022104</v>
      </c>
      <c r="D198" s="78" t="s">
        <v>24</v>
      </c>
      <c r="E198" s="79" t="s">
        <v>12</v>
      </c>
      <c r="F198" s="80">
        <v>14.05</v>
      </c>
      <c r="G198" s="50">
        <v>333.927815485919</v>
      </c>
      <c r="H198" s="82">
        <f>G198*F198</f>
        <v>4691.68580757717</v>
      </c>
    </row>
    <row r="199" spans="1:8">
      <c r="A199" s="75"/>
      <c r="B199" s="76">
        <v>927</v>
      </c>
      <c r="C199" s="77">
        <v>22010309022105</v>
      </c>
      <c r="D199" s="78" t="s">
        <v>25</v>
      </c>
      <c r="E199" s="79" t="s">
        <v>12</v>
      </c>
      <c r="F199" s="80">
        <v>14.05</v>
      </c>
      <c r="G199" s="50">
        <v>7141.63964165217</v>
      </c>
      <c r="H199" s="82">
        <f>G199*F199</f>
        <v>100340.036965213</v>
      </c>
    </row>
    <row r="200" spans="1:8">
      <c r="A200" s="75"/>
      <c r="B200" s="76">
        <v>928</v>
      </c>
      <c r="C200" s="78" t="s">
        <v>281</v>
      </c>
      <c r="D200" s="78" t="s">
        <v>27</v>
      </c>
      <c r="E200" s="79" t="s">
        <v>16</v>
      </c>
      <c r="F200" s="80">
        <f>H200/G200</f>
        <v>938.722396531134</v>
      </c>
      <c r="G200" s="82">
        <v>106.89</v>
      </c>
      <c r="H200" s="82">
        <f>H199</f>
        <v>100340.036965213</v>
      </c>
    </row>
    <row r="201" spans="1:8">
      <c r="A201" s="75"/>
      <c r="B201" s="76">
        <v>929</v>
      </c>
      <c r="C201" s="78" t="s">
        <v>282</v>
      </c>
      <c r="D201" s="78" t="s">
        <v>29</v>
      </c>
      <c r="E201" s="79" t="s">
        <v>16</v>
      </c>
      <c r="F201" s="80">
        <v>8.45</v>
      </c>
      <c r="G201" s="82">
        <f>H201/F201</f>
        <v>200.680073930426</v>
      </c>
      <c r="H201" s="82">
        <f>0.0169*H200</f>
        <v>1695.7466247121</v>
      </c>
    </row>
    <row r="202" ht="28" spans="1:8">
      <c r="A202" s="75"/>
      <c r="B202" s="76">
        <v>930</v>
      </c>
      <c r="C202" s="78" t="s">
        <v>283</v>
      </c>
      <c r="D202" s="78" t="s">
        <v>31</v>
      </c>
      <c r="E202" s="79" t="s">
        <v>16</v>
      </c>
      <c r="F202" s="80">
        <v>8.45</v>
      </c>
      <c r="G202" s="82">
        <f>H202/F202</f>
        <v>200.680073930426</v>
      </c>
      <c r="H202" s="82">
        <f>H201</f>
        <v>1695.7466247121</v>
      </c>
    </row>
    <row r="203" spans="1:8">
      <c r="A203" s="75"/>
      <c r="B203" s="76">
        <v>931</v>
      </c>
      <c r="C203" s="78" t="s">
        <v>284</v>
      </c>
      <c r="D203" s="78" t="s">
        <v>33</v>
      </c>
      <c r="E203" s="79" t="s">
        <v>16</v>
      </c>
      <c r="F203" s="80">
        <f>H203/G203</f>
        <v>929.729409429791</v>
      </c>
      <c r="G203" s="82">
        <v>106.1</v>
      </c>
      <c r="H203" s="82">
        <f>H200-H202</f>
        <v>98644.2903405008</v>
      </c>
    </row>
    <row r="204" spans="1:8">
      <c r="A204" s="75" t="s">
        <v>34</v>
      </c>
      <c r="B204" s="76">
        <v>1222</v>
      </c>
      <c r="C204" s="77">
        <v>220403</v>
      </c>
      <c r="D204" s="78" t="s">
        <v>35</v>
      </c>
      <c r="E204" s="79" t="s">
        <v>12</v>
      </c>
      <c r="F204" s="80">
        <f>F205</f>
        <v>162</v>
      </c>
      <c r="G204" s="82"/>
      <c r="H204" s="82">
        <v>19509.23</v>
      </c>
    </row>
    <row r="205" spans="1:8">
      <c r="A205" s="75"/>
      <c r="B205" s="76">
        <v>1223</v>
      </c>
      <c r="C205" s="77">
        <v>22040305</v>
      </c>
      <c r="D205" s="78" t="s">
        <v>36</v>
      </c>
      <c r="E205" s="79" t="s">
        <v>12</v>
      </c>
      <c r="F205" s="80">
        <v>162</v>
      </c>
      <c r="G205" s="82">
        <v>120.43</v>
      </c>
      <c r="H205" s="82">
        <v>19509.23</v>
      </c>
    </row>
    <row r="206" ht="28" spans="1:8">
      <c r="A206" s="75" t="s">
        <v>285</v>
      </c>
      <c r="B206" s="76">
        <v>524</v>
      </c>
      <c r="C206" s="77">
        <v>22010301</v>
      </c>
      <c r="D206" s="78" t="s">
        <v>286</v>
      </c>
      <c r="E206" s="79" t="s">
        <v>12</v>
      </c>
      <c r="F206" s="80">
        <f>F207</f>
        <v>26.09</v>
      </c>
      <c r="G206" s="82"/>
      <c r="H206" s="81">
        <f>H208+H211+H213+H214+H215</f>
        <v>236992.323266752</v>
      </c>
    </row>
    <row r="207" spans="1:8">
      <c r="A207" s="75"/>
      <c r="B207" s="76">
        <v>525</v>
      </c>
      <c r="C207" s="77">
        <v>2201030106</v>
      </c>
      <c r="D207" s="78" t="s">
        <v>63</v>
      </c>
      <c r="E207" s="79" t="s">
        <v>12</v>
      </c>
      <c r="F207" s="80">
        <v>26.09</v>
      </c>
      <c r="G207" s="82">
        <f t="shared" ref="G207:G210" si="17">H207/F207</f>
        <v>9083.64596652941</v>
      </c>
      <c r="H207" s="82">
        <f>H206</f>
        <v>236992.323266752</v>
      </c>
    </row>
    <row r="208" spans="1:8">
      <c r="A208" s="75"/>
      <c r="B208" s="76">
        <v>526</v>
      </c>
      <c r="C208" s="77">
        <v>220103010601</v>
      </c>
      <c r="D208" s="78" t="s">
        <v>13</v>
      </c>
      <c r="E208" s="79" t="s">
        <v>12</v>
      </c>
      <c r="F208" s="80">
        <v>26.09</v>
      </c>
      <c r="G208" s="50">
        <v>2003.77880519645</v>
      </c>
      <c r="H208" s="82">
        <f t="shared" ref="H208:H216" si="18">G208*F208</f>
        <v>52278.5890275753</v>
      </c>
    </row>
    <row r="209" spans="1:8">
      <c r="A209" s="75"/>
      <c r="B209" s="76">
        <v>527</v>
      </c>
      <c r="C209" s="77">
        <v>22010301060101</v>
      </c>
      <c r="D209" s="78" t="s">
        <v>15</v>
      </c>
      <c r="E209" s="79" t="s">
        <v>16</v>
      </c>
      <c r="F209" s="80">
        <v>0.5304</v>
      </c>
      <c r="G209" s="82">
        <f t="shared" si="17"/>
        <v>364.688498118455</v>
      </c>
      <c r="H209" s="82">
        <f>0.0037*H208</f>
        <v>193.430779402029</v>
      </c>
    </row>
    <row r="210" spans="1:8">
      <c r="A210" s="75"/>
      <c r="B210" s="76">
        <v>528</v>
      </c>
      <c r="C210" s="77">
        <v>22010301060102</v>
      </c>
      <c r="D210" s="78" t="s">
        <v>18</v>
      </c>
      <c r="E210" s="79" t="s">
        <v>19</v>
      </c>
      <c r="F210" s="80">
        <v>18.7075</v>
      </c>
      <c r="G210" s="82">
        <f t="shared" si="17"/>
        <v>2784.18592800605</v>
      </c>
      <c r="H210" s="82">
        <f>H208-H209</f>
        <v>52085.1582481733</v>
      </c>
    </row>
    <row r="211" spans="1:8">
      <c r="A211" s="75"/>
      <c r="B211" s="76">
        <v>529</v>
      </c>
      <c r="C211" s="77">
        <v>220103010602</v>
      </c>
      <c r="D211" s="78" t="s">
        <v>20</v>
      </c>
      <c r="E211" s="79" t="s">
        <v>12</v>
      </c>
      <c r="F211" s="80">
        <v>26.09</v>
      </c>
      <c r="G211" s="50">
        <v>1413.83736086286</v>
      </c>
      <c r="H211" s="82">
        <f t="shared" si="18"/>
        <v>36887.0167449119</v>
      </c>
    </row>
    <row r="212" spans="1:8">
      <c r="A212" s="75"/>
      <c r="B212" s="76">
        <v>530</v>
      </c>
      <c r="C212" s="77">
        <v>22010301060202</v>
      </c>
      <c r="D212" s="78" t="s">
        <v>22</v>
      </c>
      <c r="E212" s="79" t="s">
        <v>12</v>
      </c>
      <c r="F212" s="80">
        <v>26.09</v>
      </c>
      <c r="G212" s="82">
        <f>H211/F212</f>
        <v>1413.83736086286</v>
      </c>
      <c r="H212" s="82">
        <f t="shared" si="18"/>
        <v>36887.0167449119</v>
      </c>
    </row>
    <row r="213" spans="1:8">
      <c r="A213" s="75"/>
      <c r="B213" s="76">
        <v>531</v>
      </c>
      <c r="C213" s="77">
        <v>220103010603</v>
      </c>
      <c r="D213" s="78" t="s">
        <v>23</v>
      </c>
      <c r="E213" s="79" t="s">
        <v>12</v>
      </c>
      <c r="F213" s="80">
        <v>26.09</v>
      </c>
      <c r="G213" s="50">
        <v>2107.49578158714</v>
      </c>
      <c r="H213" s="82">
        <f t="shared" si="18"/>
        <v>54984.5649416085</v>
      </c>
    </row>
    <row r="214" spans="1:8">
      <c r="A214" s="75"/>
      <c r="B214" s="76">
        <v>532</v>
      </c>
      <c r="C214" s="77">
        <v>220103010604</v>
      </c>
      <c r="D214" s="78" t="s">
        <v>24</v>
      </c>
      <c r="E214" s="79" t="s">
        <v>12</v>
      </c>
      <c r="F214" s="80">
        <v>26.09</v>
      </c>
      <c r="G214" s="50">
        <v>225.715849300707</v>
      </c>
      <c r="H214" s="82">
        <f t="shared" si="18"/>
        <v>5888.92650825544</v>
      </c>
    </row>
    <row r="215" spans="1:8">
      <c r="A215" s="75"/>
      <c r="B215" s="76">
        <v>533</v>
      </c>
      <c r="C215" s="77">
        <v>220103010605</v>
      </c>
      <c r="D215" s="78" t="s">
        <v>25</v>
      </c>
      <c r="E215" s="79" t="s">
        <v>12</v>
      </c>
      <c r="F215" s="80">
        <v>29.35</v>
      </c>
      <c r="G215" s="50">
        <v>2962.63121105285</v>
      </c>
      <c r="H215" s="82">
        <f t="shared" si="18"/>
        <v>86953.2260444011</v>
      </c>
    </row>
    <row r="216" spans="1:8">
      <c r="A216" s="75"/>
      <c r="B216" s="76">
        <v>534</v>
      </c>
      <c r="C216" s="77">
        <v>22010301060501</v>
      </c>
      <c r="D216" s="78" t="s">
        <v>27</v>
      </c>
      <c r="E216" s="79" t="s">
        <v>16</v>
      </c>
      <c r="F216" s="80">
        <v>721.96</v>
      </c>
      <c r="G216" s="82">
        <f>H215/F216</f>
        <v>120.440503690511</v>
      </c>
      <c r="H216" s="82">
        <f t="shared" si="18"/>
        <v>86953.2260444011</v>
      </c>
    </row>
    <row r="217" spans="1:8">
      <c r="A217" s="75"/>
      <c r="B217" s="76">
        <v>535</v>
      </c>
      <c r="C217" s="78" t="s">
        <v>56</v>
      </c>
      <c r="D217" s="78" t="s">
        <v>29</v>
      </c>
      <c r="E217" s="79" t="s">
        <v>16</v>
      </c>
      <c r="F217" s="80">
        <v>11.88</v>
      </c>
      <c r="G217" s="82">
        <f>H217/F217</f>
        <v>212.259558525895</v>
      </c>
      <c r="H217" s="82">
        <f>0.029*H216</f>
        <v>2521.64355528763</v>
      </c>
    </row>
    <row r="218" spans="1:8">
      <c r="A218" s="75"/>
      <c r="B218" s="76">
        <v>536</v>
      </c>
      <c r="C218" s="78" t="s">
        <v>57</v>
      </c>
      <c r="D218" s="78" t="s">
        <v>31</v>
      </c>
      <c r="E218" s="79" t="s">
        <v>16</v>
      </c>
      <c r="F218" s="80">
        <v>11.88</v>
      </c>
      <c r="G218" s="82">
        <f>G217</f>
        <v>212.259558525895</v>
      </c>
      <c r="H218" s="82">
        <f>G218*F218</f>
        <v>2521.64355528763</v>
      </c>
    </row>
    <row r="219" spans="1:8">
      <c r="A219" s="75"/>
      <c r="B219" s="76">
        <v>537</v>
      </c>
      <c r="C219" s="78" t="s">
        <v>58</v>
      </c>
      <c r="D219" s="78" t="s">
        <v>33</v>
      </c>
      <c r="E219" s="79" t="s">
        <v>16</v>
      </c>
      <c r="F219" s="80">
        <v>710.08</v>
      </c>
      <c r="G219" s="82">
        <f>H219/F219</f>
        <v>118.904324145327</v>
      </c>
      <c r="H219" s="82">
        <f>H216-H218</f>
        <v>84431.5824891135</v>
      </c>
    </row>
    <row r="220" spans="1:8">
      <c r="A220" s="75"/>
      <c r="B220" s="76">
        <v>1183</v>
      </c>
      <c r="C220" s="77">
        <v>22030323</v>
      </c>
      <c r="D220" s="78" t="s">
        <v>59</v>
      </c>
      <c r="E220" s="79" t="s">
        <v>12</v>
      </c>
      <c r="F220" s="80">
        <f>F221</f>
        <v>26.09</v>
      </c>
      <c r="G220" s="82"/>
      <c r="H220" s="82">
        <v>2281.71</v>
      </c>
    </row>
    <row r="221" ht="28" spans="1:8">
      <c r="A221" s="75"/>
      <c r="B221" s="76">
        <v>1187</v>
      </c>
      <c r="C221" s="77">
        <v>2203032305</v>
      </c>
      <c r="D221" s="78" t="s">
        <v>287</v>
      </c>
      <c r="E221" s="79" t="s">
        <v>12</v>
      </c>
      <c r="F221" s="80">
        <v>26.09</v>
      </c>
      <c r="G221" s="82">
        <v>87.45</v>
      </c>
      <c r="H221" s="82">
        <v>2281.71</v>
      </c>
    </row>
    <row r="222" ht="28" spans="1:8">
      <c r="A222" s="75" t="s">
        <v>288</v>
      </c>
      <c r="B222" s="76">
        <v>524</v>
      </c>
      <c r="C222" s="77">
        <v>22010301</v>
      </c>
      <c r="D222" s="78" t="s">
        <v>289</v>
      </c>
      <c r="E222" s="79" t="s">
        <v>12</v>
      </c>
      <c r="F222" s="80">
        <f>F223</f>
        <v>26.09</v>
      </c>
      <c r="G222" s="82"/>
      <c r="H222" s="81">
        <f>H224+H227+H229+H230+H231</f>
        <v>236992.323266752</v>
      </c>
    </row>
    <row r="223" spans="1:8">
      <c r="A223" s="75"/>
      <c r="B223" s="76">
        <v>525</v>
      </c>
      <c r="C223" s="77">
        <v>2201030106</v>
      </c>
      <c r="D223" s="78" t="s">
        <v>63</v>
      </c>
      <c r="E223" s="79" t="s">
        <v>12</v>
      </c>
      <c r="F223" s="80">
        <v>26.09</v>
      </c>
      <c r="G223" s="82">
        <f t="shared" ref="G223:G226" si="19">H223/F223</f>
        <v>9083.64596652941</v>
      </c>
      <c r="H223" s="82">
        <f>H222</f>
        <v>236992.323266752</v>
      </c>
    </row>
    <row r="224" spans="1:8">
      <c r="A224" s="75"/>
      <c r="B224" s="76">
        <v>526</v>
      </c>
      <c r="C224" s="77">
        <v>220103010601</v>
      </c>
      <c r="D224" s="78" t="s">
        <v>13</v>
      </c>
      <c r="E224" s="79" t="s">
        <v>12</v>
      </c>
      <c r="F224" s="80">
        <v>26.09</v>
      </c>
      <c r="G224" s="50">
        <v>2003.77880519645</v>
      </c>
      <c r="H224" s="82">
        <f t="shared" ref="H224:H232" si="20">G224*F224</f>
        <v>52278.5890275753</v>
      </c>
    </row>
    <row r="225" spans="1:8">
      <c r="A225" s="75"/>
      <c r="B225" s="76">
        <v>527</v>
      </c>
      <c r="C225" s="77">
        <v>22010301060101</v>
      </c>
      <c r="D225" s="78" t="s">
        <v>15</v>
      </c>
      <c r="E225" s="79" t="s">
        <v>16</v>
      </c>
      <c r="F225" s="80">
        <v>0.5304</v>
      </c>
      <c r="G225" s="82">
        <f t="shared" si="19"/>
        <v>364.688498118455</v>
      </c>
      <c r="H225" s="82">
        <f>0.0037*H224</f>
        <v>193.430779402029</v>
      </c>
    </row>
    <row r="226" spans="1:8">
      <c r="A226" s="75"/>
      <c r="B226" s="76">
        <v>528</v>
      </c>
      <c r="C226" s="77">
        <v>22010301060102</v>
      </c>
      <c r="D226" s="78" t="s">
        <v>18</v>
      </c>
      <c r="E226" s="79" t="s">
        <v>19</v>
      </c>
      <c r="F226" s="80">
        <v>18.7075</v>
      </c>
      <c r="G226" s="82">
        <f t="shared" si="19"/>
        <v>2784.18592800605</v>
      </c>
      <c r="H226" s="82">
        <f>H224-H225</f>
        <v>52085.1582481733</v>
      </c>
    </row>
    <row r="227" spans="1:8">
      <c r="A227" s="75"/>
      <c r="B227" s="76">
        <v>529</v>
      </c>
      <c r="C227" s="77">
        <v>220103010602</v>
      </c>
      <c r="D227" s="78" t="s">
        <v>20</v>
      </c>
      <c r="E227" s="79" t="s">
        <v>12</v>
      </c>
      <c r="F227" s="80">
        <v>26.09</v>
      </c>
      <c r="G227" s="50">
        <v>1413.83736086286</v>
      </c>
      <c r="H227" s="82">
        <f t="shared" si="20"/>
        <v>36887.0167449119</v>
      </c>
    </row>
    <row r="228" spans="1:8">
      <c r="A228" s="75"/>
      <c r="B228" s="76">
        <v>530</v>
      </c>
      <c r="C228" s="77">
        <v>22010301060202</v>
      </c>
      <c r="D228" s="78" t="s">
        <v>22</v>
      </c>
      <c r="E228" s="79" t="s">
        <v>12</v>
      </c>
      <c r="F228" s="80">
        <v>26.09</v>
      </c>
      <c r="G228" s="82">
        <f>H227/F228</f>
        <v>1413.83736086286</v>
      </c>
      <c r="H228" s="82">
        <f t="shared" si="20"/>
        <v>36887.0167449119</v>
      </c>
    </row>
    <row r="229" spans="1:8">
      <c r="A229" s="75"/>
      <c r="B229" s="76">
        <v>531</v>
      </c>
      <c r="C229" s="77">
        <v>220103010603</v>
      </c>
      <c r="D229" s="78" t="s">
        <v>23</v>
      </c>
      <c r="E229" s="79" t="s">
        <v>12</v>
      </c>
      <c r="F229" s="80">
        <v>26.09</v>
      </c>
      <c r="G229" s="50">
        <v>2107.49578158714</v>
      </c>
      <c r="H229" s="82">
        <f t="shared" si="20"/>
        <v>54984.5649416085</v>
      </c>
    </row>
    <row r="230" spans="1:8">
      <c r="A230" s="75"/>
      <c r="B230" s="76">
        <v>532</v>
      </c>
      <c r="C230" s="77">
        <v>220103010604</v>
      </c>
      <c r="D230" s="78" t="s">
        <v>24</v>
      </c>
      <c r="E230" s="79" t="s">
        <v>12</v>
      </c>
      <c r="F230" s="80">
        <v>26.09</v>
      </c>
      <c r="G230" s="50">
        <v>225.715849300707</v>
      </c>
      <c r="H230" s="82">
        <f t="shared" si="20"/>
        <v>5888.92650825544</v>
      </c>
    </row>
    <row r="231" spans="1:8">
      <c r="A231" s="75"/>
      <c r="B231" s="76">
        <v>533</v>
      </c>
      <c r="C231" s="77">
        <v>220103010605</v>
      </c>
      <c r="D231" s="78" t="s">
        <v>25</v>
      </c>
      <c r="E231" s="79" t="s">
        <v>12</v>
      </c>
      <c r="F231" s="80">
        <v>29.35</v>
      </c>
      <c r="G231" s="50">
        <v>2962.63121105285</v>
      </c>
      <c r="H231" s="82">
        <f t="shared" si="20"/>
        <v>86953.2260444011</v>
      </c>
    </row>
    <row r="232" spans="1:8">
      <c r="A232" s="75"/>
      <c r="B232" s="76">
        <v>534</v>
      </c>
      <c r="C232" s="77">
        <v>22010301060501</v>
      </c>
      <c r="D232" s="78" t="s">
        <v>27</v>
      </c>
      <c r="E232" s="79" t="s">
        <v>16</v>
      </c>
      <c r="F232" s="80">
        <v>721.96</v>
      </c>
      <c r="G232" s="82">
        <f>H231/F232</f>
        <v>120.440503690511</v>
      </c>
      <c r="H232" s="82">
        <f t="shared" si="20"/>
        <v>86953.2260444011</v>
      </c>
    </row>
    <row r="233" spans="1:8">
      <c r="A233" s="75"/>
      <c r="B233" s="76">
        <v>535</v>
      </c>
      <c r="C233" s="78" t="s">
        <v>56</v>
      </c>
      <c r="D233" s="78" t="s">
        <v>29</v>
      </c>
      <c r="E233" s="79" t="s">
        <v>16</v>
      </c>
      <c r="F233" s="80">
        <v>11.88</v>
      </c>
      <c r="G233" s="82">
        <f>H233/F233</f>
        <v>212.259558525895</v>
      </c>
      <c r="H233" s="82">
        <f>0.029*H232</f>
        <v>2521.64355528763</v>
      </c>
    </row>
    <row r="234" spans="1:8">
      <c r="A234" s="75"/>
      <c r="B234" s="76">
        <v>536</v>
      </c>
      <c r="C234" s="78" t="s">
        <v>57</v>
      </c>
      <c r="D234" s="78" t="s">
        <v>31</v>
      </c>
      <c r="E234" s="79" t="s">
        <v>16</v>
      </c>
      <c r="F234" s="80">
        <v>11.88</v>
      </c>
      <c r="G234" s="82">
        <f>G233</f>
        <v>212.259558525895</v>
      </c>
      <c r="H234" s="82">
        <f>G234*F234</f>
        <v>2521.64355528763</v>
      </c>
    </row>
    <row r="235" spans="1:8">
      <c r="A235" s="75"/>
      <c r="B235" s="76">
        <v>537</v>
      </c>
      <c r="C235" s="78" t="s">
        <v>58</v>
      </c>
      <c r="D235" s="78" t="s">
        <v>33</v>
      </c>
      <c r="E235" s="79" t="s">
        <v>16</v>
      </c>
      <c r="F235" s="80">
        <v>710.08</v>
      </c>
      <c r="G235" s="82">
        <f>H235/F235</f>
        <v>118.904324145327</v>
      </c>
      <c r="H235" s="82">
        <f>H232-H234</f>
        <v>84431.5824891135</v>
      </c>
    </row>
    <row r="236" spans="1:8">
      <c r="A236" s="75"/>
      <c r="B236" s="76">
        <v>1183</v>
      </c>
      <c r="C236" s="77">
        <v>22030323</v>
      </c>
      <c r="D236" s="78" t="s">
        <v>59</v>
      </c>
      <c r="E236" s="79" t="s">
        <v>12</v>
      </c>
      <c r="F236" s="80">
        <f>F237</f>
        <v>26.09</v>
      </c>
      <c r="G236" s="82"/>
      <c r="H236" s="82">
        <v>2281.71</v>
      </c>
    </row>
    <row r="237" ht="28" spans="1:8">
      <c r="A237" s="75"/>
      <c r="B237" s="76">
        <v>1187</v>
      </c>
      <c r="C237" s="77">
        <v>2203032305</v>
      </c>
      <c r="D237" s="78" t="s">
        <v>290</v>
      </c>
      <c r="E237" s="79" t="s">
        <v>12</v>
      </c>
      <c r="F237" s="80">
        <v>26.09</v>
      </c>
      <c r="G237" s="82">
        <v>87.45</v>
      </c>
      <c r="H237" s="82">
        <v>2281.71</v>
      </c>
    </row>
    <row r="238" spans="1:8">
      <c r="A238" s="75" t="s">
        <v>291</v>
      </c>
      <c r="B238" s="76">
        <v>719</v>
      </c>
      <c r="C238" s="77">
        <v>2201030613</v>
      </c>
      <c r="D238" s="78" t="s">
        <v>66</v>
      </c>
      <c r="E238" s="79" t="s">
        <v>12</v>
      </c>
      <c r="F238" s="80">
        <f>F239</f>
        <v>27.42</v>
      </c>
      <c r="G238" s="82"/>
      <c r="H238" s="81">
        <f>H239+H242+H244+H245+H246</f>
        <v>230010.53694336</v>
      </c>
    </row>
    <row r="239" spans="1:8">
      <c r="A239" s="75"/>
      <c r="B239" s="76">
        <v>720</v>
      </c>
      <c r="C239" s="77">
        <v>220103061301</v>
      </c>
      <c r="D239" s="78" t="s">
        <v>13</v>
      </c>
      <c r="E239" s="79" t="s">
        <v>12</v>
      </c>
      <c r="F239" s="80">
        <v>27.42</v>
      </c>
      <c r="G239" s="50">
        <v>1747.02483680591</v>
      </c>
      <c r="H239" s="82">
        <f t="shared" ref="H239:H247" si="21">G239*F239</f>
        <v>47903.421025218</v>
      </c>
    </row>
    <row r="240" spans="1:8">
      <c r="A240" s="75"/>
      <c r="B240" s="76">
        <v>721</v>
      </c>
      <c r="C240" s="77">
        <v>22010306130101</v>
      </c>
      <c r="D240" s="78" t="s">
        <v>15</v>
      </c>
      <c r="E240" s="79" t="s">
        <v>16</v>
      </c>
      <c r="F240" s="80">
        <v>0.42</v>
      </c>
      <c r="G240" s="82">
        <f>H240/F240</f>
        <v>342.167293037272</v>
      </c>
      <c r="H240" s="82">
        <f>H239*0.003</f>
        <v>143.710263075654</v>
      </c>
    </row>
    <row r="241" spans="1:8">
      <c r="A241" s="75"/>
      <c r="B241" s="76">
        <v>722</v>
      </c>
      <c r="C241" s="77">
        <v>22010306130102</v>
      </c>
      <c r="D241" s="78" t="s">
        <v>18</v>
      </c>
      <c r="E241" s="79" t="s">
        <v>19</v>
      </c>
      <c r="F241" s="80">
        <v>17.94</v>
      </c>
      <c r="G241" s="82">
        <f>H241/F241</f>
        <v>2662.19123534796</v>
      </c>
      <c r="H241" s="82">
        <f>H239-H240</f>
        <v>47759.7107621424</v>
      </c>
    </row>
    <row r="242" spans="1:8">
      <c r="A242" s="75"/>
      <c r="B242" s="76">
        <v>723</v>
      </c>
      <c r="C242" s="77">
        <v>220103061302</v>
      </c>
      <c r="D242" s="78" t="s">
        <v>20</v>
      </c>
      <c r="E242" s="79" t="s">
        <v>12</v>
      </c>
      <c r="F242" s="80">
        <v>27.42</v>
      </c>
      <c r="G242" s="50">
        <v>1165.7639930428</v>
      </c>
      <c r="H242" s="82">
        <f t="shared" si="21"/>
        <v>31965.2486892335</v>
      </c>
    </row>
    <row r="243" spans="1:8">
      <c r="A243" s="75"/>
      <c r="B243" s="76">
        <v>724</v>
      </c>
      <c r="C243" s="77">
        <v>22010306130202</v>
      </c>
      <c r="D243" s="78" t="s">
        <v>22</v>
      </c>
      <c r="E243" s="79" t="s">
        <v>12</v>
      </c>
      <c r="F243" s="80">
        <v>27.42</v>
      </c>
      <c r="G243" s="82">
        <v>1214.33749275291</v>
      </c>
      <c r="H243" s="82">
        <f t="shared" si="21"/>
        <v>33297.1340512849</v>
      </c>
    </row>
    <row r="244" spans="1:8">
      <c r="A244" s="75"/>
      <c r="B244" s="76">
        <v>725</v>
      </c>
      <c r="C244" s="77">
        <v>220103061303</v>
      </c>
      <c r="D244" s="78" t="s">
        <v>23</v>
      </c>
      <c r="E244" s="79" t="s">
        <v>12</v>
      </c>
      <c r="F244" s="80">
        <v>27.42</v>
      </c>
      <c r="G244" s="50">
        <v>1910.03896960943</v>
      </c>
      <c r="H244" s="82">
        <f t="shared" si="21"/>
        <v>52373.2685466906</v>
      </c>
    </row>
    <row r="245" spans="1:8">
      <c r="A245" s="75"/>
      <c r="B245" s="76">
        <v>726</v>
      </c>
      <c r="C245" s="77">
        <v>220103061304</v>
      </c>
      <c r="D245" s="78" t="s">
        <v>24</v>
      </c>
      <c r="E245" s="79" t="s">
        <v>12</v>
      </c>
      <c r="F245" s="80">
        <v>27.42</v>
      </c>
      <c r="G245" s="50">
        <v>215.05153124277</v>
      </c>
      <c r="H245" s="82">
        <f t="shared" si="21"/>
        <v>5896.71298667675</v>
      </c>
    </row>
    <row r="246" spans="1:8">
      <c r="A246" s="75"/>
      <c r="B246" s="76">
        <v>727</v>
      </c>
      <c r="C246" s="77">
        <v>220103061305</v>
      </c>
      <c r="D246" s="78" t="s">
        <v>25</v>
      </c>
      <c r="E246" s="79" t="s">
        <v>12</v>
      </c>
      <c r="F246" s="80">
        <v>27.42</v>
      </c>
      <c r="G246" s="50">
        <v>3350.54287729909</v>
      </c>
      <c r="H246" s="82">
        <f t="shared" si="21"/>
        <v>91871.8856955412</v>
      </c>
    </row>
    <row r="247" spans="1:8">
      <c r="A247" s="75"/>
      <c r="B247" s="76">
        <v>728</v>
      </c>
      <c r="C247" s="77">
        <v>22010306130501</v>
      </c>
      <c r="D247" s="78" t="s">
        <v>27</v>
      </c>
      <c r="E247" s="79" t="s">
        <v>16</v>
      </c>
      <c r="F247" s="80">
        <v>802.04</v>
      </c>
      <c r="G247" s="82">
        <f>H246/F247</f>
        <v>114.547760330583</v>
      </c>
      <c r="H247" s="82">
        <f t="shared" si="21"/>
        <v>91871.8856955412</v>
      </c>
    </row>
    <row r="248" spans="1:8">
      <c r="A248" s="75"/>
      <c r="B248" s="76">
        <v>729</v>
      </c>
      <c r="C248" s="78" t="s">
        <v>67</v>
      </c>
      <c r="D248" s="78" t="s">
        <v>29</v>
      </c>
      <c r="E248" s="79" t="s">
        <v>16</v>
      </c>
      <c r="F248" s="80">
        <v>9.29</v>
      </c>
      <c r="G248" s="82">
        <f>H248/F248</f>
        <v>197.786621518926</v>
      </c>
      <c r="H248" s="82">
        <f>0.02*H247</f>
        <v>1837.43771391082</v>
      </c>
    </row>
    <row r="249" spans="1:8">
      <c r="A249" s="75"/>
      <c r="B249" s="76">
        <v>730</v>
      </c>
      <c r="C249" s="78" t="s">
        <v>68</v>
      </c>
      <c r="D249" s="78" t="s">
        <v>31</v>
      </c>
      <c r="E249" s="79" t="s">
        <v>16</v>
      </c>
      <c r="F249" s="80">
        <v>9.29</v>
      </c>
      <c r="G249" s="82">
        <f>G248</f>
        <v>197.786621518926</v>
      </c>
      <c r="H249" s="82">
        <f>H248</f>
        <v>1837.43771391082</v>
      </c>
    </row>
    <row r="250" spans="1:8">
      <c r="A250" s="75"/>
      <c r="B250" s="76">
        <v>731</v>
      </c>
      <c r="C250" s="78" t="s">
        <v>69</v>
      </c>
      <c r="D250" s="78" t="s">
        <v>33</v>
      </c>
      <c r="E250" s="79" t="s">
        <v>16</v>
      </c>
      <c r="F250" s="80">
        <v>792.74</v>
      </c>
      <c r="G250" s="82">
        <f>H250/F250</f>
        <v>113.573741682809</v>
      </c>
      <c r="H250" s="82">
        <f>H247-H249</f>
        <v>90034.4479816304</v>
      </c>
    </row>
    <row r="251" spans="1:8">
      <c r="A251" s="75"/>
      <c r="B251" s="76">
        <v>1183</v>
      </c>
      <c r="C251" s="77">
        <v>22030323</v>
      </c>
      <c r="D251" s="78" t="s">
        <v>59</v>
      </c>
      <c r="E251" s="79" t="s">
        <v>12</v>
      </c>
      <c r="F251" s="80">
        <f>F252</f>
        <v>27.42</v>
      </c>
      <c r="G251" s="82"/>
      <c r="H251" s="82">
        <v>1983.05</v>
      </c>
    </row>
    <row r="252" spans="1:8">
      <c r="A252" s="75"/>
      <c r="B252" s="76">
        <v>1185</v>
      </c>
      <c r="C252" s="77">
        <v>2203032303</v>
      </c>
      <c r="D252" s="78" t="s">
        <v>70</v>
      </c>
      <c r="E252" s="79" t="s">
        <v>12</v>
      </c>
      <c r="F252" s="80">
        <v>27.42</v>
      </c>
      <c r="G252" s="82">
        <v>72.31</v>
      </c>
      <c r="H252" s="82">
        <v>1983.05</v>
      </c>
    </row>
    <row r="253" spans="1:8">
      <c r="A253" s="75" t="s">
        <v>292</v>
      </c>
      <c r="B253" s="76">
        <v>781</v>
      </c>
      <c r="C253" s="77">
        <v>2201030712</v>
      </c>
      <c r="D253" s="78" t="s">
        <v>293</v>
      </c>
      <c r="E253" s="79" t="s">
        <v>12</v>
      </c>
      <c r="F253" s="80">
        <v>54.17</v>
      </c>
      <c r="G253" s="82"/>
      <c r="H253" s="81">
        <f>H254+H257+H259+H260+H261</f>
        <v>240525.05503104</v>
      </c>
    </row>
    <row r="254" spans="1:8">
      <c r="A254" s="75"/>
      <c r="B254" s="76">
        <v>782</v>
      </c>
      <c r="C254" s="77">
        <v>220103071201</v>
      </c>
      <c r="D254" s="78" t="s">
        <v>13</v>
      </c>
      <c r="E254" s="79" t="s">
        <v>12</v>
      </c>
      <c r="F254" s="80">
        <v>54.17</v>
      </c>
      <c r="G254" s="50">
        <v>1348.96177892882</v>
      </c>
      <c r="H254" s="82">
        <f>G254*F254</f>
        <v>73073.2595645742</v>
      </c>
    </row>
    <row r="255" spans="1:8">
      <c r="A255" s="75"/>
      <c r="B255" s="76">
        <v>783</v>
      </c>
      <c r="C255" s="77">
        <v>22010307120101</v>
      </c>
      <c r="D255" s="78" t="s">
        <v>15</v>
      </c>
      <c r="E255" s="79" t="s">
        <v>16</v>
      </c>
      <c r="F255" s="80">
        <v>0.84</v>
      </c>
      <c r="G255" s="82">
        <f>H255/F255</f>
        <v>339.268705121237</v>
      </c>
      <c r="H255" s="82">
        <f>0.0039*H254</f>
        <v>284.985712301839</v>
      </c>
    </row>
    <row r="256" spans="1:8">
      <c r="A256" s="75"/>
      <c r="B256" s="76">
        <v>784</v>
      </c>
      <c r="C256" s="77">
        <v>22010307120102</v>
      </c>
      <c r="D256" s="78" t="s">
        <v>18</v>
      </c>
      <c r="E256" s="79" t="s">
        <v>19</v>
      </c>
      <c r="F256" s="80">
        <v>33.59</v>
      </c>
      <c r="G256" s="82">
        <f>H256/F256</f>
        <v>2166.96260352106</v>
      </c>
      <c r="H256" s="82">
        <f>H254-H255</f>
        <v>72788.2738522724</v>
      </c>
    </row>
    <row r="257" spans="1:8">
      <c r="A257" s="75"/>
      <c r="B257" s="76">
        <v>785</v>
      </c>
      <c r="C257" s="77">
        <v>220103071202</v>
      </c>
      <c r="D257" s="78" t="s">
        <v>20</v>
      </c>
      <c r="E257" s="79" t="s">
        <v>12</v>
      </c>
      <c r="F257" s="80">
        <v>54.17</v>
      </c>
      <c r="G257" s="50">
        <v>817.551952348958</v>
      </c>
      <c r="H257" s="82">
        <f t="shared" ref="H257:H262" si="22">G257*F257</f>
        <v>44286.7892587431</v>
      </c>
    </row>
    <row r="258" spans="1:8">
      <c r="A258" s="75"/>
      <c r="B258" s="76">
        <v>786</v>
      </c>
      <c r="C258" s="77">
        <v>22010307120202</v>
      </c>
      <c r="D258" s="78" t="s">
        <v>22</v>
      </c>
      <c r="E258" s="79" t="s">
        <v>12</v>
      </c>
      <c r="F258" s="80">
        <v>54.17</v>
      </c>
      <c r="G258" s="82">
        <v>851.616617030165</v>
      </c>
      <c r="H258" s="82">
        <f t="shared" si="22"/>
        <v>46132.072144524</v>
      </c>
    </row>
    <row r="259" spans="1:8">
      <c r="A259" s="75"/>
      <c r="B259" s="76">
        <v>787</v>
      </c>
      <c r="C259" s="77">
        <v>220103071203</v>
      </c>
      <c r="D259" s="78" t="s">
        <v>23</v>
      </c>
      <c r="E259" s="79" t="s">
        <v>12</v>
      </c>
      <c r="F259" s="80">
        <v>54.17</v>
      </c>
      <c r="G259" s="50">
        <v>1444.62802683906</v>
      </c>
      <c r="H259" s="82">
        <f t="shared" si="22"/>
        <v>78255.5002138717</v>
      </c>
    </row>
    <row r="260" spans="1:8">
      <c r="A260" s="75"/>
      <c r="B260" s="76">
        <v>788</v>
      </c>
      <c r="C260" s="77">
        <v>220103071204</v>
      </c>
      <c r="D260" s="78" t="s">
        <v>24</v>
      </c>
      <c r="E260" s="79" t="s">
        <v>12</v>
      </c>
      <c r="F260" s="80">
        <v>54.17</v>
      </c>
      <c r="G260" s="50">
        <v>209.723343169123</v>
      </c>
      <c r="H260" s="82">
        <f t="shared" si="22"/>
        <v>11360.7134994714</v>
      </c>
    </row>
    <row r="261" spans="1:8">
      <c r="A261" s="75"/>
      <c r="B261" s="76">
        <v>789</v>
      </c>
      <c r="C261" s="77">
        <v>220103071205</v>
      </c>
      <c r="D261" s="78" t="s">
        <v>25</v>
      </c>
      <c r="E261" s="79" t="s">
        <v>12</v>
      </c>
      <c r="F261" s="80">
        <v>54.17</v>
      </c>
      <c r="G261" s="50">
        <v>619.324210714042</v>
      </c>
      <c r="H261" s="82">
        <f t="shared" si="22"/>
        <v>33548.7924943796</v>
      </c>
    </row>
    <row r="262" spans="1:8">
      <c r="A262" s="75"/>
      <c r="B262" s="76">
        <v>790</v>
      </c>
      <c r="C262" s="77">
        <v>22010307120501</v>
      </c>
      <c r="D262" s="78" t="s">
        <v>27</v>
      </c>
      <c r="E262" s="79" t="s">
        <v>16</v>
      </c>
      <c r="F262" s="80">
        <v>284.59</v>
      </c>
      <c r="G262" s="82">
        <f>H261/F262</f>
        <v>117.8846498274</v>
      </c>
      <c r="H262" s="82">
        <f t="shared" si="22"/>
        <v>33548.7924943796</v>
      </c>
    </row>
    <row r="263" spans="1:8">
      <c r="A263" s="75"/>
      <c r="B263" s="76">
        <v>791</v>
      </c>
      <c r="C263" s="78" t="s">
        <v>294</v>
      </c>
      <c r="D263" s="78" t="s">
        <v>29</v>
      </c>
      <c r="E263" s="79" t="s">
        <v>16</v>
      </c>
      <c r="F263" s="80">
        <v>18.59</v>
      </c>
      <c r="G263" s="82">
        <f>H263/F263</f>
        <v>198.513565055501</v>
      </c>
      <c r="H263" s="82">
        <f>0.11*H262</f>
        <v>3690.36717438176</v>
      </c>
    </row>
    <row r="264" spans="1:8">
      <c r="A264" s="75"/>
      <c r="B264" s="76">
        <v>792</v>
      </c>
      <c r="C264" s="78" t="s">
        <v>295</v>
      </c>
      <c r="D264" s="78" t="s">
        <v>31</v>
      </c>
      <c r="E264" s="79" t="s">
        <v>16</v>
      </c>
      <c r="F264" s="80">
        <v>18.59</v>
      </c>
      <c r="G264" s="82">
        <f>G263</f>
        <v>198.513565055501</v>
      </c>
      <c r="H264" s="82">
        <f>H263</f>
        <v>3690.36717438176</v>
      </c>
    </row>
    <row r="265" spans="1:8">
      <c r="A265" s="75"/>
      <c r="B265" s="76">
        <v>793</v>
      </c>
      <c r="C265" s="78" t="s">
        <v>296</v>
      </c>
      <c r="D265" s="78" t="s">
        <v>33</v>
      </c>
      <c r="E265" s="79" t="s">
        <v>16</v>
      </c>
      <c r="F265" s="80">
        <f>H265/G265</f>
        <v>281.41776927425</v>
      </c>
      <c r="G265" s="82">
        <v>106.1</v>
      </c>
      <c r="H265" s="82">
        <f>H262-H263</f>
        <v>29858.4253199979</v>
      </c>
    </row>
    <row r="266" spans="1:8">
      <c r="A266" s="75" t="s">
        <v>297</v>
      </c>
      <c r="B266" s="76">
        <v>732</v>
      </c>
      <c r="C266" s="77">
        <v>2201030616</v>
      </c>
      <c r="D266" s="78" t="s">
        <v>298</v>
      </c>
      <c r="E266" s="79" t="s">
        <v>12</v>
      </c>
      <c r="F266" s="80">
        <f>F267</f>
        <v>650.8</v>
      </c>
      <c r="G266" s="82"/>
      <c r="H266" s="81">
        <f>H267+H270+H272+H273+H274</f>
        <v>2408275.917992</v>
      </c>
    </row>
    <row r="267" spans="1:8">
      <c r="A267" s="75"/>
      <c r="B267" s="76">
        <v>733</v>
      </c>
      <c r="C267" s="77">
        <v>220103061601</v>
      </c>
      <c r="D267" s="78" t="s">
        <v>13</v>
      </c>
      <c r="E267" s="79" t="s">
        <v>12</v>
      </c>
      <c r="F267" s="80">
        <v>650.8</v>
      </c>
      <c r="G267" s="50">
        <v>1392.02034110632</v>
      </c>
      <c r="H267" s="82">
        <f>G267*F267</f>
        <v>905926.837991996</v>
      </c>
    </row>
    <row r="268" spans="1:8">
      <c r="A268" s="75"/>
      <c r="B268" s="76">
        <v>734</v>
      </c>
      <c r="C268" s="77">
        <v>22010306160101</v>
      </c>
      <c r="D268" s="78" t="s">
        <v>15</v>
      </c>
      <c r="E268" s="79" t="s">
        <v>16</v>
      </c>
      <c r="F268" s="80">
        <v>17.69</v>
      </c>
      <c r="G268" s="50">
        <f>H268/F268</f>
        <v>343.115308905957</v>
      </c>
      <c r="H268" s="82">
        <f>0.0067*H267</f>
        <v>6069.70981454637</v>
      </c>
    </row>
    <row r="269" spans="1:8">
      <c r="A269" s="75"/>
      <c r="B269" s="76">
        <v>735</v>
      </c>
      <c r="C269" s="77">
        <v>22010306160102</v>
      </c>
      <c r="D269" s="78" t="s">
        <v>18</v>
      </c>
      <c r="E269" s="79" t="s">
        <v>19</v>
      </c>
      <c r="F269" s="80">
        <v>578.98</v>
      </c>
      <c r="G269" s="82">
        <f>H269/F269</f>
        <v>1554.21107495501</v>
      </c>
      <c r="H269" s="82">
        <f>H267-H268</f>
        <v>899857.12817745</v>
      </c>
    </row>
    <row r="270" spans="1:8">
      <c r="A270" s="75"/>
      <c r="B270" s="76">
        <v>736</v>
      </c>
      <c r="C270" s="77">
        <v>220103061602</v>
      </c>
      <c r="D270" s="78" t="s">
        <v>20</v>
      </c>
      <c r="E270" s="79" t="s">
        <v>12</v>
      </c>
      <c r="F270" s="80">
        <v>650.8</v>
      </c>
      <c r="G270" s="50">
        <v>549.621302186021</v>
      </c>
      <c r="H270" s="82">
        <v>337843.76</v>
      </c>
    </row>
    <row r="271" spans="1:8">
      <c r="A271" s="75"/>
      <c r="B271" s="76">
        <v>737</v>
      </c>
      <c r="C271" s="77">
        <v>22010306160202</v>
      </c>
      <c r="D271" s="78" t="s">
        <v>22</v>
      </c>
      <c r="E271" s="79" t="s">
        <v>12</v>
      </c>
      <c r="F271" s="80">
        <v>650.8</v>
      </c>
      <c r="G271" s="50">
        <v>549.621302186021</v>
      </c>
      <c r="H271" s="82">
        <v>337843.76</v>
      </c>
    </row>
    <row r="272" spans="1:8">
      <c r="A272" s="75"/>
      <c r="B272" s="76">
        <v>738</v>
      </c>
      <c r="C272" s="77">
        <v>220103061603</v>
      </c>
      <c r="D272" s="78" t="s">
        <v>23</v>
      </c>
      <c r="E272" s="79" t="s">
        <v>12</v>
      </c>
      <c r="F272" s="80">
        <v>650.8</v>
      </c>
      <c r="G272" s="50">
        <v>822.452079964408</v>
      </c>
      <c r="H272" s="82">
        <v>505548.81</v>
      </c>
    </row>
    <row r="273" spans="1:8">
      <c r="A273" s="75"/>
      <c r="B273" s="76">
        <v>739</v>
      </c>
      <c r="C273" s="77">
        <v>220103061604</v>
      </c>
      <c r="D273" s="78" t="s">
        <v>24</v>
      </c>
      <c r="E273" s="79" t="s">
        <v>12</v>
      </c>
      <c r="F273" s="80">
        <v>650.8</v>
      </c>
      <c r="G273" s="50">
        <v>249.855777282476</v>
      </c>
      <c r="H273" s="82">
        <v>153579.98</v>
      </c>
    </row>
    <row r="274" spans="1:8">
      <c r="A274" s="75"/>
      <c r="B274" s="76">
        <v>740</v>
      </c>
      <c r="C274" s="77">
        <v>220103061605</v>
      </c>
      <c r="D274" s="78" t="s">
        <v>25</v>
      </c>
      <c r="E274" s="79" t="s">
        <v>12</v>
      </c>
      <c r="F274" s="80">
        <v>650.8</v>
      </c>
      <c r="G274" s="50">
        <v>822.17680346077</v>
      </c>
      <c r="H274" s="82">
        <v>505376.53</v>
      </c>
    </row>
    <row r="275" spans="1:8">
      <c r="A275" s="75"/>
      <c r="B275" s="76">
        <v>741</v>
      </c>
      <c r="C275" s="77">
        <v>22010306160501</v>
      </c>
      <c r="D275" s="78" t="s">
        <v>27</v>
      </c>
      <c r="E275" s="79" t="s">
        <v>16</v>
      </c>
      <c r="F275" s="80">
        <v>3781.87</v>
      </c>
      <c r="G275" s="82">
        <v>133.63</v>
      </c>
      <c r="H275" s="82">
        <v>505376.53</v>
      </c>
    </row>
    <row r="276" spans="1:8">
      <c r="A276" s="75"/>
      <c r="B276" s="76">
        <v>742</v>
      </c>
      <c r="C276" s="78" t="s">
        <v>299</v>
      </c>
      <c r="D276" s="78" t="s">
        <v>29</v>
      </c>
      <c r="E276" s="79" t="s">
        <v>16</v>
      </c>
      <c r="F276" s="80">
        <v>1266.11</v>
      </c>
      <c r="G276" s="82">
        <v>188.35</v>
      </c>
      <c r="H276" s="82">
        <v>238464.27</v>
      </c>
    </row>
    <row r="277" spans="1:8">
      <c r="A277" s="75"/>
      <c r="B277" s="76">
        <v>743</v>
      </c>
      <c r="C277" s="78" t="s">
        <v>300</v>
      </c>
      <c r="D277" s="78" t="s">
        <v>31</v>
      </c>
      <c r="E277" s="79" t="s">
        <v>16</v>
      </c>
      <c r="F277" s="80">
        <v>1266.11</v>
      </c>
      <c r="G277" s="82">
        <v>188.35</v>
      </c>
      <c r="H277" s="82">
        <v>238464.27</v>
      </c>
    </row>
    <row r="278" spans="1:8">
      <c r="A278" s="75"/>
      <c r="B278" s="76">
        <v>744</v>
      </c>
      <c r="C278" s="78" t="s">
        <v>301</v>
      </c>
      <c r="D278" s="78" t="s">
        <v>33</v>
      </c>
      <c r="E278" s="79" t="s">
        <v>16</v>
      </c>
      <c r="F278" s="80">
        <v>2515.76</v>
      </c>
      <c r="G278" s="82">
        <v>106.1</v>
      </c>
      <c r="H278" s="82">
        <v>266912.26</v>
      </c>
    </row>
    <row r="279" spans="1:8">
      <c r="A279" s="75" t="s">
        <v>302</v>
      </c>
      <c r="B279" s="76">
        <v>656</v>
      </c>
      <c r="C279" s="77">
        <v>2201030235</v>
      </c>
      <c r="D279" s="78" t="s">
        <v>303</v>
      </c>
      <c r="E279" s="79" t="s">
        <v>12</v>
      </c>
      <c r="F279" s="80">
        <f>F280</f>
        <v>595.35</v>
      </c>
      <c r="G279" s="82"/>
      <c r="H279" s="81">
        <f>H280+H283+H285+H286+H287</f>
        <v>2155245.7957632</v>
      </c>
    </row>
    <row r="280" spans="1:8">
      <c r="A280" s="75"/>
      <c r="B280" s="76">
        <v>657</v>
      </c>
      <c r="C280" s="77">
        <v>220103023501</v>
      </c>
      <c r="D280" s="78" t="s">
        <v>13</v>
      </c>
      <c r="E280" s="79" t="s">
        <v>12</v>
      </c>
      <c r="F280" s="80">
        <v>595.35</v>
      </c>
      <c r="G280" s="50">
        <v>1312.95578891372</v>
      </c>
      <c r="H280" s="82">
        <f>G280*F280</f>
        <v>781668.228929781</v>
      </c>
    </row>
    <row r="281" spans="1:8">
      <c r="A281" s="75"/>
      <c r="B281" s="76">
        <v>658</v>
      </c>
      <c r="C281" s="77">
        <v>22010302350101</v>
      </c>
      <c r="D281" s="78" t="s">
        <v>15</v>
      </c>
      <c r="E281" s="79" t="s">
        <v>16</v>
      </c>
      <c r="F281" s="80">
        <v>17.21</v>
      </c>
      <c r="G281" s="82">
        <f>H281/F281</f>
        <v>313.394002301888</v>
      </c>
      <c r="H281" s="82">
        <f>0.0069*H280</f>
        <v>5393.51077961549</v>
      </c>
    </row>
    <row r="282" spans="1:8">
      <c r="A282" s="75"/>
      <c r="B282" s="76">
        <v>659</v>
      </c>
      <c r="C282" s="77">
        <v>22010302350102</v>
      </c>
      <c r="D282" s="78" t="s">
        <v>18</v>
      </c>
      <c r="E282" s="79" t="s">
        <v>19</v>
      </c>
      <c r="F282" s="80">
        <v>480.6</v>
      </c>
      <c r="G282" s="82">
        <f>H282/F282</f>
        <v>1615.2199711822</v>
      </c>
      <c r="H282" s="82">
        <f>H280-H281</f>
        <v>776274.718150165</v>
      </c>
    </row>
    <row r="283" spans="1:8">
      <c r="A283" s="75"/>
      <c r="B283" s="76">
        <v>660</v>
      </c>
      <c r="C283" s="77">
        <v>220103023502</v>
      </c>
      <c r="D283" s="78" t="s">
        <v>20</v>
      </c>
      <c r="E283" s="79" t="s">
        <v>12</v>
      </c>
      <c r="F283" s="80">
        <v>595.35</v>
      </c>
      <c r="G283" s="50">
        <v>622.063990235165</v>
      </c>
      <c r="H283" s="82">
        <f t="shared" ref="H283:H288" si="23">G283*F283</f>
        <v>370345.796586505</v>
      </c>
    </row>
    <row r="284" spans="1:8">
      <c r="A284" s="75"/>
      <c r="B284" s="76">
        <v>661</v>
      </c>
      <c r="C284" s="77">
        <v>22010302350202</v>
      </c>
      <c r="D284" s="78" t="s">
        <v>22</v>
      </c>
      <c r="E284" s="79" t="s">
        <v>12</v>
      </c>
      <c r="F284" s="80">
        <v>595.35</v>
      </c>
      <c r="G284" s="82">
        <v>647.98332316163</v>
      </c>
      <c r="H284" s="82">
        <f t="shared" si="23"/>
        <v>385776.871444276</v>
      </c>
    </row>
    <row r="285" spans="1:8">
      <c r="A285" s="75"/>
      <c r="B285" s="76">
        <v>662</v>
      </c>
      <c r="C285" s="77">
        <v>220103023503</v>
      </c>
      <c r="D285" s="78" t="s">
        <v>23</v>
      </c>
      <c r="E285" s="79" t="s">
        <v>12</v>
      </c>
      <c r="F285" s="80">
        <v>595.35</v>
      </c>
      <c r="G285" s="50">
        <v>1103.67802680977</v>
      </c>
      <c r="H285" s="82">
        <f t="shared" si="23"/>
        <v>657074.713261194</v>
      </c>
    </row>
    <row r="286" spans="1:8">
      <c r="A286" s="75"/>
      <c r="B286" s="76">
        <v>663</v>
      </c>
      <c r="C286" s="77">
        <v>220103023504</v>
      </c>
      <c r="D286" s="78" t="s">
        <v>24</v>
      </c>
      <c r="E286" s="79" t="s">
        <v>12</v>
      </c>
      <c r="F286" s="80">
        <v>595.35</v>
      </c>
      <c r="G286" s="50">
        <v>252.829041327389</v>
      </c>
      <c r="H286" s="82">
        <f t="shared" si="23"/>
        <v>150521.769754261</v>
      </c>
    </row>
    <row r="287" spans="1:8">
      <c r="A287" s="75"/>
      <c r="B287" s="76">
        <v>664</v>
      </c>
      <c r="C287" s="77">
        <v>220103023505</v>
      </c>
      <c r="D287" s="78" t="s">
        <v>25</v>
      </c>
      <c r="E287" s="79" t="s">
        <v>12</v>
      </c>
      <c r="F287" s="80">
        <v>595.35</v>
      </c>
      <c r="G287" s="50">
        <v>328.605504713964</v>
      </c>
      <c r="H287" s="82">
        <f t="shared" si="23"/>
        <v>195635.287231459</v>
      </c>
    </row>
    <row r="288" spans="1:8">
      <c r="A288" s="75"/>
      <c r="B288" s="76">
        <v>665</v>
      </c>
      <c r="C288" s="77">
        <v>22010302350501</v>
      </c>
      <c r="D288" s="78" t="s">
        <v>27</v>
      </c>
      <c r="E288" s="79" t="s">
        <v>16</v>
      </c>
      <c r="F288" s="80">
        <v>1426.73</v>
      </c>
      <c r="G288" s="82">
        <f>H287/F288</f>
        <v>137.12145061186</v>
      </c>
      <c r="H288" s="82">
        <f t="shared" si="23"/>
        <v>195635.287231459</v>
      </c>
    </row>
    <row r="289" spans="1:9">
      <c r="A289" s="75"/>
      <c r="B289" s="76">
        <v>666</v>
      </c>
      <c r="C289" s="78" t="s">
        <v>304</v>
      </c>
      <c r="D289" s="78" t="s">
        <v>29</v>
      </c>
      <c r="E289" s="79" t="s">
        <v>16</v>
      </c>
      <c r="F289" s="80">
        <v>398.35</v>
      </c>
      <c r="G289" s="82">
        <f>H289/F289</f>
        <v>199.88342388152</v>
      </c>
      <c r="H289" s="82">
        <f>0.407*H288</f>
        <v>79623.5619032036</v>
      </c>
    </row>
    <row r="290" spans="1:9">
      <c r="A290" s="75"/>
      <c r="B290" s="76">
        <v>667</v>
      </c>
      <c r="C290" s="78" t="s">
        <v>305</v>
      </c>
      <c r="D290" s="78" t="s">
        <v>31</v>
      </c>
      <c r="E290" s="79" t="s">
        <v>16</v>
      </c>
      <c r="F290" s="80">
        <v>398.35</v>
      </c>
      <c r="G290" s="82">
        <f>G289</f>
        <v>199.88342388152</v>
      </c>
      <c r="H290" s="82">
        <f>H289</f>
        <v>79623.5619032036</v>
      </c>
    </row>
    <row r="291" spans="1:9">
      <c r="A291" s="75"/>
      <c r="B291" s="76">
        <v>668</v>
      </c>
      <c r="C291" s="78" t="s">
        <v>306</v>
      </c>
      <c r="D291" s="78" t="s">
        <v>33</v>
      </c>
      <c r="E291" s="79" t="s">
        <v>16</v>
      </c>
      <c r="F291" s="80">
        <v>1028.38</v>
      </c>
      <c r="G291" s="82">
        <v>106.1</v>
      </c>
      <c r="H291" s="82">
        <f>H288-H289</f>
        <v>116011.725328255</v>
      </c>
    </row>
    <row r="292" spans="1:9">
      <c r="A292" s="75" t="s">
        <v>307</v>
      </c>
      <c r="B292" s="76">
        <v>1041</v>
      </c>
      <c r="C292" s="77">
        <v>22010414</v>
      </c>
      <c r="D292" s="78" t="s">
        <v>308</v>
      </c>
      <c r="E292" s="79" t="s">
        <v>12</v>
      </c>
      <c r="F292" s="80">
        <v>111.23</v>
      </c>
      <c r="G292" s="82"/>
      <c r="H292" s="82">
        <v>42075.03</v>
      </c>
    </row>
    <row r="293" spans="1:9">
      <c r="A293" s="75"/>
      <c r="B293" s="76">
        <v>1042</v>
      </c>
      <c r="C293" s="77">
        <v>2201041402</v>
      </c>
      <c r="D293" s="78" t="s">
        <v>53</v>
      </c>
      <c r="E293" s="79" t="s">
        <v>12</v>
      </c>
      <c r="F293" s="80">
        <v>111.23</v>
      </c>
      <c r="G293" s="82">
        <v>378.27</v>
      </c>
      <c r="H293" s="82">
        <v>42075.03</v>
      </c>
    </row>
    <row r="294" spans="1:9">
      <c r="A294" s="75" t="s">
        <v>266</v>
      </c>
      <c r="B294" s="76">
        <v>1119</v>
      </c>
      <c r="C294" s="77">
        <v>22030133</v>
      </c>
      <c r="D294" s="78" t="s">
        <v>309</v>
      </c>
      <c r="E294" s="79" t="s">
        <v>12</v>
      </c>
      <c r="F294" s="80">
        <f>F295</f>
        <v>595.35</v>
      </c>
      <c r="G294" s="82"/>
      <c r="H294" s="82">
        <v>12890.55</v>
      </c>
    </row>
    <row r="295" spans="1:9">
      <c r="A295" s="75"/>
      <c r="B295" s="76">
        <v>1120</v>
      </c>
      <c r="C295" s="77">
        <v>2203013301</v>
      </c>
      <c r="D295" s="78" t="s">
        <v>44</v>
      </c>
      <c r="E295" s="79" t="s">
        <v>12</v>
      </c>
      <c r="F295" s="80">
        <v>595.35</v>
      </c>
      <c r="G295" s="82">
        <v>12.06</v>
      </c>
      <c r="H295" s="82">
        <v>7179.14</v>
      </c>
    </row>
    <row r="296" spans="1:9">
      <c r="A296" s="75"/>
      <c r="B296" s="76">
        <v>1121</v>
      </c>
      <c r="C296" s="77">
        <v>2203013302</v>
      </c>
      <c r="D296" s="78" t="s">
        <v>310</v>
      </c>
      <c r="E296" s="79" t="s">
        <v>12</v>
      </c>
      <c r="F296" s="80">
        <v>650.8</v>
      </c>
      <c r="G296" s="82">
        <v>8.41</v>
      </c>
      <c r="H296" s="82">
        <v>5468.42</v>
      </c>
    </row>
    <row r="297" spans="1:9">
      <c r="A297" s="75"/>
      <c r="B297" s="76">
        <v>1122</v>
      </c>
      <c r="C297" s="77">
        <v>2203013303</v>
      </c>
      <c r="D297" s="78" t="s">
        <v>311</v>
      </c>
      <c r="E297" s="79" t="s">
        <v>12</v>
      </c>
      <c r="F297" s="80">
        <v>54.17</v>
      </c>
      <c r="G297" s="82">
        <v>4.49</v>
      </c>
      <c r="H297" s="82">
        <v>242.99</v>
      </c>
    </row>
    <row r="298" spans="1:9">
      <c r="A298" s="75" t="s">
        <v>268</v>
      </c>
      <c r="B298" s="76">
        <v>1158</v>
      </c>
      <c r="C298" s="77">
        <v>22030233</v>
      </c>
      <c r="D298" s="78" t="s">
        <v>312</v>
      </c>
      <c r="E298" s="79" t="s">
        <v>12</v>
      </c>
      <c r="F298" s="80">
        <f>F299</f>
        <v>595.35</v>
      </c>
      <c r="G298" s="82"/>
      <c r="H298" s="82">
        <f>H299</f>
        <v>141574.363636364</v>
      </c>
    </row>
    <row r="299" spans="1:9">
      <c r="A299" s="75"/>
      <c r="B299" s="76">
        <v>1159</v>
      </c>
      <c r="C299" s="77">
        <v>2203023301</v>
      </c>
      <c r="D299" s="78" t="s">
        <v>44</v>
      </c>
      <c r="E299" s="79" t="s">
        <v>12</v>
      </c>
      <c r="F299" s="80">
        <v>595.35</v>
      </c>
      <c r="G299" s="82">
        <f>211.88/0.891</f>
        <v>237.800224466891</v>
      </c>
      <c r="H299" s="82">
        <f>G299*F299</f>
        <v>141574.363636364</v>
      </c>
      <c r="I299" s="117"/>
    </row>
    <row r="300" spans="1:9">
      <c r="A300" s="75" t="s">
        <v>270</v>
      </c>
      <c r="B300" s="76">
        <v>1210</v>
      </c>
      <c r="C300" s="77">
        <v>22030333</v>
      </c>
      <c r="D300" s="78" t="s">
        <v>313</v>
      </c>
      <c r="E300" s="79" t="s">
        <v>12</v>
      </c>
      <c r="F300" s="80">
        <f>F301</f>
        <v>595.35</v>
      </c>
      <c r="G300" s="82"/>
      <c r="H300" s="82">
        <v>31461.67</v>
      </c>
    </row>
    <row r="301" spans="1:9">
      <c r="A301" s="75"/>
      <c r="B301" s="76">
        <v>1211</v>
      </c>
      <c r="C301" s="77">
        <v>2203033301</v>
      </c>
      <c r="D301" s="78" t="s">
        <v>44</v>
      </c>
      <c r="E301" s="79" t="s">
        <v>12</v>
      </c>
      <c r="F301" s="80">
        <v>595.35</v>
      </c>
      <c r="G301" s="82">
        <v>32.28</v>
      </c>
      <c r="H301" s="82">
        <v>19214.33</v>
      </c>
    </row>
    <row r="302" spans="1:9">
      <c r="A302" s="75"/>
      <c r="B302" s="76">
        <v>1212</v>
      </c>
      <c r="C302" s="77">
        <v>2203033302</v>
      </c>
      <c r="D302" s="78" t="s">
        <v>310</v>
      </c>
      <c r="E302" s="79" t="s">
        <v>12</v>
      </c>
      <c r="F302" s="80">
        <v>650.8</v>
      </c>
      <c r="G302" s="82">
        <v>18.64</v>
      </c>
      <c r="H302" s="82">
        <v>12132.24</v>
      </c>
    </row>
    <row r="303" spans="1:9">
      <c r="A303" s="75"/>
      <c r="B303" s="76">
        <v>1213</v>
      </c>
      <c r="C303" s="77">
        <v>2203033303</v>
      </c>
      <c r="D303" s="78" t="s">
        <v>311</v>
      </c>
      <c r="E303" s="79" t="s">
        <v>12</v>
      </c>
      <c r="F303" s="80">
        <v>54.17</v>
      </c>
      <c r="G303" s="82">
        <v>2.12</v>
      </c>
      <c r="H303" s="82">
        <v>115.1</v>
      </c>
    </row>
    <row r="304" ht="28" spans="1:9">
      <c r="A304" s="75" t="s">
        <v>314</v>
      </c>
      <c r="B304" s="76">
        <v>524</v>
      </c>
      <c r="C304" s="77">
        <v>22010301</v>
      </c>
      <c r="D304" s="78" t="s">
        <v>315</v>
      </c>
      <c r="E304" s="79" t="s">
        <v>12</v>
      </c>
      <c r="F304" s="80">
        <f>F305</f>
        <v>26.09</v>
      </c>
      <c r="G304" s="82"/>
      <c r="H304" s="81">
        <f>H306+H309+H311+H312+H313</f>
        <v>236992.323266752</v>
      </c>
    </row>
    <row r="305" spans="1:8">
      <c r="A305" s="75"/>
      <c r="B305" s="76">
        <v>525</v>
      </c>
      <c r="C305" s="77">
        <v>2201030106</v>
      </c>
      <c r="D305" s="78" t="s">
        <v>63</v>
      </c>
      <c r="E305" s="79" t="s">
        <v>12</v>
      </c>
      <c r="F305" s="80">
        <v>26.09</v>
      </c>
      <c r="G305" s="82">
        <f t="shared" ref="G305:G308" si="24">H305/F305</f>
        <v>9083.64596652941</v>
      </c>
      <c r="H305" s="82">
        <f>H304</f>
        <v>236992.323266752</v>
      </c>
    </row>
    <row r="306" spans="1:8">
      <c r="A306" s="75"/>
      <c r="B306" s="76">
        <v>526</v>
      </c>
      <c r="C306" s="77">
        <v>220103010601</v>
      </c>
      <c r="D306" s="78" t="s">
        <v>13</v>
      </c>
      <c r="E306" s="79" t="s">
        <v>12</v>
      </c>
      <c r="F306" s="80">
        <v>26.09</v>
      </c>
      <c r="G306" s="50">
        <v>2003.77880519645</v>
      </c>
      <c r="H306" s="82">
        <f t="shared" ref="H306:H314" si="25">G306*F306</f>
        <v>52278.5890275753</v>
      </c>
    </row>
    <row r="307" spans="1:8">
      <c r="A307" s="75"/>
      <c r="B307" s="76">
        <v>527</v>
      </c>
      <c r="C307" s="77">
        <v>22010301060101</v>
      </c>
      <c r="D307" s="78" t="s">
        <v>15</v>
      </c>
      <c r="E307" s="79" t="s">
        <v>16</v>
      </c>
      <c r="F307" s="80">
        <v>0.5304</v>
      </c>
      <c r="G307" s="82">
        <f t="shared" si="24"/>
        <v>364.688498118455</v>
      </c>
      <c r="H307" s="82">
        <f>0.0037*H306</f>
        <v>193.430779402029</v>
      </c>
    </row>
    <row r="308" spans="1:8">
      <c r="A308" s="75"/>
      <c r="B308" s="76">
        <v>528</v>
      </c>
      <c r="C308" s="77">
        <v>22010301060102</v>
      </c>
      <c r="D308" s="78" t="s">
        <v>18</v>
      </c>
      <c r="E308" s="79" t="s">
        <v>19</v>
      </c>
      <c r="F308" s="80">
        <v>18.7075</v>
      </c>
      <c r="G308" s="82">
        <f t="shared" si="24"/>
        <v>2784.18592800605</v>
      </c>
      <c r="H308" s="82">
        <f>H306-H307</f>
        <v>52085.1582481733</v>
      </c>
    </row>
    <row r="309" spans="1:8">
      <c r="A309" s="75"/>
      <c r="B309" s="76">
        <v>529</v>
      </c>
      <c r="C309" s="77">
        <v>220103010602</v>
      </c>
      <c r="D309" s="78" t="s">
        <v>20</v>
      </c>
      <c r="E309" s="79" t="s">
        <v>12</v>
      </c>
      <c r="F309" s="80">
        <v>26.09</v>
      </c>
      <c r="G309" s="50">
        <v>1413.83736086286</v>
      </c>
      <c r="H309" s="82">
        <f t="shared" si="25"/>
        <v>36887.0167449119</v>
      </c>
    </row>
    <row r="310" spans="1:8">
      <c r="A310" s="75"/>
      <c r="B310" s="76">
        <v>530</v>
      </c>
      <c r="C310" s="77">
        <v>22010301060202</v>
      </c>
      <c r="D310" s="78" t="s">
        <v>22</v>
      </c>
      <c r="E310" s="79" t="s">
        <v>12</v>
      </c>
      <c r="F310" s="80">
        <v>26.09</v>
      </c>
      <c r="G310" s="82">
        <f>H309/F310</f>
        <v>1413.83736086286</v>
      </c>
      <c r="H310" s="82">
        <f t="shared" si="25"/>
        <v>36887.0167449119</v>
      </c>
    </row>
    <row r="311" spans="1:8">
      <c r="A311" s="75"/>
      <c r="B311" s="76">
        <v>531</v>
      </c>
      <c r="C311" s="77">
        <v>220103010603</v>
      </c>
      <c r="D311" s="78" t="s">
        <v>23</v>
      </c>
      <c r="E311" s="79" t="s">
        <v>12</v>
      </c>
      <c r="F311" s="80">
        <v>26.09</v>
      </c>
      <c r="G311" s="50">
        <v>2107.49578158714</v>
      </c>
      <c r="H311" s="82">
        <f t="shared" si="25"/>
        <v>54984.5649416085</v>
      </c>
    </row>
    <row r="312" spans="1:8">
      <c r="A312" s="75"/>
      <c r="B312" s="76">
        <v>532</v>
      </c>
      <c r="C312" s="77">
        <v>220103010604</v>
      </c>
      <c r="D312" s="78" t="s">
        <v>24</v>
      </c>
      <c r="E312" s="79" t="s">
        <v>12</v>
      </c>
      <c r="F312" s="80">
        <v>26.09</v>
      </c>
      <c r="G312" s="50">
        <v>225.715849300707</v>
      </c>
      <c r="H312" s="82">
        <f t="shared" si="25"/>
        <v>5888.92650825544</v>
      </c>
    </row>
    <row r="313" spans="1:8">
      <c r="A313" s="75"/>
      <c r="B313" s="76">
        <v>533</v>
      </c>
      <c r="C313" s="77">
        <v>220103010605</v>
      </c>
      <c r="D313" s="78" t="s">
        <v>25</v>
      </c>
      <c r="E313" s="79" t="s">
        <v>12</v>
      </c>
      <c r="F313" s="80">
        <v>29.35</v>
      </c>
      <c r="G313" s="50">
        <v>2962.63121105285</v>
      </c>
      <c r="H313" s="82">
        <f t="shared" si="25"/>
        <v>86953.2260444011</v>
      </c>
    </row>
    <row r="314" spans="1:8">
      <c r="A314" s="75"/>
      <c r="B314" s="76">
        <v>534</v>
      </c>
      <c r="C314" s="77">
        <v>22010301060501</v>
      </c>
      <c r="D314" s="78" t="s">
        <v>27</v>
      </c>
      <c r="E314" s="79" t="s">
        <v>16</v>
      </c>
      <c r="F314" s="80">
        <v>721.96</v>
      </c>
      <c r="G314" s="82">
        <f>H313/F314</f>
        <v>120.440503690511</v>
      </c>
      <c r="H314" s="82">
        <f t="shared" si="25"/>
        <v>86953.2260444011</v>
      </c>
    </row>
    <row r="315" spans="1:8">
      <c r="A315" s="75"/>
      <c r="B315" s="76">
        <v>535</v>
      </c>
      <c r="C315" s="78" t="s">
        <v>56</v>
      </c>
      <c r="D315" s="78" t="s">
        <v>29</v>
      </c>
      <c r="E315" s="79" t="s">
        <v>16</v>
      </c>
      <c r="F315" s="80">
        <v>11.88</v>
      </c>
      <c r="G315" s="82">
        <f>H315/F315</f>
        <v>212.259558525895</v>
      </c>
      <c r="H315" s="82">
        <f>0.029*H314</f>
        <v>2521.64355528763</v>
      </c>
    </row>
    <row r="316" spans="1:8">
      <c r="A316" s="75"/>
      <c r="B316" s="76">
        <v>536</v>
      </c>
      <c r="C316" s="78" t="s">
        <v>57</v>
      </c>
      <c r="D316" s="78" t="s">
        <v>31</v>
      </c>
      <c r="E316" s="79" t="s">
        <v>16</v>
      </c>
      <c r="F316" s="80">
        <v>11.88</v>
      </c>
      <c r="G316" s="82">
        <f>G315</f>
        <v>212.259558525895</v>
      </c>
      <c r="H316" s="82">
        <f>G316*F316</f>
        <v>2521.64355528763</v>
      </c>
    </row>
    <row r="317" spans="1:8">
      <c r="A317" s="75"/>
      <c r="B317" s="76">
        <v>537</v>
      </c>
      <c r="C317" s="78" t="s">
        <v>58</v>
      </c>
      <c r="D317" s="78" t="s">
        <v>33</v>
      </c>
      <c r="E317" s="79" t="s">
        <v>16</v>
      </c>
      <c r="F317" s="80">
        <v>710.08</v>
      </c>
      <c r="G317" s="82">
        <f>H317/F317</f>
        <v>118.904324145327</v>
      </c>
      <c r="H317" s="82">
        <f>H314-H316</f>
        <v>84431.5824891135</v>
      </c>
    </row>
    <row r="318" spans="1:8">
      <c r="A318" s="75"/>
      <c r="B318" s="76">
        <v>1183</v>
      </c>
      <c r="C318" s="77">
        <v>22030323</v>
      </c>
      <c r="D318" s="78" t="s">
        <v>59</v>
      </c>
      <c r="E318" s="79" t="s">
        <v>12</v>
      </c>
      <c r="F318" s="80">
        <f>F319</f>
        <v>26.09</v>
      </c>
      <c r="G318" s="82"/>
      <c r="H318" s="82">
        <v>2281.71</v>
      </c>
    </row>
    <row r="319" ht="28" spans="1:8">
      <c r="A319" s="75"/>
      <c r="B319" s="76">
        <v>1187</v>
      </c>
      <c r="C319" s="77">
        <v>2203032305</v>
      </c>
      <c r="D319" s="78" t="s">
        <v>316</v>
      </c>
      <c r="E319" s="79" t="s">
        <v>12</v>
      </c>
      <c r="F319" s="80">
        <v>26.09</v>
      </c>
      <c r="G319" s="82">
        <v>87.45</v>
      </c>
      <c r="H319" s="82">
        <v>2281.71</v>
      </c>
    </row>
    <row r="320" ht="28" spans="1:8">
      <c r="A320" s="75" t="s">
        <v>317</v>
      </c>
      <c r="B320" s="76">
        <v>524</v>
      </c>
      <c r="C320" s="77">
        <v>22010301</v>
      </c>
      <c r="D320" s="78" t="s">
        <v>318</v>
      </c>
      <c r="E320" s="79" t="s">
        <v>12</v>
      </c>
      <c r="F320" s="80">
        <f>F321</f>
        <v>26.09</v>
      </c>
      <c r="G320" s="82"/>
      <c r="H320" s="81">
        <f>H322+H325+H327+H328+H329</f>
        <v>236992.323266752</v>
      </c>
    </row>
    <row r="321" spans="1:8">
      <c r="A321" s="75"/>
      <c r="B321" s="76">
        <v>525</v>
      </c>
      <c r="C321" s="77">
        <v>2201030106</v>
      </c>
      <c r="D321" s="78" t="s">
        <v>63</v>
      </c>
      <c r="E321" s="79" t="s">
        <v>12</v>
      </c>
      <c r="F321" s="80">
        <v>26.09</v>
      </c>
      <c r="G321" s="82">
        <f t="shared" ref="G321:G324" si="26">H321/F321</f>
        <v>9083.64596652941</v>
      </c>
      <c r="H321" s="82">
        <f>H320</f>
        <v>236992.323266752</v>
      </c>
    </row>
    <row r="322" spans="1:8">
      <c r="A322" s="75"/>
      <c r="B322" s="76">
        <v>526</v>
      </c>
      <c r="C322" s="77">
        <v>220103010601</v>
      </c>
      <c r="D322" s="78" t="s">
        <v>13</v>
      </c>
      <c r="E322" s="79" t="s">
        <v>12</v>
      </c>
      <c r="F322" s="80">
        <v>26.09</v>
      </c>
      <c r="G322" s="50">
        <v>2003.77880519645</v>
      </c>
      <c r="H322" s="82">
        <f t="shared" ref="H322:H330" si="27">G322*F322</f>
        <v>52278.5890275753</v>
      </c>
    </row>
    <row r="323" spans="1:8">
      <c r="A323" s="75"/>
      <c r="B323" s="76">
        <v>527</v>
      </c>
      <c r="C323" s="77">
        <v>22010301060101</v>
      </c>
      <c r="D323" s="78" t="s">
        <v>15</v>
      </c>
      <c r="E323" s="79" t="s">
        <v>16</v>
      </c>
      <c r="F323" s="80">
        <v>0.5304</v>
      </c>
      <c r="G323" s="82">
        <f t="shared" si="26"/>
        <v>364.688498118455</v>
      </c>
      <c r="H323" s="82">
        <f>0.0037*H322</f>
        <v>193.430779402029</v>
      </c>
    </row>
    <row r="324" spans="1:8">
      <c r="A324" s="75"/>
      <c r="B324" s="76">
        <v>528</v>
      </c>
      <c r="C324" s="77">
        <v>22010301060102</v>
      </c>
      <c r="D324" s="78" t="s">
        <v>18</v>
      </c>
      <c r="E324" s="79" t="s">
        <v>19</v>
      </c>
      <c r="F324" s="80">
        <v>18.7075</v>
      </c>
      <c r="G324" s="82">
        <f t="shared" si="26"/>
        <v>2784.18592800605</v>
      </c>
      <c r="H324" s="82">
        <f>H322-H323</f>
        <v>52085.1582481733</v>
      </c>
    </row>
    <row r="325" spans="1:8">
      <c r="A325" s="75"/>
      <c r="B325" s="76">
        <v>529</v>
      </c>
      <c r="C325" s="77">
        <v>220103010602</v>
      </c>
      <c r="D325" s="78" t="s">
        <v>20</v>
      </c>
      <c r="E325" s="79" t="s">
        <v>12</v>
      </c>
      <c r="F325" s="80">
        <v>26.09</v>
      </c>
      <c r="G325" s="50">
        <v>1413.83736086286</v>
      </c>
      <c r="H325" s="82">
        <f t="shared" si="27"/>
        <v>36887.0167449119</v>
      </c>
    </row>
    <row r="326" spans="1:8">
      <c r="A326" s="75"/>
      <c r="B326" s="76">
        <v>530</v>
      </c>
      <c r="C326" s="77">
        <v>22010301060202</v>
      </c>
      <c r="D326" s="78" t="s">
        <v>22</v>
      </c>
      <c r="E326" s="79" t="s">
        <v>12</v>
      </c>
      <c r="F326" s="80">
        <v>26.09</v>
      </c>
      <c r="G326" s="82">
        <f>H325/F326</f>
        <v>1413.83736086286</v>
      </c>
      <c r="H326" s="82">
        <f t="shared" si="27"/>
        <v>36887.0167449119</v>
      </c>
    </row>
    <row r="327" spans="1:8">
      <c r="A327" s="75"/>
      <c r="B327" s="76">
        <v>531</v>
      </c>
      <c r="C327" s="77">
        <v>220103010603</v>
      </c>
      <c r="D327" s="78" t="s">
        <v>23</v>
      </c>
      <c r="E327" s="79" t="s">
        <v>12</v>
      </c>
      <c r="F327" s="80">
        <v>26.09</v>
      </c>
      <c r="G327" s="50">
        <v>2107.49578158714</v>
      </c>
      <c r="H327" s="82">
        <f t="shared" si="27"/>
        <v>54984.5649416085</v>
      </c>
    </row>
    <row r="328" spans="1:8">
      <c r="A328" s="75"/>
      <c r="B328" s="76">
        <v>532</v>
      </c>
      <c r="C328" s="77">
        <v>220103010604</v>
      </c>
      <c r="D328" s="78" t="s">
        <v>24</v>
      </c>
      <c r="E328" s="79" t="s">
        <v>12</v>
      </c>
      <c r="F328" s="80">
        <v>26.09</v>
      </c>
      <c r="G328" s="50">
        <v>225.715849300707</v>
      </c>
      <c r="H328" s="82">
        <f t="shared" si="27"/>
        <v>5888.92650825544</v>
      </c>
    </row>
    <row r="329" spans="1:8">
      <c r="A329" s="75"/>
      <c r="B329" s="76">
        <v>533</v>
      </c>
      <c r="C329" s="77">
        <v>220103010605</v>
      </c>
      <c r="D329" s="78" t="s">
        <v>25</v>
      </c>
      <c r="E329" s="79" t="s">
        <v>12</v>
      </c>
      <c r="F329" s="80">
        <v>29.35</v>
      </c>
      <c r="G329" s="50">
        <v>2962.63121105285</v>
      </c>
      <c r="H329" s="82">
        <f t="shared" si="27"/>
        <v>86953.2260444011</v>
      </c>
    </row>
    <row r="330" spans="1:8">
      <c r="A330" s="75"/>
      <c r="B330" s="76">
        <v>534</v>
      </c>
      <c r="C330" s="77">
        <v>22010301060501</v>
      </c>
      <c r="D330" s="78" t="s">
        <v>27</v>
      </c>
      <c r="E330" s="79" t="s">
        <v>16</v>
      </c>
      <c r="F330" s="80">
        <v>721.96</v>
      </c>
      <c r="G330" s="82">
        <f>H329/F330</f>
        <v>120.440503690511</v>
      </c>
      <c r="H330" s="82">
        <f t="shared" si="27"/>
        <v>86953.2260444011</v>
      </c>
    </row>
    <row r="331" spans="1:8">
      <c r="A331" s="75"/>
      <c r="B331" s="76">
        <v>535</v>
      </c>
      <c r="C331" s="78" t="s">
        <v>56</v>
      </c>
      <c r="D331" s="78" t="s">
        <v>29</v>
      </c>
      <c r="E331" s="79" t="s">
        <v>16</v>
      </c>
      <c r="F331" s="80">
        <v>11.88</v>
      </c>
      <c r="G331" s="82">
        <f>H331/F331</f>
        <v>212.259558525895</v>
      </c>
      <c r="H331" s="82">
        <f>0.029*H330</f>
        <v>2521.64355528763</v>
      </c>
    </row>
    <row r="332" spans="1:8">
      <c r="A332" s="75"/>
      <c r="B332" s="76">
        <v>536</v>
      </c>
      <c r="C332" s="78" t="s">
        <v>57</v>
      </c>
      <c r="D332" s="78" t="s">
        <v>31</v>
      </c>
      <c r="E332" s="79" t="s">
        <v>16</v>
      </c>
      <c r="F332" s="80">
        <v>11.88</v>
      </c>
      <c r="G332" s="82">
        <f>G331</f>
        <v>212.259558525895</v>
      </c>
      <c r="H332" s="82">
        <f>G332*F332</f>
        <v>2521.64355528763</v>
      </c>
    </row>
    <row r="333" spans="1:8">
      <c r="A333" s="75"/>
      <c r="B333" s="76">
        <v>537</v>
      </c>
      <c r="C333" s="78" t="s">
        <v>58</v>
      </c>
      <c r="D333" s="78" t="s">
        <v>33</v>
      </c>
      <c r="E333" s="79" t="s">
        <v>16</v>
      </c>
      <c r="F333" s="80">
        <v>710.08</v>
      </c>
      <c r="G333" s="82">
        <f>H333/F333</f>
        <v>118.904324145327</v>
      </c>
      <c r="H333" s="82">
        <f>H330-H332</f>
        <v>84431.5824891135</v>
      </c>
    </row>
    <row r="334" spans="1:8">
      <c r="A334" s="75"/>
      <c r="B334" s="76">
        <v>1183</v>
      </c>
      <c r="C334" s="77">
        <v>22030323</v>
      </c>
      <c r="D334" s="78" t="s">
        <v>59</v>
      </c>
      <c r="E334" s="79" t="s">
        <v>12</v>
      </c>
      <c r="F334" s="80">
        <f>F335</f>
        <v>26.09</v>
      </c>
      <c r="G334" s="82"/>
      <c r="H334" s="82">
        <v>2281.71</v>
      </c>
    </row>
    <row r="335" ht="28" spans="1:8">
      <c r="A335" s="75"/>
      <c r="B335" s="76">
        <v>1187</v>
      </c>
      <c r="C335" s="77">
        <v>2203032305</v>
      </c>
      <c r="D335" s="78" t="s">
        <v>319</v>
      </c>
      <c r="E335" s="79" t="s">
        <v>12</v>
      </c>
      <c r="F335" s="80">
        <v>26.09</v>
      </c>
      <c r="G335" s="82">
        <v>87.45</v>
      </c>
      <c r="H335" s="82">
        <v>2281.71</v>
      </c>
    </row>
    <row r="336" ht="28" spans="1:8">
      <c r="A336" s="75" t="s">
        <v>320</v>
      </c>
      <c r="B336" s="76">
        <v>524</v>
      </c>
      <c r="C336" s="77">
        <v>22010301</v>
      </c>
      <c r="D336" s="78" t="s">
        <v>321</v>
      </c>
      <c r="E336" s="79" t="s">
        <v>12</v>
      </c>
      <c r="F336" s="80">
        <f>F337</f>
        <v>26.09</v>
      </c>
      <c r="G336" s="82"/>
      <c r="H336" s="81">
        <f>H338+H341+H343+H344+H345</f>
        <v>236992.323266752</v>
      </c>
    </row>
    <row r="337" spans="1:8">
      <c r="A337" s="75"/>
      <c r="B337" s="76">
        <v>525</v>
      </c>
      <c r="C337" s="77">
        <v>2201030106</v>
      </c>
      <c r="D337" s="78" t="s">
        <v>63</v>
      </c>
      <c r="E337" s="79" t="s">
        <v>12</v>
      </c>
      <c r="F337" s="80">
        <v>26.09</v>
      </c>
      <c r="G337" s="82">
        <f t="shared" ref="G337:G340" si="28">H337/F337</f>
        <v>9083.64596652941</v>
      </c>
      <c r="H337" s="82">
        <f>H336</f>
        <v>236992.323266752</v>
      </c>
    </row>
    <row r="338" spans="1:8">
      <c r="A338" s="75"/>
      <c r="B338" s="76">
        <v>526</v>
      </c>
      <c r="C338" s="77">
        <v>220103010601</v>
      </c>
      <c r="D338" s="78" t="s">
        <v>13</v>
      </c>
      <c r="E338" s="79" t="s">
        <v>12</v>
      </c>
      <c r="F338" s="80">
        <v>26.09</v>
      </c>
      <c r="G338" s="50">
        <v>2003.77880519645</v>
      </c>
      <c r="H338" s="82">
        <f t="shared" ref="H338:H346" si="29">G338*F338</f>
        <v>52278.5890275753</v>
      </c>
    </row>
    <row r="339" spans="1:8">
      <c r="A339" s="75"/>
      <c r="B339" s="76">
        <v>527</v>
      </c>
      <c r="C339" s="77">
        <v>22010301060101</v>
      </c>
      <c r="D339" s="78" t="s">
        <v>15</v>
      </c>
      <c r="E339" s="79" t="s">
        <v>16</v>
      </c>
      <c r="F339" s="80">
        <v>0.5304</v>
      </c>
      <c r="G339" s="82">
        <f t="shared" si="28"/>
        <v>364.688498118455</v>
      </c>
      <c r="H339" s="82">
        <f>0.0037*H338</f>
        <v>193.430779402029</v>
      </c>
    </row>
    <row r="340" spans="1:8">
      <c r="A340" s="75"/>
      <c r="B340" s="76">
        <v>528</v>
      </c>
      <c r="C340" s="77">
        <v>22010301060102</v>
      </c>
      <c r="D340" s="78" t="s">
        <v>18</v>
      </c>
      <c r="E340" s="79" t="s">
        <v>19</v>
      </c>
      <c r="F340" s="80">
        <v>18.7075</v>
      </c>
      <c r="G340" s="82">
        <f t="shared" si="28"/>
        <v>2784.18592800605</v>
      </c>
      <c r="H340" s="82">
        <f>H338-H339</f>
        <v>52085.1582481733</v>
      </c>
    </row>
    <row r="341" spans="1:8">
      <c r="A341" s="75"/>
      <c r="B341" s="76">
        <v>529</v>
      </c>
      <c r="C341" s="77">
        <v>220103010602</v>
      </c>
      <c r="D341" s="78" t="s">
        <v>20</v>
      </c>
      <c r="E341" s="79" t="s">
        <v>12</v>
      </c>
      <c r="F341" s="80">
        <v>26.09</v>
      </c>
      <c r="G341" s="50">
        <v>1413.83736086286</v>
      </c>
      <c r="H341" s="82">
        <f t="shared" si="29"/>
        <v>36887.0167449119</v>
      </c>
    </row>
    <row r="342" spans="1:8">
      <c r="A342" s="75"/>
      <c r="B342" s="76">
        <v>530</v>
      </c>
      <c r="C342" s="77">
        <v>22010301060202</v>
      </c>
      <c r="D342" s="78" t="s">
        <v>22</v>
      </c>
      <c r="E342" s="79" t="s">
        <v>12</v>
      </c>
      <c r="F342" s="80">
        <v>26.09</v>
      </c>
      <c r="G342" s="82">
        <f>H341/F342</f>
        <v>1413.83736086286</v>
      </c>
      <c r="H342" s="82">
        <f t="shared" si="29"/>
        <v>36887.0167449119</v>
      </c>
    </row>
    <row r="343" spans="1:8">
      <c r="A343" s="75"/>
      <c r="B343" s="76">
        <v>531</v>
      </c>
      <c r="C343" s="77">
        <v>220103010603</v>
      </c>
      <c r="D343" s="78" t="s">
        <v>23</v>
      </c>
      <c r="E343" s="79" t="s">
        <v>12</v>
      </c>
      <c r="F343" s="80">
        <v>26.09</v>
      </c>
      <c r="G343" s="50">
        <v>2107.49578158714</v>
      </c>
      <c r="H343" s="82">
        <f t="shared" si="29"/>
        <v>54984.5649416085</v>
      </c>
    </row>
    <row r="344" spans="1:8">
      <c r="A344" s="75"/>
      <c r="B344" s="76">
        <v>532</v>
      </c>
      <c r="C344" s="77">
        <v>220103010604</v>
      </c>
      <c r="D344" s="78" t="s">
        <v>24</v>
      </c>
      <c r="E344" s="79" t="s">
        <v>12</v>
      </c>
      <c r="F344" s="80">
        <v>26.09</v>
      </c>
      <c r="G344" s="50">
        <v>225.715849300707</v>
      </c>
      <c r="H344" s="82">
        <f t="shared" si="29"/>
        <v>5888.92650825544</v>
      </c>
    </row>
    <row r="345" spans="1:8">
      <c r="A345" s="75"/>
      <c r="B345" s="76">
        <v>533</v>
      </c>
      <c r="C345" s="77">
        <v>220103010605</v>
      </c>
      <c r="D345" s="78" t="s">
        <v>25</v>
      </c>
      <c r="E345" s="79" t="s">
        <v>12</v>
      </c>
      <c r="F345" s="80">
        <v>29.35</v>
      </c>
      <c r="G345" s="50">
        <v>2962.63121105285</v>
      </c>
      <c r="H345" s="82">
        <f t="shared" si="29"/>
        <v>86953.2260444011</v>
      </c>
    </row>
    <row r="346" spans="1:8">
      <c r="A346" s="75"/>
      <c r="B346" s="76">
        <v>534</v>
      </c>
      <c r="C346" s="77">
        <v>22010301060501</v>
      </c>
      <c r="D346" s="78" t="s">
        <v>27</v>
      </c>
      <c r="E346" s="79" t="s">
        <v>16</v>
      </c>
      <c r="F346" s="80">
        <v>721.96</v>
      </c>
      <c r="G346" s="82">
        <f>H345/F346</f>
        <v>120.440503690511</v>
      </c>
      <c r="H346" s="82">
        <f t="shared" si="29"/>
        <v>86953.2260444011</v>
      </c>
    </row>
    <row r="347" spans="1:8">
      <c r="A347" s="75"/>
      <c r="B347" s="76">
        <v>535</v>
      </c>
      <c r="C347" s="78" t="s">
        <v>56</v>
      </c>
      <c r="D347" s="78" t="s">
        <v>29</v>
      </c>
      <c r="E347" s="79" t="s">
        <v>16</v>
      </c>
      <c r="F347" s="80">
        <v>11.88</v>
      </c>
      <c r="G347" s="82">
        <f>H347/F347</f>
        <v>212.259558525895</v>
      </c>
      <c r="H347" s="82">
        <f>0.029*H346</f>
        <v>2521.64355528763</v>
      </c>
    </row>
    <row r="348" spans="1:8">
      <c r="A348" s="75"/>
      <c r="B348" s="76">
        <v>536</v>
      </c>
      <c r="C348" s="78" t="s">
        <v>57</v>
      </c>
      <c r="D348" s="78" t="s">
        <v>31</v>
      </c>
      <c r="E348" s="79" t="s">
        <v>16</v>
      </c>
      <c r="F348" s="80">
        <v>11.88</v>
      </c>
      <c r="G348" s="82">
        <f>G347</f>
        <v>212.259558525895</v>
      </c>
      <c r="H348" s="82">
        <f>G348*F348</f>
        <v>2521.64355528763</v>
      </c>
    </row>
    <row r="349" spans="1:8">
      <c r="A349" s="75"/>
      <c r="B349" s="76">
        <v>537</v>
      </c>
      <c r="C349" s="78" t="s">
        <v>58</v>
      </c>
      <c r="D349" s="78" t="s">
        <v>33</v>
      </c>
      <c r="E349" s="79" t="s">
        <v>16</v>
      </c>
      <c r="F349" s="80">
        <v>710.08</v>
      </c>
      <c r="G349" s="82">
        <f>H349/F349</f>
        <v>118.904324145327</v>
      </c>
      <c r="H349" s="82">
        <f>H346-H348</f>
        <v>84431.5824891135</v>
      </c>
    </row>
    <row r="350" spans="1:8">
      <c r="A350" s="75"/>
      <c r="B350" s="76">
        <v>1183</v>
      </c>
      <c r="C350" s="77">
        <v>22030323</v>
      </c>
      <c r="D350" s="78" t="s">
        <v>59</v>
      </c>
      <c r="E350" s="79" t="s">
        <v>12</v>
      </c>
      <c r="F350" s="80">
        <f>F351</f>
        <v>26.09</v>
      </c>
      <c r="G350" s="82"/>
      <c r="H350" s="82">
        <v>2281.71</v>
      </c>
    </row>
    <row r="351" ht="28" spans="1:8">
      <c r="A351" s="75"/>
      <c r="B351" s="76">
        <v>1187</v>
      </c>
      <c r="C351" s="77">
        <v>2203032305</v>
      </c>
      <c r="D351" s="78" t="s">
        <v>322</v>
      </c>
      <c r="E351" s="79" t="s">
        <v>12</v>
      </c>
      <c r="F351" s="80">
        <v>26.09</v>
      </c>
      <c r="G351" s="82">
        <v>87.45</v>
      </c>
      <c r="H351" s="82">
        <v>2281.71</v>
      </c>
    </row>
    <row r="352" ht="28" spans="1:8">
      <c r="A352" s="75" t="s">
        <v>323</v>
      </c>
      <c r="B352" s="76">
        <v>524</v>
      </c>
      <c r="C352" s="77">
        <v>22010301</v>
      </c>
      <c r="D352" s="78" t="s">
        <v>324</v>
      </c>
      <c r="E352" s="79" t="s">
        <v>12</v>
      </c>
      <c r="F352" s="80">
        <f>F353</f>
        <v>26.09</v>
      </c>
      <c r="G352" s="82"/>
      <c r="H352" s="81">
        <f>H354+H357+H359+H360+H361</f>
        <v>236992.323266752</v>
      </c>
    </row>
    <row r="353" spans="1:8">
      <c r="A353" s="75"/>
      <c r="B353" s="76">
        <v>525</v>
      </c>
      <c r="C353" s="77">
        <v>2201030106</v>
      </c>
      <c r="D353" s="78" t="s">
        <v>63</v>
      </c>
      <c r="E353" s="79" t="s">
        <v>12</v>
      </c>
      <c r="F353" s="80">
        <v>26.09</v>
      </c>
      <c r="G353" s="82">
        <f t="shared" ref="G353:G356" si="30">H353/F353</f>
        <v>9083.64596652941</v>
      </c>
      <c r="H353" s="82">
        <f>H352</f>
        <v>236992.323266752</v>
      </c>
    </row>
    <row r="354" spans="1:8">
      <c r="A354" s="75"/>
      <c r="B354" s="76">
        <v>526</v>
      </c>
      <c r="C354" s="77">
        <v>220103010601</v>
      </c>
      <c r="D354" s="78" t="s">
        <v>13</v>
      </c>
      <c r="E354" s="79" t="s">
        <v>12</v>
      </c>
      <c r="F354" s="80">
        <v>26.09</v>
      </c>
      <c r="G354" s="50">
        <v>2003.77880519645</v>
      </c>
      <c r="H354" s="82">
        <f t="shared" ref="H354:H362" si="31">G354*F354</f>
        <v>52278.5890275753</v>
      </c>
    </row>
    <row r="355" spans="1:8">
      <c r="A355" s="75"/>
      <c r="B355" s="76">
        <v>527</v>
      </c>
      <c r="C355" s="77">
        <v>22010301060101</v>
      </c>
      <c r="D355" s="78" t="s">
        <v>15</v>
      </c>
      <c r="E355" s="79" t="s">
        <v>16</v>
      </c>
      <c r="F355" s="80">
        <v>0.5304</v>
      </c>
      <c r="G355" s="82">
        <f t="shared" si="30"/>
        <v>364.688498118455</v>
      </c>
      <c r="H355" s="82">
        <f>0.0037*H354</f>
        <v>193.430779402029</v>
      </c>
    </row>
    <row r="356" spans="1:8">
      <c r="A356" s="75"/>
      <c r="B356" s="76">
        <v>528</v>
      </c>
      <c r="C356" s="77">
        <v>22010301060102</v>
      </c>
      <c r="D356" s="78" t="s">
        <v>18</v>
      </c>
      <c r="E356" s="79" t="s">
        <v>19</v>
      </c>
      <c r="F356" s="80">
        <v>18.7075</v>
      </c>
      <c r="G356" s="82">
        <f t="shared" si="30"/>
        <v>2784.18592800605</v>
      </c>
      <c r="H356" s="82">
        <f>H354-H355</f>
        <v>52085.1582481733</v>
      </c>
    </row>
    <row r="357" spans="1:8">
      <c r="A357" s="75"/>
      <c r="B357" s="76">
        <v>529</v>
      </c>
      <c r="C357" s="77">
        <v>220103010602</v>
      </c>
      <c r="D357" s="78" t="s">
        <v>20</v>
      </c>
      <c r="E357" s="79" t="s">
        <v>12</v>
      </c>
      <c r="F357" s="80">
        <v>26.09</v>
      </c>
      <c r="G357" s="50">
        <v>1413.83736086286</v>
      </c>
      <c r="H357" s="82">
        <f t="shared" si="31"/>
        <v>36887.0167449119</v>
      </c>
    </row>
    <row r="358" spans="1:8">
      <c r="A358" s="75"/>
      <c r="B358" s="76">
        <v>530</v>
      </c>
      <c r="C358" s="77">
        <v>22010301060202</v>
      </c>
      <c r="D358" s="78" t="s">
        <v>22</v>
      </c>
      <c r="E358" s="79" t="s">
        <v>12</v>
      </c>
      <c r="F358" s="80">
        <v>26.09</v>
      </c>
      <c r="G358" s="82">
        <f>H357/F358</f>
        <v>1413.83736086286</v>
      </c>
      <c r="H358" s="82">
        <f t="shared" si="31"/>
        <v>36887.0167449119</v>
      </c>
    </row>
    <row r="359" spans="1:8">
      <c r="A359" s="75"/>
      <c r="B359" s="76">
        <v>531</v>
      </c>
      <c r="C359" s="77">
        <v>220103010603</v>
      </c>
      <c r="D359" s="78" t="s">
        <v>23</v>
      </c>
      <c r="E359" s="79" t="s">
        <v>12</v>
      </c>
      <c r="F359" s="80">
        <v>26.09</v>
      </c>
      <c r="G359" s="50">
        <v>2107.49578158714</v>
      </c>
      <c r="H359" s="82">
        <f t="shared" si="31"/>
        <v>54984.5649416085</v>
      </c>
    </row>
    <row r="360" spans="1:8">
      <c r="A360" s="75"/>
      <c r="B360" s="76">
        <v>532</v>
      </c>
      <c r="C360" s="77">
        <v>220103010604</v>
      </c>
      <c r="D360" s="78" t="s">
        <v>24</v>
      </c>
      <c r="E360" s="79" t="s">
        <v>12</v>
      </c>
      <c r="F360" s="80">
        <v>26.09</v>
      </c>
      <c r="G360" s="50">
        <v>225.715849300707</v>
      </c>
      <c r="H360" s="82">
        <f t="shared" si="31"/>
        <v>5888.92650825544</v>
      </c>
    </row>
    <row r="361" spans="1:8">
      <c r="A361" s="75"/>
      <c r="B361" s="76">
        <v>533</v>
      </c>
      <c r="C361" s="77">
        <v>220103010605</v>
      </c>
      <c r="D361" s="78" t="s">
        <v>25</v>
      </c>
      <c r="E361" s="79" t="s">
        <v>12</v>
      </c>
      <c r="F361" s="80">
        <v>29.35</v>
      </c>
      <c r="G361" s="50">
        <v>2962.63121105285</v>
      </c>
      <c r="H361" s="82">
        <f t="shared" si="31"/>
        <v>86953.2260444011</v>
      </c>
    </row>
    <row r="362" spans="1:8">
      <c r="A362" s="75"/>
      <c r="B362" s="76">
        <v>534</v>
      </c>
      <c r="C362" s="77">
        <v>22010301060501</v>
      </c>
      <c r="D362" s="78" t="s">
        <v>27</v>
      </c>
      <c r="E362" s="79" t="s">
        <v>16</v>
      </c>
      <c r="F362" s="80">
        <v>721.96</v>
      </c>
      <c r="G362" s="82">
        <f>H361/F362</f>
        <v>120.440503690511</v>
      </c>
      <c r="H362" s="82">
        <f t="shared" si="31"/>
        <v>86953.2260444011</v>
      </c>
    </row>
    <row r="363" spans="1:8">
      <c r="A363" s="75"/>
      <c r="B363" s="76">
        <v>535</v>
      </c>
      <c r="C363" s="78" t="s">
        <v>56</v>
      </c>
      <c r="D363" s="78" t="s">
        <v>29</v>
      </c>
      <c r="E363" s="79" t="s">
        <v>16</v>
      </c>
      <c r="F363" s="80">
        <v>11.88</v>
      </c>
      <c r="G363" s="82">
        <f>H363/F363</f>
        <v>212.259558525895</v>
      </c>
      <c r="H363" s="82">
        <f>0.029*H362</f>
        <v>2521.64355528763</v>
      </c>
    </row>
    <row r="364" spans="1:8">
      <c r="A364" s="75"/>
      <c r="B364" s="76">
        <v>536</v>
      </c>
      <c r="C364" s="78" t="s">
        <v>57</v>
      </c>
      <c r="D364" s="78" t="s">
        <v>31</v>
      </c>
      <c r="E364" s="79" t="s">
        <v>16</v>
      </c>
      <c r="F364" s="80">
        <v>11.88</v>
      </c>
      <c r="G364" s="82">
        <f>G363</f>
        <v>212.259558525895</v>
      </c>
      <c r="H364" s="82">
        <f>G364*F364</f>
        <v>2521.64355528763</v>
      </c>
    </row>
    <row r="365" spans="1:8">
      <c r="A365" s="75"/>
      <c r="B365" s="76">
        <v>537</v>
      </c>
      <c r="C365" s="78" t="s">
        <v>58</v>
      </c>
      <c r="D365" s="78" t="s">
        <v>33</v>
      </c>
      <c r="E365" s="79" t="s">
        <v>16</v>
      </c>
      <c r="F365" s="80">
        <v>710.08</v>
      </c>
      <c r="G365" s="82">
        <f>H365/F365</f>
        <v>118.904324145327</v>
      </c>
      <c r="H365" s="82">
        <f>H362-H364</f>
        <v>84431.5824891135</v>
      </c>
    </row>
    <row r="366" spans="1:8">
      <c r="A366" s="75"/>
      <c r="B366" s="76">
        <v>1183</v>
      </c>
      <c r="C366" s="77">
        <v>22030323</v>
      </c>
      <c r="D366" s="78" t="s">
        <v>59</v>
      </c>
      <c r="E366" s="79" t="s">
        <v>12</v>
      </c>
      <c r="F366" s="80">
        <f>F367</f>
        <v>26.09</v>
      </c>
      <c r="G366" s="82"/>
      <c r="H366" s="82">
        <v>2281.71</v>
      </c>
    </row>
    <row r="367" ht="28" spans="1:8">
      <c r="A367" s="75"/>
      <c r="B367" s="76">
        <v>1187</v>
      </c>
      <c r="C367" s="77">
        <v>2203032305</v>
      </c>
      <c r="D367" s="78" t="s">
        <v>325</v>
      </c>
      <c r="E367" s="79" t="s">
        <v>12</v>
      </c>
      <c r="F367" s="80">
        <v>26.09</v>
      </c>
      <c r="G367" s="82">
        <v>87.45</v>
      </c>
      <c r="H367" s="82">
        <v>2281.71</v>
      </c>
    </row>
    <row r="368" ht="28" spans="1:8">
      <c r="A368" s="75" t="s">
        <v>326</v>
      </c>
      <c r="B368" s="76">
        <v>524</v>
      </c>
      <c r="C368" s="77">
        <v>22010301</v>
      </c>
      <c r="D368" s="78" t="s">
        <v>327</v>
      </c>
      <c r="E368" s="79" t="s">
        <v>12</v>
      </c>
      <c r="F368" s="80">
        <f>F369</f>
        <v>26.09</v>
      </c>
      <c r="G368" s="82"/>
      <c r="H368" s="81">
        <f>H370+H373+H375+H376+H377</f>
        <v>236992.323266752</v>
      </c>
    </row>
    <row r="369" spans="1:8">
      <c r="A369" s="75"/>
      <c r="B369" s="76">
        <v>525</v>
      </c>
      <c r="C369" s="77">
        <v>2201030106</v>
      </c>
      <c r="D369" s="78" t="s">
        <v>63</v>
      </c>
      <c r="E369" s="79" t="s">
        <v>12</v>
      </c>
      <c r="F369" s="80">
        <v>26.09</v>
      </c>
      <c r="G369" s="82">
        <f t="shared" ref="G369:G372" si="32">H369/F369</f>
        <v>9083.64596652941</v>
      </c>
      <c r="H369" s="82">
        <f>H368</f>
        <v>236992.323266752</v>
      </c>
    </row>
    <row r="370" spans="1:8">
      <c r="A370" s="75"/>
      <c r="B370" s="76">
        <v>526</v>
      </c>
      <c r="C370" s="77">
        <v>220103010601</v>
      </c>
      <c r="D370" s="78" t="s">
        <v>13</v>
      </c>
      <c r="E370" s="79" t="s">
        <v>12</v>
      </c>
      <c r="F370" s="80">
        <v>26.09</v>
      </c>
      <c r="G370" s="50">
        <v>2003.77880519645</v>
      </c>
      <c r="H370" s="82">
        <f t="shared" ref="H370:H378" si="33">G370*F370</f>
        <v>52278.5890275753</v>
      </c>
    </row>
    <row r="371" spans="1:8">
      <c r="A371" s="75"/>
      <c r="B371" s="76">
        <v>527</v>
      </c>
      <c r="C371" s="77">
        <v>22010301060101</v>
      </c>
      <c r="D371" s="78" t="s">
        <v>15</v>
      </c>
      <c r="E371" s="79" t="s">
        <v>16</v>
      </c>
      <c r="F371" s="80">
        <v>0.5304</v>
      </c>
      <c r="G371" s="82">
        <f t="shared" si="32"/>
        <v>364.688498118455</v>
      </c>
      <c r="H371" s="82">
        <f>0.0037*H370</f>
        <v>193.430779402029</v>
      </c>
    </row>
    <row r="372" spans="1:8">
      <c r="A372" s="75"/>
      <c r="B372" s="76">
        <v>528</v>
      </c>
      <c r="C372" s="77">
        <v>22010301060102</v>
      </c>
      <c r="D372" s="78" t="s">
        <v>18</v>
      </c>
      <c r="E372" s="79" t="s">
        <v>19</v>
      </c>
      <c r="F372" s="80">
        <v>18.7075</v>
      </c>
      <c r="G372" s="82">
        <f t="shared" si="32"/>
        <v>2784.18592800605</v>
      </c>
      <c r="H372" s="82">
        <f>H370-H371</f>
        <v>52085.1582481733</v>
      </c>
    </row>
    <row r="373" spans="1:8">
      <c r="A373" s="75"/>
      <c r="B373" s="76">
        <v>529</v>
      </c>
      <c r="C373" s="77">
        <v>220103010602</v>
      </c>
      <c r="D373" s="78" t="s">
        <v>20</v>
      </c>
      <c r="E373" s="79" t="s">
        <v>12</v>
      </c>
      <c r="F373" s="80">
        <v>26.09</v>
      </c>
      <c r="G373" s="50">
        <v>1413.83736086286</v>
      </c>
      <c r="H373" s="82">
        <f t="shared" si="33"/>
        <v>36887.0167449119</v>
      </c>
    </row>
    <row r="374" spans="1:8">
      <c r="A374" s="75"/>
      <c r="B374" s="76">
        <v>530</v>
      </c>
      <c r="C374" s="77">
        <v>22010301060202</v>
      </c>
      <c r="D374" s="78" t="s">
        <v>22</v>
      </c>
      <c r="E374" s="79" t="s">
        <v>12</v>
      </c>
      <c r="F374" s="80">
        <v>26.09</v>
      </c>
      <c r="G374" s="82">
        <f>H373/F374</f>
        <v>1413.83736086286</v>
      </c>
      <c r="H374" s="82">
        <f t="shared" si="33"/>
        <v>36887.0167449119</v>
      </c>
    </row>
    <row r="375" spans="1:8">
      <c r="A375" s="75"/>
      <c r="B375" s="76">
        <v>531</v>
      </c>
      <c r="C375" s="77">
        <v>220103010603</v>
      </c>
      <c r="D375" s="78" t="s">
        <v>23</v>
      </c>
      <c r="E375" s="79" t="s">
        <v>12</v>
      </c>
      <c r="F375" s="80">
        <v>26.09</v>
      </c>
      <c r="G375" s="50">
        <v>2107.49578158714</v>
      </c>
      <c r="H375" s="82">
        <f t="shared" si="33"/>
        <v>54984.5649416085</v>
      </c>
    </row>
    <row r="376" spans="1:8">
      <c r="A376" s="75"/>
      <c r="B376" s="76">
        <v>532</v>
      </c>
      <c r="C376" s="77">
        <v>220103010604</v>
      </c>
      <c r="D376" s="78" t="s">
        <v>24</v>
      </c>
      <c r="E376" s="79" t="s">
        <v>12</v>
      </c>
      <c r="F376" s="80">
        <v>26.09</v>
      </c>
      <c r="G376" s="50">
        <v>225.715849300707</v>
      </c>
      <c r="H376" s="82">
        <f t="shared" si="33"/>
        <v>5888.92650825544</v>
      </c>
    </row>
    <row r="377" spans="1:8">
      <c r="A377" s="75"/>
      <c r="B377" s="76">
        <v>533</v>
      </c>
      <c r="C377" s="77">
        <v>220103010605</v>
      </c>
      <c r="D377" s="78" t="s">
        <v>25</v>
      </c>
      <c r="E377" s="79" t="s">
        <v>12</v>
      </c>
      <c r="F377" s="80">
        <v>29.35</v>
      </c>
      <c r="G377" s="50">
        <v>2962.63121105285</v>
      </c>
      <c r="H377" s="82">
        <f t="shared" si="33"/>
        <v>86953.2260444011</v>
      </c>
    </row>
    <row r="378" spans="1:8">
      <c r="A378" s="75"/>
      <c r="B378" s="76">
        <v>534</v>
      </c>
      <c r="C378" s="77">
        <v>22010301060501</v>
      </c>
      <c r="D378" s="78" t="s">
        <v>27</v>
      </c>
      <c r="E378" s="79" t="s">
        <v>16</v>
      </c>
      <c r="F378" s="80">
        <v>721.96</v>
      </c>
      <c r="G378" s="82">
        <f>H377/F378</f>
        <v>120.440503690511</v>
      </c>
      <c r="H378" s="82">
        <f t="shared" si="33"/>
        <v>86953.2260444011</v>
      </c>
    </row>
    <row r="379" spans="1:8">
      <c r="A379" s="75"/>
      <c r="B379" s="76">
        <v>535</v>
      </c>
      <c r="C379" s="78" t="s">
        <v>56</v>
      </c>
      <c r="D379" s="78" t="s">
        <v>29</v>
      </c>
      <c r="E379" s="79" t="s">
        <v>16</v>
      </c>
      <c r="F379" s="80">
        <v>11.88</v>
      </c>
      <c r="G379" s="82">
        <f>H379/F379</f>
        <v>212.259558525895</v>
      </c>
      <c r="H379" s="82">
        <f>0.029*H378</f>
        <v>2521.64355528763</v>
      </c>
    </row>
    <row r="380" spans="1:8">
      <c r="A380" s="75"/>
      <c r="B380" s="76">
        <v>536</v>
      </c>
      <c r="C380" s="78" t="s">
        <v>57</v>
      </c>
      <c r="D380" s="78" t="s">
        <v>31</v>
      </c>
      <c r="E380" s="79" t="s">
        <v>16</v>
      </c>
      <c r="F380" s="80">
        <v>11.88</v>
      </c>
      <c r="G380" s="82">
        <f>G379</f>
        <v>212.259558525895</v>
      </c>
      <c r="H380" s="82">
        <f>G380*F380</f>
        <v>2521.64355528763</v>
      </c>
    </row>
    <row r="381" spans="1:8">
      <c r="A381" s="75"/>
      <c r="B381" s="76">
        <v>537</v>
      </c>
      <c r="C381" s="78" t="s">
        <v>58</v>
      </c>
      <c r="D381" s="78" t="s">
        <v>33</v>
      </c>
      <c r="E381" s="79" t="s">
        <v>16</v>
      </c>
      <c r="F381" s="80">
        <v>710.08</v>
      </c>
      <c r="G381" s="82">
        <f>H381/F381</f>
        <v>118.904324145327</v>
      </c>
      <c r="H381" s="82">
        <f>H378-H380</f>
        <v>84431.5824891135</v>
      </c>
    </row>
    <row r="382" spans="1:8">
      <c r="A382" s="75"/>
      <c r="B382" s="76">
        <v>1183</v>
      </c>
      <c r="C382" s="77">
        <v>22030323</v>
      </c>
      <c r="D382" s="78" t="s">
        <v>59</v>
      </c>
      <c r="E382" s="79" t="s">
        <v>12</v>
      </c>
      <c r="F382" s="80">
        <f>F383</f>
        <v>26.09</v>
      </c>
      <c r="G382" s="82"/>
      <c r="H382" s="82">
        <v>2281.71</v>
      </c>
    </row>
    <row r="383" ht="28" spans="1:8">
      <c r="A383" s="75"/>
      <c r="B383" s="76">
        <v>1187</v>
      </c>
      <c r="C383" s="77">
        <v>2203032305</v>
      </c>
      <c r="D383" s="78" t="s">
        <v>328</v>
      </c>
      <c r="E383" s="79" t="s">
        <v>12</v>
      </c>
      <c r="F383" s="80">
        <v>26.09</v>
      </c>
      <c r="G383" s="82">
        <v>87.45</v>
      </c>
      <c r="H383" s="82">
        <v>2281.71</v>
      </c>
    </row>
    <row r="384" ht="28" spans="1:8">
      <c r="A384" s="75" t="s">
        <v>329</v>
      </c>
      <c r="B384" s="76">
        <v>524</v>
      </c>
      <c r="C384" s="77">
        <v>22010301</v>
      </c>
      <c r="D384" s="78" t="s">
        <v>330</v>
      </c>
      <c r="E384" s="79" t="s">
        <v>12</v>
      </c>
      <c r="F384" s="80">
        <f>F385</f>
        <v>26.09</v>
      </c>
      <c r="G384" s="82"/>
      <c r="H384" s="81">
        <f>H386+H389+H391+H392+H393</f>
        <v>236992.323266752</v>
      </c>
    </row>
    <row r="385" spans="1:8">
      <c r="A385" s="75"/>
      <c r="B385" s="76">
        <v>525</v>
      </c>
      <c r="C385" s="77">
        <v>2201030106</v>
      </c>
      <c r="D385" s="78" t="s">
        <v>63</v>
      </c>
      <c r="E385" s="79" t="s">
        <v>12</v>
      </c>
      <c r="F385" s="80">
        <v>26.09</v>
      </c>
      <c r="G385" s="82">
        <f t="shared" ref="G385:G388" si="34">H385/F385</f>
        <v>9083.64596652941</v>
      </c>
      <c r="H385" s="82">
        <f>H384</f>
        <v>236992.323266752</v>
      </c>
    </row>
    <row r="386" spans="1:8">
      <c r="A386" s="75"/>
      <c r="B386" s="76">
        <v>526</v>
      </c>
      <c r="C386" s="77">
        <v>220103010601</v>
      </c>
      <c r="D386" s="78" t="s">
        <v>13</v>
      </c>
      <c r="E386" s="79" t="s">
        <v>12</v>
      </c>
      <c r="F386" s="80">
        <v>26.09</v>
      </c>
      <c r="G386" s="50">
        <v>2003.77880519645</v>
      </c>
      <c r="H386" s="82">
        <f t="shared" ref="H386:H394" si="35">G386*F386</f>
        <v>52278.5890275753</v>
      </c>
    </row>
    <row r="387" spans="1:8">
      <c r="A387" s="75"/>
      <c r="B387" s="76">
        <v>527</v>
      </c>
      <c r="C387" s="77">
        <v>22010301060101</v>
      </c>
      <c r="D387" s="78" t="s">
        <v>15</v>
      </c>
      <c r="E387" s="79" t="s">
        <v>16</v>
      </c>
      <c r="F387" s="80">
        <v>0.5304</v>
      </c>
      <c r="G387" s="82">
        <f t="shared" si="34"/>
        <v>364.688498118455</v>
      </c>
      <c r="H387" s="82">
        <f>0.0037*H386</f>
        <v>193.430779402029</v>
      </c>
    </row>
    <row r="388" spans="1:8">
      <c r="A388" s="75"/>
      <c r="B388" s="76">
        <v>528</v>
      </c>
      <c r="C388" s="77">
        <v>22010301060102</v>
      </c>
      <c r="D388" s="78" t="s">
        <v>18</v>
      </c>
      <c r="E388" s="79" t="s">
        <v>19</v>
      </c>
      <c r="F388" s="80">
        <v>18.7075</v>
      </c>
      <c r="G388" s="82">
        <f t="shared" si="34"/>
        <v>2784.18592800605</v>
      </c>
      <c r="H388" s="82">
        <f>H386-H387</f>
        <v>52085.1582481733</v>
      </c>
    </row>
    <row r="389" spans="1:8">
      <c r="A389" s="75"/>
      <c r="B389" s="76">
        <v>529</v>
      </c>
      <c r="C389" s="77">
        <v>220103010602</v>
      </c>
      <c r="D389" s="78" t="s">
        <v>20</v>
      </c>
      <c r="E389" s="79" t="s">
        <v>12</v>
      </c>
      <c r="F389" s="80">
        <v>26.09</v>
      </c>
      <c r="G389" s="50">
        <v>1413.83736086286</v>
      </c>
      <c r="H389" s="82">
        <f t="shared" si="35"/>
        <v>36887.0167449119</v>
      </c>
    </row>
    <row r="390" spans="1:8">
      <c r="A390" s="75"/>
      <c r="B390" s="76">
        <v>530</v>
      </c>
      <c r="C390" s="77">
        <v>22010301060202</v>
      </c>
      <c r="D390" s="78" t="s">
        <v>22</v>
      </c>
      <c r="E390" s="79" t="s">
        <v>12</v>
      </c>
      <c r="F390" s="80">
        <v>26.09</v>
      </c>
      <c r="G390" s="82">
        <f>H389/F390</f>
        <v>1413.83736086286</v>
      </c>
      <c r="H390" s="82">
        <f t="shared" si="35"/>
        <v>36887.0167449119</v>
      </c>
    </row>
    <row r="391" spans="1:8">
      <c r="A391" s="75"/>
      <c r="B391" s="76">
        <v>531</v>
      </c>
      <c r="C391" s="77">
        <v>220103010603</v>
      </c>
      <c r="D391" s="78" t="s">
        <v>23</v>
      </c>
      <c r="E391" s="79" t="s">
        <v>12</v>
      </c>
      <c r="F391" s="80">
        <v>26.09</v>
      </c>
      <c r="G391" s="50">
        <v>2107.49578158714</v>
      </c>
      <c r="H391" s="82">
        <f t="shared" si="35"/>
        <v>54984.5649416085</v>
      </c>
    </row>
    <row r="392" spans="1:8">
      <c r="A392" s="75"/>
      <c r="B392" s="76">
        <v>532</v>
      </c>
      <c r="C392" s="77">
        <v>220103010604</v>
      </c>
      <c r="D392" s="78" t="s">
        <v>24</v>
      </c>
      <c r="E392" s="79" t="s">
        <v>12</v>
      </c>
      <c r="F392" s="80">
        <v>26.09</v>
      </c>
      <c r="G392" s="50">
        <v>225.715849300707</v>
      </c>
      <c r="H392" s="82">
        <f t="shared" si="35"/>
        <v>5888.92650825544</v>
      </c>
    </row>
    <row r="393" spans="1:8">
      <c r="A393" s="75"/>
      <c r="B393" s="76">
        <v>533</v>
      </c>
      <c r="C393" s="77">
        <v>220103010605</v>
      </c>
      <c r="D393" s="78" t="s">
        <v>25</v>
      </c>
      <c r="E393" s="79" t="s">
        <v>12</v>
      </c>
      <c r="F393" s="80">
        <v>29.35</v>
      </c>
      <c r="G393" s="50">
        <v>2962.63121105285</v>
      </c>
      <c r="H393" s="82">
        <f t="shared" si="35"/>
        <v>86953.2260444011</v>
      </c>
    </row>
    <row r="394" spans="1:8">
      <c r="A394" s="75"/>
      <c r="B394" s="76">
        <v>534</v>
      </c>
      <c r="C394" s="77">
        <v>22010301060501</v>
      </c>
      <c r="D394" s="78" t="s">
        <v>27</v>
      </c>
      <c r="E394" s="79" t="s">
        <v>16</v>
      </c>
      <c r="F394" s="80">
        <v>721.96</v>
      </c>
      <c r="G394" s="82">
        <f>H393/F394</f>
        <v>120.440503690511</v>
      </c>
      <c r="H394" s="82">
        <f t="shared" si="35"/>
        <v>86953.2260444011</v>
      </c>
    </row>
    <row r="395" spans="1:8">
      <c r="A395" s="75"/>
      <c r="B395" s="76">
        <v>535</v>
      </c>
      <c r="C395" s="78" t="s">
        <v>56</v>
      </c>
      <c r="D395" s="78" t="s">
        <v>29</v>
      </c>
      <c r="E395" s="79" t="s">
        <v>16</v>
      </c>
      <c r="F395" s="80">
        <v>11.88</v>
      </c>
      <c r="G395" s="82">
        <f>H395/F395</f>
        <v>212.259558525895</v>
      </c>
      <c r="H395" s="82">
        <f>0.029*H394</f>
        <v>2521.64355528763</v>
      </c>
    </row>
    <row r="396" spans="1:8">
      <c r="A396" s="75"/>
      <c r="B396" s="76">
        <v>536</v>
      </c>
      <c r="C396" s="78" t="s">
        <v>57</v>
      </c>
      <c r="D396" s="78" t="s">
        <v>31</v>
      </c>
      <c r="E396" s="79" t="s">
        <v>16</v>
      </c>
      <c r="F396" s="80">
        <v>11.88</v>
      </c>
      <c r="G396" s="82">
        <f>G395</f>
        <v>212.259558525895</v>
      </c>
      <c r="H396" s="82">
        <f>G396*F396</f>
        <v>2521.64355528763</v>
      </c>
    </row>
    <row r="397" spans="1:8">
      <c r="A397" s="75"/>
      <c r="B397" s="76">
        <v>537</v>
      </c>
      <c r="C397" s="78" t="s">
        <v>58</v>
      </c>
      <c r="D397" s="78" t="s">
        <v>33</v>
      </c>
      <c r="E397" s="79" t="s">
        <v>16</v>
      </c>
      <c r="F397" s="80">
        <v>710.08</v>
      </c>
      <c r="G397" s="82">
        <f>H397/F397</f>
        <v>118.904324145327</v>
      </c>
      <c r="H397" s="82">
        <f>H394-H396</f>
        <v>84431.5824891135</v>
      </c>
    </row>
    <row r="398" spans="1:8">
      <c r="A398" s="75"/>
      <c r="B398" s="76">
        <v>1183</v>
      </c>
      <c r="C398" s="77">
        <v>22030323</v>
      </c>
      <c r="D398" s="78" t="s">
        <v>59</v>
      </c>
      <c r="E398" s="79" t="s">
        <v>12</v>
      </c>
      <c r="F398" s="80">
        <f>F399</f>
        <v>26.09</v>
      </c>
      <c r="G398" s="82"/>
      <c r="H398" s="82">
        <v>2281.71</v>
      </c>
    </row>
    <row r="399" ht="28" spans="1:8">
      <c r="A399" s="75"/>
      <c r="B399" s="76">
        <v>1187</v>
      </c>
      <c r="C399" s="77">
        <v>2203032305</v>
      </c>
      <c r="D399" s="78" t="s">
        <v>331</v>
      </c>
      <c r="E399" s="79" t="s">
        <v>12</v>
      </c>
      <c r="F399" s="80">
        <v>26.09</v>
      </c>
      <c r="G399" s="82">
        <v>87.45</v>
      </c>
      <c r="H399" s="82">
        <v>2281.71</v>
      </c>
    </row>
    <row r="400" spans="1:8">
      <c r="A400" s="83"/>
      <c r="B400" s="84"/>
      <c r="C400" s="85"/>
      <c r="D400" s="86"/>
      <c r="E400" s="87"/>
      <c r="F400" s="88"/>
      <c r="H400" s="50"/>
    </row>
    <row r="401" spans="1:8">
      <c r="A401" s="118" t="s">
        <v>172</v>
      </c>
      <c r="B401" s="118"/>
      <c r="C401" s="118"/>
      <c r="D401" s="118"/>
      <c r="E401" s="118"/>
      <c r="F401" s="118"/>
      <c r="G401" s="119"/>
      <c r="H401" s="120"/>
    </row>
    <row r="402" spans="1:8">
      <c r="A402" s="93" t="s">
        <v>1</v>
      </c>
      <c r="B402" s="93" t="s">
        <v>173</v>
      </c>
      <c r="C402" s="93" t="s">
        <v>174</v>
      </c>
      <c r="D402" s="93" t="s">
        <v>175</v>
      </c>
      <c r="E402" s="93" t="s">
        <v>176</v>
      </c>
      <c r="F402" s="94" t="s">
        <v>177</v>
      </c>
      <c r="G402" s="121" t="s">
        <v>7</v>
      </c>
      <c r="H402" s="96"/>
    </row>
    <row r="403" ht="17" spans="1:8">
      <c r="A403" s="93"/>
      <c r="B403" s="93"/>
      <c r="C403" s="93"/>
      <c r="D403" s="93"/>
      <c r="E403" s="93"/>
      <c r="F403" s="94"/>
      <c r="G403" s="97" t="s">
        <v>178</v>
      </c>
      <c r="H403" s="98" t="s">
        <v>179</v>
      </c>
    </row>
    <row r="404" spans="1:8">
      <c r="A404" s="75"/>
      <c r="B404" s="76"/>
      <c r="C404" s="77"/>
      <c r="D404" s="78"/>
      <c r="E404" s="79"/>
      <c r="F404" s="80"/>
      <c r="G404" s="82"/>
      <c r="H404" s="99">
        <v>1933019.316</v>
      </c>
    </row>
    <row r="405" spans="1:8">
      <c r="A405" s="75" t="s">
        <v>332</v>
      </c>
      <c r="B405" s="76">
        <v>1230</v>
      </c>
      <c r="C405" s="77">
        <v>23</v>
      </c>
      <c r="D405" s="78" t="s">
        <v>181</v>
      </c>
      <c r="E405" s="100" t="s">
        <v>182</v>
      </c>
      <c r="F405" s="101"/>
      <c r="G405" s="82"/>
      <c r="H405" s="82">
        <v>175244.0292</v>
      </c>
    </row>
    <row r="406" spans="1:8">
      <c r="A406" s="75"/>
      <c r="B406" s="76">
        <v>1231</v>
      </c>
      <c r="C406" s="77">
        <v>2301</v>
      </c>
      <c r="D406" s="78" t="s">
        <v>183</v>
      </c>
      <c r="E406" s="79" t="s">
        <v>184</v>
      </c>
      <c r="F406" s="102"/>
      <c r="G406" s="82"/>
      <c r="H406" s="82">
        <v>19264.878</v>
      </c>
    </row>
    <row r="407" spans="1:8">
      <c r="A407" s="75"/>
      <c r="B407" s="76">
        <v>1232</v>
      </c>
      <c r="C407" s="103"/>
      <c r="D407" s="78" t="s">
        <v>185</v>
      </c>
      <c r="E407" s="79" t="s">
        <v>184</v>
      </c>
      <c r="F407" s="102"/>
      <c r="G407" s="82"/>
      <c r="H407" s="82">
        <v>18943.7184</v>
      </c>
    </row>
    <row r="408" spans="1:8">
      <c r="A408" s="75"/>
      <c r="B408" s="76">
        <v>1236</v>
      </c>
      <c r="C408" s="77">
        <v>230102</v>
      </c>
      <c r="D408" s="78" t="s">
        <v>186</v>
      </c>
      <c r="E408" s="79" t="s">
        <v>187</v>
      </c>
      <c r="F408" s="104"/>
      <c r="G408" s="82"/>
      <c r="H408" s="82">
        <v>18943.7184</v>
      </c>
    </row>
    <row r="409" spans="1:8">
      <c r="A409" s="75"/>
      <c r="B409" s="76">
        <v>1239</v>
      </c>
      <c r="C409" s="77">
        <v>23010204</v>
      </c>
      <c r="D409" s="78" t="s">
        <v>188</v>
      </c>
      <c r="E409" s="79" t="s">
        <v>187</v>
      </c>
      <c r="F409" s="104">
        <v>33</v>
      </c>
      <c r="G409" s="82">
        <f>H409/F409</f>
        <v>574.052072727273</v>
      </c>
      <c r="H409" s="82">
        <v>18943.7184</v>
      </c>
    </row>
    <row r="410" spans="1:8">
      <c r="A410" s="75"/>
      <c r="B410" s="76">
        <v>1243</v>
      </c>
      <c r="C410" s="103"/>
      <c r="D410" s="78" t="s">
        <v>189</v>
      </c>
      <c r="E410" s="79" t="s">
        <v>184</v>
      </c>
      <c r="F410" s="102"/>
      <c r="G410" s="82"/>
      <c r="H410" s="82">
        <v>321.1704</v>
      </c>
    </row>
    <row r="411" spans="1:8">
      <c r="A411" s="75"/>
      <c r="B411" s="76">
        <v>1244</v>
      </c>
      <c r="C411" s="77">
        <v>230104</v>
      </c>
      <c r="D411" s="78" t="s">
        <v>190</v>
      </c>
      <c r="E411" s="79" t="s">
        <v>184</v>
      </c>
      <c r="F411" s="105">
        <v>0.00414104655540218</v>
      </c>
      <c r="G411" s="82"/>
      <c r="H411" s="82">
        <v>321.1704</v>
      </c>
    </row>
    <row r="412" spans="1:8">
      <c r="A412" s="75"/>
      <c r="B412" s="76">
        <v>1245</v>
      </c>
      <c r="C412" s="77">
        <v>2302</v>
      </c>
      <c r="D412" s="78" t="s">
        <v>191</v>
      </c>
      <c r="E412" s="79" t="s">
        <v>184</v>
      </c>
      <c r="F412" s="102"/>
      <c r="G412" s="82"/>
      <c r="H412" s="82">
        <v>155979.1512</v>
      </c>
    </row>
    <row r="413" spans="1:8">
      <c r="A413" s="75"/>
      <c r="B413" s="76">
        <v>1246</v>
      </c>
      <c r="C413" s="103"/>
      <c r="D413" s="78" t="s">
        <v>185</v>
      </c>
      <c r="E413" s="79" t="s">
        <v>184</v>
      </c>
      <c r="F413" s="102"/>
      <c r="G413" s="82"/>
      <c r="H413" s="82">
        <v>155715.2964</v>
      </c>
    </row>
    <row r="414" spans="1:8">
      <c r="A414" s="75"/>
      <c r="B414" s="76">
        <v>1247</v>
      </c>
      <c r="C414" s="77">
        <v>230201</v>
      </c>
      <c r="D414" s="78" t="s">
        <v>192</v>
      </c>
      <c r="E414" s="79" t="s">
        <v>187</v>
      </c>
      <c r="F414" s="104"/>
      <c r="G414" s="82"/>
      <c r="H414" s="82">
        <v>75448.2492</v>
      </c>
    </row>
    <row r="415" spans="1:8">
      <c r="A415" s="75"/>
      <c r="B415" s="76">
        <v>1249</v>
      </c>
      <c r="C415" s="77">
        <v>23020104</v>
      </c>
      <c r="D415" s="78" t="s">
        <v>193</v>
      </c>
      <c r="E415" s="79" t="s">
        <v>187</v>
      </c>
      <c r="F415" s="104">
        <v>77</v>
      </c>
      <c r="G415" s="82">
        <f>H415/F415</f>
        <v>979.847392207792</v>
      </c>
      <c r="H415" s="82">
        <v>75448.2492</v>
      </c>
    </row>
    <row r="416" spans="1:8">
      <c r="A416" s="75"/>
      <c r="B416" s="76">
        <v>1251</v>
      </c>
      <c r="C416" s="77">
        <v>230203</v>
      </c>
      <c r="D416" s="78" t="s">
        <v>194</v>
      </c>
      <c r="E416" s="79" t="s">
        <v>195</v>
      </c>
      <c r="F416" s="104"/>
      <c r="G416" s="82"/>
      <c r="H416" s="82">
        <v>80267.0472</v>
      </c>
    </row>
    <row r="417" spans="1:8">
      <c r="A417" s="75"/>
      <c r="B417" s="76">
        <v>1252</v>
      </c>
      <c r="C417" s="77">
        <v>23020301</v>
      </c>
      <c r="D417" s="78" t="s">
        <v>196</v>
      </c>
      <c r="E417" s="79" t="s">
        <v>195</v>
      </c>
      <c r="F417" s="104"/>
      <c r="G417" s="82"/>
      <c r="H417" s="82">
        <v>80267.0472</v>
      </c>
    </row>
    <row r="418" spans="1:8">
      <c r="A418" s="75"/>
      <c r="B418" s="76">
        <v>1254</v>
      </c>
      <c r="C418" s="77">
        <v>2302030102</v>
      </c>
      <c r="D418" s="78" t="s">
        <v>197</v>
      </c>
      <c r="E418" s="79" t="s">
        <v>195</v>
      </c>
      <c r="F418" s="104">
        <v>1</v>
      </c>
      <c r="G418" s="82">
        <f>H418/F418</f>
        <v>80267.0472</v>
      </c>
      <c r="H418" s="82">
        <v>80267.0472</v>
      </c>
    </row>
    <row r="419" spans="1:8">
      <c r="A419" s="75"/>
      <c r="B419" s="76">
        <v>1260</v>
      </c>
      <c r="C419" s="103"/>
      <c r="D419" s="78" t="s">
        <v>189</v>
      </c>
      <c r="E419" s="79" t="s">
        <v>184</v>
      </c>
      <c r="F419" s="102"/>
      <c r="G419" s="82"/>
      <c r="H419" s="82">
        <v>263.8548</v>
      </c>
    </row>
    <row r="420" spans="1:8">
      <c r="A420" s="75"/>
      <c r="B420" s="76">
        <v>1261</v>
      </c>
      <c r="C420" s="77">
        <v>230204</v>
      </c>
      <c r="D420" s="78" t="s">
        <v>190</v>
      </c>
      <c r="E420" s="79"/>
      <c r="F420" s="102">
        <v>0.0218427323272438</v>
      </c>
      <c r="G420" s="82"/>
      <c r="H420" s="82">
        <v>263.8548</v>
      </c>
    </row>
    <row r="421" spans="1:8">
      <c r="A421" s="75" t="s">
        <v>333</v>
      </c>
      <c r="B421" s="76">
        <v>1230</v>
      </c>
      <c r="C421" s="77">
        <v>23</v>
      </c>
      <c r="D421" s="78" t="s">
        <v>181</v>
      </c>
      <c r="E421" s="100" t="s">
        <v>182</v>
      </c>
      <c r="F421" s="101"/>
      <c r="G421" s="82"/>
      <c r="H421" s="82">
        <v>668058.8076</v>
      </c>
    </row>
    <row r="422" spans="1:8">
      <c r="A422" s="75"/>
      <c r="B422" s="76">
        <v>1231</v>
      </c>
      <c r="C422" s="77">
        <v>2301</v>
      </c>
      <c r="D422" s="78" t="s">
        <v>183</v>
      </c>
      <c r="E422" s="79" t="s">
        <v>184</v>
      </c>
      <c r="F422" s="102"/>
      <c r="G422" s="82"/>
      <c r="H422" s="82">
        <v>381013.9668</v>
      </c>
    </row>
    <row r="423" spans="1:8">
      <c r="A423" s="75"/>
      <c r="B423" s="76">
        <v>1232</v>
      </c>
      <c r="C423" s="103"/>
      <c r="D423" s="78" t="s">
        <v>185</v>
      </c>
      <c r="E423" s="79" t="s">
        <v>184</v>
      </c>
      <c r="F423" s="102"/>
      <c r="G423" s="82"/>
      <c r="H423" s="82">
        <v>378960.4224</v>
      </c>
    </row>
    <row r="424" spans="1:8">
      <c r="A424" s="75"/>
      <c r="B424" s="76">
        <v>1236</v>
      </c>
      <c r="C424" s="77">
        <v>230102</v>
      </c>
      <c r="D424" s="78" t="s">
        <v>186</v>
      </c>
      <c r="E424" s="79" t="s">
        <v>187</v>
      </c>
      <c r="F424" s="104"/>
      <c r="G424" s="82"/>
      <c r="H424" s="82">
        <v>121124.0736</v>
      </c>
    </row>
    <row r="425" spans="1:8">
      <c r="A425" s="75"/>
      <c r="B425" s="76">
        <v>1239</v>
      </c>
      <c r="C425" s="77">
        <v>23010204</v>
      </c>
      <c r="D425" s="78" t="s">
        <v>188</v>
      </c>
      <c r="E425" s="79" t="s">
        <v>187</v>
      </c>
      <c r="F425" s="104">
        <v>211</v>
      </c>
      <c r="G425" s="82">
        <f>H425/F425</f>
        <v>574.047742180095</v>
      </c>
      <c r="H425" s="82">
        <v>121124.0736</v>
      </c>
    </row>
    <row r="426" spans="1:8">
      <c r="A426" s="75"/>
      <c r="B426" s="76">
        <v>1241</v>
      </c>
      <c r="C426" s="77">
        <v>230103</v>
      </c>
      <c r="D426" s="78" t="s">
        <v>204</v>
      </c>
      <c r="E426" s="79" t="s">
        <v>195</v>
      </c>
      <c r="F426" s="104"/>
      <c r="G426" s="82"/>
      <c r="H426" s="82">
        <v>257836.3488</v>
      </c>
    </row>
    <row r="427" spans="1:8">
      <c r="A427" s="75"/>
      <c r="B427" s="76">
        <v>1242</v>
      </c>
      <c r="C427" s="77">
        <v>23010302</v>
      </c>
      <c r="D427" s="78" t="s">
        <v>205</v>
      </c>
      <c r="E427" s="79" t="s">
        <v>195</v>
      </c>
      <c r="F427" s="104">
        <v>1</v>
      </c>
      <c r="G427" s="82">
        <f>H427/F427</f>
        <v>257836.3488</v>
      </c>
      <c r="H427" s="82">
        <v>257836.3488</v>
      </c>
    </row>
    <row r="428" spans="1:8">
      <c r="A428" s="75"/>
      <c r="B428" s="76">
        <v>1243</v>
      </c>
      <c r="C428" s="103"/>
      <c r="D428" s="78" t="s">
        <v>189</v>
      </c>
      <c r="E428" s="79" t="s">
        <v>184</v>
      </c>
      <c r="F428" s="102"/>
      <c r="G428" s="82"/>
      <c r="H428" s="82">
        <v>2053.5336</v>
      </c>
    </row>
    <row r="429" spans="1:8">
      <c r="A429" s="75"/>
      <c r="B429" s="76">
        <v>1244</v>
      </c>
      <c r="C429" s="77">
        <v>230104</v>
      </c>
      <c r="D429" s="78" t="s">
        <v>190</v>
      </c>
      <c r="E429" s="79" t="s">
        <v>184</v>
      </c>
      <c r="F429" s="105">
        <v>0.0264776007027231</v>
      </c>
      <c r="G429" s="82"/>
      <c r="H429" s="82">
        <v>2053.5336</v>
      </c>
    </row>
    <row r="430" spans="1:8">
      <c r="A430" s="75"/>
      <c r="B430" s="76">
        <v>1245</v>
      </c>
      <c r="C430" s="77">
        <v>2302</v>
      </c>
      <c r="D430" s="78" t="s">
        <v>191</v>
      </c>
      <c r="E430" s="79" t="s">
        <v>184</v>
      </c>
      <c r="F430" s="102"/>
      <c r="G430" s="82"/>
      <c r="H430" s="82">
        <v>287044.8408</v>
      </c>
    </row>
    <row r="431" spans="1:8">
      <c r="A431" s="75"/>
      <c r="B431" s="76">
        <v>1246</v>
      </c>
      <c r="C431" s="103"/>
      <c r="D431" s="78" t="s">
        <v>185</v>
      </c>
      <c r="E431" s="79" t="s">
        <v>184</v>
      </c>
      <c r="F431" s="102"/>
      <c r="G431" s="82"/>
      <c r="H431" s="82">
        <v>286034.9868</v>
      </c>
    </row>
    <row r="432" spans="1:8">
      <c r="A432" s="75"/>
      <c r="B432" s="76">
        <v>1247</v>
      </c>
      <c r="C432" s="77">
        <v>230201</v>
      </c>
      <c r="D432" s="78" t="s">
        <v>192</v>
      </c>
      <c r="E432" s="79" t="s">
        <v>187</v>
      </c>
      <c r="F432" s="104"/>
      <c r="G432" s="82"/>
      <c r="H432" s="82">
        <v>205767.9396</v>
      </c>
    </row>
    <row r="433" spans="1:8">
      <c r="A433" s="75"/>
      <c r="B433" s="76">
        <v>1249</v>
      </c>
      <c r="C433" s="77">
        <v>23020104</v>
      </c>
      <c r="D433" s="78" t="s">
        <v>193</v>
      </c>
      <c r="E433" s="79" t="s">
        <v>187</v>
      </c>
      <c r="F433" s="104">
        <v>210</v>
      </c>
      <c r="G433" s="82">
        <f>H433/F433</f>
        <v>979.847331428571</v>
      </c>
      <c r="H433" s="82">
        <v>205767.9396</v>
      </c>
    </row>
    <row r="434" spans="1:8">
      <c r="A434" s="75"/>
      <c r="B434" s="76">
        <v>1251</v>
      </c>
      <c r="C434" s="77">
        <v>230203</v>
      </c>
      <c r="D434" s="78" t="s">
        <v>194</v>
      </c>
      <c r="E434" s="79" t="s">
        <v>195</v>
      </c>
      <c r="F434" s="104"/>
      <c r="G434" s="82"/>
      <c r="H434" s="82">
        <v>80267.0472</v>
      </c>
    </row>
    <row r="435" spans="1:8">
      <c r="A435" s="75"/>
      <c r="B435" s="76">
        <v>1252</v>
      </c>
      <c r="C435" s="77">
        <v>23020301</v>
      </c>
      <c r="D435" s="78" t="s">
        <v>196</v>
      </c>
      <c r="E435" s="79" t="s">
        <v>195</v>
      </c>
      <c r="F435" s="104"/>
      <c r="G435" s="82"/>
      <c r="H435" s="82">
        <v>80267.0472</v>
      </c>
    </row>
    <row r="436" spans="1:8">
      <c r="A436" s="75"/>
      <c r="B436" s="76">
        <v>1254</v>
      </c>
      <c r="C436" s="77">
        <v>2302030102</v>
      </c>
      <c r="D436" s="78" t="s">
        <v>197</v>
      </c>
      <c r="E436" s="79" t="s">
        <v>195</v>
      </c>
      <c r="F436" s="104">
        <v>1</v>
      </c>
      <c r="G436" s="82">
        <f>H436/F436</f>
        <v>80267.0472</v>
      </c>
      <c r="H436" s="82">
        <v>80267.0472</v>
      </c>
    </row>
    <row r="437" spans="1:8">
      <c r="A437" s="75"/>
      <c r="B437" s="76">
        <v>1260</v>
      </c>
      <c r="C437" s="103"/>
      <c r="D437" s="78" t="s">
        <v>189</v>
      </c>
      <c r="E437" s="79" t="s">
        <v>184</v>
      </c>
      <c r="F437" s="102"/>
      <c r="G437" s="82"/>
      <c r="H437" s="82">
        <v>1009.854</v>
      </c>
    </row>
    <row r="438" spans="1:8">
      <c r="A438" s="75"/>
      <c r="B438" s="76">
        <v>1261</v>
      </c>
      <c r="C438" s="77">
        <v>230204</v>
      </c>
      <c r="D438" s="78" t="s">
        <v>190</v>
      </c>
      <c r="E438" s="79"/>
      <c r="F438" s="102">
        <v>0.0835980937251787</v>
      </c>
      <c r="G438" s="82"/>
      <c r="H438" s="82">
        <v>1009.854</v>
      </c>
    </row>
    <row r="439" spans="1:8">
      <c r="A439" s="75" t="s">
        <v>334</v>
      </c>
      <c r="B439" s="76">
        <v>1230</v>
      </c>
      <c r="C439" s="77">
        <v>23</v>
      </c>
      <c r="D439" s="78" t="s">
        <v>181</v>
      </c>
      <c r="E439" s="100" t="s">
        <v>182</v>
      </c>
      <c r="F439" s="101"/>
      <c r="G439" s="82"/>
      <c r="H439" s="82">
        <v>256041.864</v>
      </c>
    </row>
    <row r="440" spans="1:8">
      <c r="A440" s="75"/>
      <c r="B440" s="76">
        <v>1231</v>
      </c>
      <c r="C440" s="77">
        <v>2301</v>
      </c>
      <c r="D440" s="78" t="s">
        <v>183</v>
      </c>
      <c r="E440" s="79" t="s">
        <v>184</v>
      </c>
      <c r="F440" s="102"/>
      <c r="G440" s="82"/>
      <c r="H440" s="82">
        <v>44951.4036</v>
      </c>
    </row>
    <row r="441" spans="1:8">
      <c r="A441" s="75"/>
      <c r="B441" s="76">
        <v>1232</v>
      </c>
      <c r="C441" s="103"/>
      <c r="D441" s="78" t="s">
        <v>185</v>
      </c>
      <c r="E441" s="79" t="s">
        <v>184</v>
      </c>
      <c r="F441" s="102"/>
      <c r="G441" s="82"/>
      <c r="H441" s="82">
        <v>44202.0024</v>
      </c>
    </row>
    <row r="442" spans="1:8">
      <c r="A442" s="75"/>
      <c r="B442" s="76">
        <v>1236</v>
      </c>
      <c r="C442" s="77">
        <v>230102</v>
      </c>
      <c r="D442" s="78" t="s">
        <v>186</v>
      </c>
      <c r="E442" s="79" t="s">
        <v>187</v>
      </c>
      <c r="F442" s="104"/>
      <c r="G442" s="82"/>
      <c r="H442" s="82">
        <v>44202.0024</v>
      </c>
    </row>
    <row r="443" spans="1:8">
      <c r="A443" s="75"/>
      <c r="B443" s="76">
        <v>1239</v>
      </c>
      <c r="C443" s="77">
        <v>23010204</v>
      </c>
      <c r="D443" s="78" t="s">
        <v>188</v>
      </c>
      <c r="E443" s="79" t="s">
        <v>187</v>
      </c>
      <c r="F443" s="104">
        <v>77</v>
      </c>
      <c r="G443" s="82">
        <f>H443/F443</f>
        <v>574.051979220779</v>
      </c>
      <c r="H443" s="82">
        <v>44202.0024</v>
      </c>
    </row>
    <row r="444" spans="1:8">
      <c r="A444" s="75"/>
      <c r="B444" s="76">
        <v>1243</v>
      </c>
      <c r="C444" s="103"/>
      <c r="D444" s="78" t="s">
        <v>189</v>
      </c>
      <c r="E444" s="79" t="s">
        <v>184</v>
      </c>
      <c r="F444" s="102"/>
      <c r="G444" s="82"/>
      <c r="H444" s="82">
        <v>749.3904</v>
      </c>
    </row>
    <row r="445" spans="1:8">
      <c r="A445" s="75"/>
      <c r="B445" s="76">
        <v>1244</v>
      </c>
      <c r="C445" s="77">
        <v>230104</v>
      </c>
      <c r="D445" s="78" t="s">
        <v>190</v>
      </c>
      <c r="E445" s="79" t="s">
        <v>184</v>
      </c>
      <c r="F445" s="105">
        <v>0.0096624419626051</v>
      </c>
      <c r="G445" s="82"/>
      <c r="H445" s="82">
        <v>749.3904</v>
      </c>
    </row>
    <row r="446" spans="1:8">
      <c r="A446" s="75"/>
      <c r="B446" s="76">
        <v>1245</v>
      </c>
      <c r="C446" s="77">
        <v>2302</v>
      </c>
      <c r="D446" s="78" t="s">
        <v>191</v>
      </c>
      <c r="E446" s="79" t="s">
        <v>184</v>
      </c>
      <c r="F446" s="102"/>
      <c r="G446" s="82"/>
      <c r="H446" s="82">
        <v>211090.4712</v>
      </c>
    </row>
    <row r="447" spans="1:8">
      <c r="A447" s="75"/>
      <c r="B447" s="76">
        <v>1246</v>
      </c>
      <c r="C447" s="103"/>
      <c r="D447" s="78" t="s">
        <v>185</v>
      </c>
      <c r="E447" s="79" t="s">
        <v>184</v>
      </c>
      <c r="F447" s="102"/>
      <c r="G447" s="82"/>
      <c r="H447" s="82">
        <v>210586.7484</v>
      </c>
    </row>
    <row r="448" spans="1:8">
      <c r="A448" s="75"/>
      <c r="B448" s="76">
        <v>1247</v>
      </c>
      <c r="C448" s="77">
        <v>230201</v>
      </c>
      <c r="D448" s="78" t="s">
        <v>192</v>
      </c>
      <c r="E448" s="79" t="s">
        <v>187</v>
      </c>
      <c r="F448" s="104"/>
      <c r="G448" s="82"/>
      <c r="H448" s="82">
        <v>130319.7012</v>
      </c>
    </row>
    <row r="449" spans="1:8">
      <c r="A449" s="75"/>
      <c r="B449" s="76">
        <v>1249</v>
      </c>
      <c r="C449" s="77">
        <v>23020104</v>
      </c>
      <c r="D449" s="78" t="s">
        <v>193</v>
      </c>
      <c r="E449" s="79" t="s">
        <v>187</v>
      </c>
      <c r="F449" s="104">
        <v>133</v>
      </c>
      <c r="G449" s="82">
        <f>H449/F449</f>
        <v>979.847377443609</v>
      </c>
      <c r="H449" s="82">
        <v>130319.7012</v>
      </c>
    </row>
    <row r="450" spans="1:8">
      <c r="A450" s="75"/>
      <c r="B450" s="76">
        <v>1251</v>
      </c>
      <c r="C450" s="77">
        <v>230203</v>
      </c>
      <c r="D450" s="78" t="s">
        <v>194</v>
      </c>
      <c r="E450" s="79" t="s">
        <v>195</v>
      </c>
      <c r="F450" s="104"/>
      <c r="G450" s="82"/>
      <c r="H450" s="82">
        <v>80267.0472</v>
      </c>
    </row>
    <row r="451" spans="1:8">
      <c r="A451" s="75"/>
      <c r="B451" s="76">
        <v>1252</v>
      </c>
      <c r="C451" s="77">
        <v>23020301</v>
      </c>
      <c r="D451" s="78" t="s">
        <v>196</v>
      </c>
      <c r="E451" s="79" t="s">
        <v>195</v>
      </c>
      <c r="F451" s="104"/>
      <c r="G451" s="82"/>
      <c r="H451" s="82">
        <v>80267.0472</v>
      </c>
    </row>
    <row r="452" spans="1:8">
      <c r="A452" s="75"/>
      <c r="B452" s="76">
        <v>1254</v>
      </c>
      <c r="C452" s="77">
        <v>2302030102</v>
      </c>
      <c r="D452" s="78" t="s">
        <v>197</v>
      </c>
      <c r="E452" s="79" t="s">
        <v>195</v>
      </c>
      <c r="F452" s="104">
        <v>1</v>
      </c>
      <c r="G452" s="82">
        <f>H452/F452</f>
        <v>80267.0472</v>
      </c>
      <c r="H452" s="82">
        <v>80267.0472</v>
      </c>
    </row>
    <row r="453" spans="1:8">
      <c r="A453" s="75"/>
      <c r="B453" s="76">
        <v>1260</v>
      </c>
      <c r="C453" s="103"/>
      <c r="D453" s="78" t="s">
        <v>189</v>
      </c>
      <c r="E453" s="79" t="s">
        <v>184</v>
      </c>
      <c r="F453" s="102"/>
      <c r="G453" s="82"/>
      <c r="H453" s="82">
        <v>503.7336</v>
      </c>
    </row>
    <row r="454" spans="1:8">
      <c r="A454" s="75"/>
      <c r="B454" s="76">
        <v>1261</v>
      </c>
      <c r="C454" s="77">
        <v>230204</v>
      </c>
      <c r="D454" s="78" t="s">
        <v>190</v>
      </c>
      <c r="E454" s="79"/>
      <c r="F454" s="102">
        <v>0.0416997617156473</v>
      </c>
      <c r="G454" s="82"/>
      <c r="H454" s="82">
        <v>503.7336</v>
      </c>
    </row>
    <row r="455" spans="1:8">
      <c r="A455" s="75" t="s">
        <v>335</v>
      </c>
      <c r="B455" s="76">
        <v>1230</v>
      </c>
      <c r="C455" s="77">
        <v>23</v>
      </c>
      <c r="D455" s="78" t="s">
        <v>181</v>
      </c>
      <c r="E455" s="100" t="s">
        <v>182</v>
      </c>
      <c r="F455" s="101"/>
      <c r="G455" s="82"/>
      <c r="H455" s="82">
        <v>612164.7468</v>
      </c>
    </row>
    <row r="456" spans="1:8">
      <c r="A456" s="75"/>
      <c r="B456" s="76">
        <v>1231</v>
      </c>
      <c r="C456" s="77">
        <v>2301</v>
      </c>
      <c r="D456" s="78" t="s">
        <v>183</v>
      </c>
      <c r="E456" s="79" t="s">
        <v>184</v>
      </c>
      <c r="F456" s="102"/>
      <c r="G456" s="82"/>
      <c r="H456" s="82">
        <v>435438.4932</v>
      </c>
    </row>
    <row r="457" spans="1:8">
      <c r="A457" s="75"/>
      <c r="B457" s="76">
        <v>1232</v>
      </c>
      <c r="C457" s="103"/>
      <c r="D457" s="78" t="s">
        <v>185</v>
      </c>
      <c r="E457" s="79" t="s">
        <v>184</v>
      </c>
      <c r="F457" s="102"/>
      <c r="G457" s="82"/>
      <c r="H457" s="82">
        <v>434630.7072</v>
      </c>
    </row>
    <row r="458" spans="1:8">
      <c r="A458" s="75"/>
      <c r="B458" s="65">
        <v>1233</v>
      </c>
      <c r="C458" s="122">
        <v>230101</v>
      </c>
      <c r="D458" s="123" t="s">
        <v>201</v>
      </c>
      <c r="E458" s="124" t="s">
        <v>202</v>
      </c>
      <c r="F458" s="125">
        <v>1</v>
      </c>
      <c r="G458" s="82"/>
      <c r="H458" s="82">
        <v>129148.2684</v>
      </c>
    </row>
    <row r="459" spans="1:8">
      <c r="A459" s="75"/>
      <c r="B459" s="65">
        <v>1234</v>
      </c>
      <c r="C459" s="122">
        <v>23010101</v>
      </c>
      <c r="D459" s="123" t="s">
        <v>203</v>
      </c>
      <c r="E459" s="124" t="s">
        <v>187</v>
      </c>
      <c r="F459" s="125">
        <v>60</v>
      </c>
      <c r="G459" s="82"/>
      <c r="H459" s="82">
        <v>129148.2684</v>
      </c>
    </row>
    <row r="460" spans="1:8">
      <c r="A460" s="75"/>
      <c r="B460" s="76">
        <v>1236</v>
      </c>
      <c r="C460" s="77">
        <v>230102</v>
      </c>
      <c r="D460" s="78" t="s">
        <v>186</v>
      </c>
      <c r="E460" s="79" t="s">
        <v>187</v>
      </c>
      <c r="F460" s="104"/>
      <c r="G460" s="82"/>
      <c r="H460" s="82">
        <v>47646.09</v>
      </c>
    </row>
    <row r="461" spans="1:8">
      <c r="A461" s="75"/>
      <c r="B461" s="76">
        <v>1239</v>
      </c>
      <c r="C461" s="77">
        <v>23010204</v>
      </c>
      <c r="D461" s="78" t="s">
        <v>188</v>
      </c>
      <c r="E461" s="79" t="s">
        <v>187</v>
      </c>
      <c r="F461" s="104">
        <v>83</v>
      </c>
      <c r="G461" s="82">
        <f>H461/F461</f>
        <v>574.049277108434</v>
      </c>
      <c r="H461" s="82">
        <v>47646.09</v>
      </c>
    </row>
    <row r="462" spans="1:8">
      <c r="A462" s="75"/>
      <c r="B462" s="76">
        <v>1241</v>
      </c>
      <c r="C462" s="77">
        <v>230103</v>
      </c>
      <c r="D462" s="78" t="s">
        <v>204</v>
      </c>
      <c r="E462" s="79" t="s">
        <v>195</v>
      </c>
      <c r="F462" s="104"/>
      <c r="G462" s="82"/>
      <c r="H462" s="82">
        <v>257836.3488</v>
      </c>
    </row>
    <row r="463" spans="1:8">
      <c r="A463" s="75"/>
      <c r="B463" s="76">
        <v>1242</v>
      </c>
      <c r="C463" s="77">
        <v>23010302</v>
      </c>
      <c r="D463" s="78" t="s">
        <v>205</v>
      </c>
      <c r="E463" s="79" t="s">
        <v>195</v>
      </c>
      <c r="F463" s="104">
        <v>1</v>
      </c>
      <c r="G463" s="82">
        <f>H463/F463</f>
        <v>257836.3488</v>
      </c>
      <c r="H463" s="82">
        <v>257836.3488</v>
      </c>
    </row>
    <row r="464" spans="1:8">
      <c r="A464" s="75"/>
      <c r="B464" s="76">
        <v>1243</v>
      </c>
      <c r="C464" s="103"/>
      <c r="D464" s="78" t="s">
        <v>189</v>
      </c>
      <c r="E464" s="79" t="s">
        <v>184</v>
      </c>
      <c r="F464" s="102"/>
      <c r="G464" s="82"/>
      <c r="H464" s="82">
        <v>807.786</v>
      </c>
    </row>
    <row r="465" spans="1:8">
      <c r="A465" s="75"/>
      <c r="B465" s="76">
        <v>1244</v>
      </c>
      <c r="C465" s="77">
        <v>230104</v>
      </c>
      <c r="D465" s="78" t="s">
        <v>190</v>
      </c>
      <c r="E465" s="79" t="s">
        <v>184</v>
      </c>
      <c r="F465" s="105">
        <v>0.0104153595181328</v>
      </c>
      <c r="G465" s="82"/>
      <c r="H465" s="82">
        <v>807.786</v>
      </c>
    </row>
    <row r="466" spans="1:8">
      <c r="A466" s="75"/>
      <c r="B466" s="76">
        <v>1245</v>
      </c>
      <c r="C466" s="77">
        <v>2302</v>
      </c>
      <c r="D466" s="78" t="s">
        <v>191</v>
      </c>
      <c r="E466" s="79" t="s">
        <v>184</v>
      </c>
      <c r="F466" s="102"/>
      <c r="G466" s="82"/>
      <c r="H466" s="82">
        <v>176726.2536</v>
      </c>
    </row>
    <row r="467" spans="1:8">
      <c r="A467" s="75"/>
      <c r="B467" s="76">
        <v>1246</v>
      </c>
      <c r="C467" s="103"/>
      <c r="D467" s="78" t="s">
        <v>185</v>
      </c>
      <c r="E467" s="79" t="s">
        <v>184</v>
      </c>
      <c r="F467" s="102"/>
      <c r="G467" s="82"/>
      <c r="H467" s="82">
        <v>176292.0828</v>
      </c>
    </row>
    <row r="468" spans="1:8">
      <c r="A468" s="75"/>
      <c r="B468" s="76">
        <v>1247</v>
      </c>
      <c r="C468" s="77">
        <v>230201</v>
      </c>
      <c r="D468" s="78" t="s">
        <v>192</v>
      </c>
      <c r="E468" s="79" t="s">
        <v>187</v>
      </c>
      <c r="F468" s="104"/>
      <c r="G468" s="82"/>
      <c r="H468" s="82">
        <v>96025.0464</v>
      </c>
    </row>
    <row r="469" spans="1:8">
      <c r="A469" s="75"/>
      <c r="B469" s="76">
        <v>1249</v>
      </c>
      <c r="C469" s="77">
        <v>23020104</v>
      </c>
      <c r="D469" s="78" t="s">
        <v>193</v>
      </c>
      <c r="E469" s="79" t="s">
        <v>187</v>
      </c>
      <c r="F469" s="104">
        <v>98</v>
      </c>
      <c r="G469" s="82">
        <f>H469/F469</f>
        <v>979.847412244898</v>
      </c>
      <c r="H469" s="82">
        <v>96025.0464</v>
      </c>
    </row>
    <row r="470" spans="1:8">
      <c r="A470" s="75"/>
      <c r="B470" s="76">
        <v>1251</v>
      </c>
      <c r="C470" s="77">
        <v>230203</v>
      </c>
      <c r="D470" s="78" t="s">
        <v>194</v>
      </c>
      <c r="E470" s="79" t="s">
        <v>195</v>
      </c>
      <c r="F470" s="104"/>
      <c r="G470" s="82"/>
      <c r="H470" s="82">
        <v>80267.0472</v>
      </c>
    </row>
    <row r="471" spans="1:8">
      <c r="A471" s="75"/>
      <c r="B471" s="76">
        <v>1252</v>
      </c>
      <c r="C471" s="77">
        <v>23020301</v>
      </c>
      <c r="D471" s="78" t="s">
        <v>196</v>
      </c>
      <c r="E471" s="79" t="s">
        <v>195</v>
      </c>
      <c r="F471" s="104"/>
      <c r="G471" s="82"/>
      <c r="H471" s="82">
        <v>80267.0472</v>
      </c>
    </row>
    <row r="472" spans="1:8">
      <c r="A472" s="75"/>
      <c r="B472" s="76">
        <v>1254</v>
      </c>
      <c r="C472" s="77">
        <v>2302030102</v>
      </c>
      <c r="D472" s="78" t="s">
        <v>197</v>
      </c>
      <c r="E472" s="79" t="s">
        <v>195</v>
      </c>
      <c r="F472" s="104">
        <v>1</v>
      </c>
      <c r="G472" s="82">
        <f>H472/F472</f>
        <v>80267.0472</v>
      </c>
      <c r="H472" s="82">
        <v>80267.0472</v>
      </c>
    </row>
    <row r="473" spans="1:8">
      <c r="A473" s="75"/>
      <c r="B473" s="76">
        <v>1260</v>
      </c>
      <c r="C473" s="103"/>
      <c r="D473" s="78" t="s">
        <v>189</v>
      </c>
      <c r="E473" s="79" t="s">
        <v>184</v>
      </c>
      <c r="F473" s="102"/>
      <c r="G473" s="82"/>
      <c r="H473" s="82">
        <v>434.1708</v>
      </c>
    </row>
    <row r="474" spans="1:8">
      <c r="A474" s="75"/>
      <c r="B474" s="76">
        <v>1261</v>
      </c>
      <c r="C474" s="77">
        <v>230204</v>
      </c>
      <c r="D474" s="78" t="s">
        <v>190</v>
      </c>
      <c r="E474" s="79"/>
      <c r="F474" s="102">
        <v>0.0359412231930103</v>
      </c>
      <c r="G474" s="82"/>
      <c r="H474" s="82">
        <v>434.1708</v>
      </c>
    </row>
    <row r="475" spans="1:8">
      <c r="A475" s="75" t="s">
        <v>336</v>
      </c>
      <c r="B475" s="76">
        <v>1230</v>
      </c>
      <c r="C475" s="77">
        <v>23</v>
      </c>
      <c r="D475" s="78" t="s">
        <v>181</v>
      </c>
      <c r="E475" s="100" t="s">
        <v>182</v>
      </c>
      <c r="F475" s="101"/>
      <c r="G475" s="82"/>
      <c r="H475" s="82">
        <v>189771.2604</v>
      </c>
    </row>
    <row r="476" spans="1:8">
      <c r="A476" s="75"/>
      <c r="B476" s="76">
        <v>1231</v>
      </c>
      <c r="C476" s="77">
        <v>2301</v>
      </c>
      <c r="D476" s="78" t="s">
        <v>183</v>
      </c>
      <c r="E476" s="79" t="s">
        <v>184</v>
      </c>
      <c r="F476" s="102"/>
      <c r="G476" s="82"/>
      <c r="H476" s="82">
        <v>21015.72</v>
      </c>
    </row>
    <row r="477" spans="1:8">
      <c r="A477" s="75"/>
      <c r="B477" s="76">
        <v>1232</v>
      </c>
      <c r="C477" s="103"/>
      <c r="D477" s="78" t="s">
        <v>185</v>
      </c>
      <c r="E477" s="79" t="s">
        <v>184</v>
      </c>
      <c r="F477" s="102"/>
      <c r="G477" s="82"/>
      <c r="H477" s="82">
        <v>20665.3572</v>
      </c>
    </row>
    <row r="478" spans="1:8">
      <c r="A478" s="75"/>
      <c r="B478" s="76">
        <v>1236</v>
      </c>
      <c r="C478" s="77">
        <v>230102</v>
      </c>
      <c r="D478" s="78" t="s">
        <v>186</v>
      </c>
      <c r="E478" s="79" t="s">
        <v>187</v>
      </c>
      <c r="F478" s="104"/>
      <c r="G478" s="82"/>
      <c r="H478" s="82">
        <v>20665.3572</v>
      </c>
    </row>
    <row r="479" spans="1:8">
      <c r="A479" s="75"/>
      <c r="B479" s="76">
        <v>1239</v>
      </c>
      <c r="C479" s="77">
        <v>23010204</v>
      </c>
      <c r="D479" s="78" t="s">
        <v>188</v>
      </c>
      <c r="E479" s="79" t="s">
        <v>187</v>
      </c>
      <c r="F479" s="104">
        <v>36</v>
      </c>
      <c r="G479" s="82">
        <f>H479/F479</f>
        <v>574.0377</v>
      </c>
      <c r="H479" s="82">
        <v>20665.3572</v>
      </c>
    </row>
    <row r="480" spans="1:8">
      <c r="A480" s="75"/>
      <c r="B480" s="76">
        <v>1243</v>
      </c>
      <c r="C480" s="103"/>
      <c r="D480" s="78" t="s">
        <v>189</v>
      </c>
      <c r="E480" s="79" t="s">
        <v>184</v>
      </c>
      <c r="F480" s="102"/>
      <c r="G480" s="82"/>
      <c r="H480" s="82">
        <v>350.3736</v>
      </c>
    </row>
    <row r="481" spans="1:8">
      <c r="A481" s="75"/>
      <c r="B481" s="76">
        <v>1244</v>
      </c>
      <c r="C481" s="77">
        <v>230104</v>
      </c>
      <c r="D481" s="78" t="s">
        <v>190</v>
      </c>
      <c r="E481" s="79" t="s">
        <v>184</v>
      </c>
      <c r="F481" s="105">
        <v>0.00451750533316602</v>
      </c>
      <c r="G481" s="82"/>
      <c r="H481" s="82">
        <v>350.3736</v>
      </c>
    </row>
    <row r="482" spans="1:8">
      <c r="A482" s="75"/>
      <c r="B482" s="76">
        <v>1245</v>
      </c>
      <c r="C482" s="77">
        <v>2302</v>
      </c>
      <c r="D482" s="78" t="s">
        <v>191</v>
      </c>
      <c r="E482" s="79" t="s">
        <v>184</v>
      </c>
      <c r="F482" s="102"/>
      <c r="G482" s="82"/>
      <c r="H482" s="82">
        <v>168755.5404</v>
      </c>
    </row>
    <row r="483" spans="1:8">
      <c r="A483" s="75"/>
      <c r="B483" s="76">
        <v>1246</v>
      </c>
      <c r="C483" s="103"/>
      <c r="D483" s="78" t="s">
        <v>185</v>
      </c>
      <c r="E483" s="79" t="s">
        <v>184</v>
      </c>
      <c r="F483" s="102"/>
      <c r="G483" s="82"/>
      <c r="H483" s="82">
        <v>168453.3024</v>
      </c>
    </row>
    <row r="484" spans="1:8">
      <c r="A484" s="75"/>
      <c r="B484" s="76">
        <v>1247</v>
      </c>
      <c r="C484" s="77">
        <v>230201</v>
      </c>
      <c r="D484" s="78" t="s">
        <v>192</v>
      </c>
      <c r="E484" s="79" t="s">
        <v>187</v>
      </c>
      <c r="F484" s="104"/>
      <c r="G484" s="82"/>
      <c r="H484" s="82">
        <v>88186.2552</v>
      </c>
    </row>
    <row r="485" spans="1:8">
      <c r="A485" s="75"/>
      <c r="B485" s="76">
        <v>1249</v>
      </c>
      <c r="C485" s="77">
        <v>23020104</v>
      </c>
      <c r="D485" s="78" t="s">
        <v>193</v>
      </c>
      <c r="E485" s="79" t="s">
        <v>187</v>
      </c>
      <c r="F485" s="104">
        <v>90</v>
      </c>
      <c r="G485" s="82">
        <f>H485/F485</f>
        <v>979.84728</v>
      </c>
      <c r="H485" s="82">
        <v>88186.2552</v>
      </c>
    </row>
    <row r="486" spans="1:8">
      <c r="A486" s="75"/>
      <c r="B486" s="76">
        <v>1251</v>
      </c>
      <c r="C486" s="77">
        <v>230203</v>
      </c>
      <c r="D486" s="78" t="s">
        <v>194</v>
      </c>
      <c r="E486" s="79" t="s">
        <v>195</v>
      </c>
      <c r="F486" s="104"/>
      <c r="G486" s="82"/>
      <c r="H486" s="82">
        <v>80267.0472</v>
      </c>
    </row>
    <row r="487" spans="1:8">
      <c r="A487" s="75"/>
      <c r="B487" s="76">
        <v>1252</v>
      </c>
      <c r="C487" s="77">
        <v>23020301</v>
      </c>
      <c r="D487" s="78" t="s">
        <v>196</v>
      </c>
      <c r="E487" s="79" t="s">
        <v>195</v>
      </c>
      <c r="F487" s="104"/>
      <c r="G487" s="82"/>
      <c r="H487" s="82">
        <v>80267.0472</v>
      </c>
    </row>
    <row r="488" spans="1:8">
      <c r="A488" s="75"/>
      <c r="B488" s="76">
        <v>1254</v>
      </c>
      <c r="C488" s="77">
        <v>2302030102</v>
      </c>
      <c r="D488" s="78" t="s">
        <v>197</v>
      </c>
      <c r="E488" s="79" t="s">
        <v>195</v>
      </c>
      <c r="F488" s="104">
        <v>1</v>
      </c>
      <c r="G488" s="82">
        <f t="shared" ref="G488:G494" si="36">H488/F488</f>
        <v>80267.0472</v>
      </c>
      <c r="H488" s="82">
        <v>80267.0472</v>
      </c>
    </row>
    <row r="489" spans="1:8">
      <c r="A489" s="75"/>
      <c r="B489" s="76">
        <v>1260</v>
      </c>
      <c r="C489" s="103"/>
      <c r="D489" s="78" t="s">
        <v>189</v>
      </c>
      <c r="E489" s="79" t="s">
        <v>184</v>
      </c>
      <c r="F489" s="102"/>
      <c r="G489" s="82"/>
      <c r="H489" s="82">
        <v>302.238</v>
      </c>
    </row>
    <row r="490" spans="1:8">
      <c r="A490" s="75"/>
      <c r="B490" s="76">
        <v>1261</v>
      </c>
      <c r="C490" s="77">
        <v>230204</v>
      </c>
      <c r="D490" s="78" t="s">
        <v>190</v>
      </c>
      <c r="E490" s="79"/>
      <c r="F490" s="102">
        <v>0.0250198570293884</v>
      </c>
      <c r="G490" s="82"/>
      <c r="H490" s="82">
        <v>302.238</v>
      </c>
    </row>
    <row r="491" ht="28" spans="1:8">
      <c r="A491" s="75" t="s">
        <v>337</v>
      </c>
      <c r="B491" s="76">
        <v>1289</v>
      </c>
      <c r="C491" s="77">
        <v>2508</v>
      </c>
      <c r="D491" s="78" t="s">
        <v>212</v>
      </c>
      <c r="E491" s="79" t="s">
        <v>202</v>
      </c>
      <c r="F491" s="104"/>
      <c r="G491" s="82"/>
      <c r="H491" s="82">
        <v>15869.304</v>
      </c>
    </row>
    <row r="492" spans="1:8">
      <c r="A492" s="75"/>
      <c r="B492" s="76">
        <v>1290</v>
      </c>
      <c r="C492" s="77">
        <v>250801</v>
      </c>
      <c r="D492" s="78" t="s">
        <v>213</v>
      </c>
      <c r="E492" s="79" t="s">
        <v>202</v>
      </c>
      <c r="F492" s="104">
        <v>1</v>
      </c>
      <c r="G492" s="82">
        <f t="shared" si="36"/>
        <v>15869.304</v>
      </c>
      <c r="H492" s="82">
        <v>15869.304</v>
      </c>
    </row>
    <row r="493" spans="1:8">
      <c r="A493" s="75"/>
      <c r="B493" s="76">
        <v>1291</v>
      </c>
      <c r="C493" s="103"/>
      <c r="D493" s="78" t="s">
        <v>185</v>
      </c>
      <c r="E493" s="79" t="s">
        <v>202</v>
      </c>
      <c r="F493" s="104">
        <v>1</v>
      </c>
      <c r="G493" s="82">
        <f t="shared" si="36"/>
        <v>15869.304</v>
      </c>
      <c r="H493" s="82">
        <v>15869.304</v>
      </c>
    </row>
    <row r="494" spans="1:8">
      <c r="A494" s="75"/>
      <c r="B494" s="76">
        <v>1292</v>
      </c>
      <c r="C494" s="77">
        <v>25080101</v>
      </c>
      <c r="D494" s="78" t="s">
        <v>214</v>
      </c>
      <c r="E494" s="79" t="s">
        <v>202</v>
      </c>
      <c r="F494" s="104">
        <v>1</v>
      </c>
      <c r="G494" s="82">
        <f t="shared" si="36"/>
        <v>15869.304</v>
      </c>
      <c r="H494" s="82">
        <v>15869.304</v>
      </c>
    </row>
    <row r="495" ht="28" spans="1:8">
      <c r="A495" s="75" t="s">
        <v>338</v>
      </c>
      <c r="B495" s="76">
        <v>1289</v>
      </c>
      <c r="C495" s="77">
        <v>2508</v>
      </c>
      <c r="D495" s="78" t="s">
        <v>212</v>
      </c>
      <c r="E495" s="79" t="s">
        <v>202</v>
      </c>
      <c r="F495" s="104"/>
      <c r="G495" s="82"/>
      <c r="H495" s="82">
        <v>15869.304</v>
      </c>
    </row>
    <row r="496" spans="1:8">
      <c r="A496" s="75"/>
      <c r="B496" s="76">
        <v>1290</v>
      </c>
      <c r="C496" s="77">
        <v>250801</v>
      </c>
      <c r="D496" s="78" t="s">
        <v>213</v>
      </c>
      <c r="E496" s="79" t="s">
        <v>202</v>
      </c>
      <c r="F496" s="104">
        <v>1</v>
      </c>
      <c r="G496" s="82">
        <f t="shared" ref="G496:G498" si="37">H496/F496</f>
        <v>15869.304</v>
      </c>
      <c r="H496" s="82">
        <v>15869.304</v>
      </c>
    </row>
    <row r="497" spans="1:8">
      <c r="A497" s="75"/>
      <c r="B497" s="76">
        <v>1291</v>
      </c>
      <c r="C497" s="103"/>
      <c r="D497" s="78" t="s">
        <v>185</v>
      </c>
      <c r="E497" s="79" t="s">
        <v>202</v>
      </c>
      <c r="F497" s="104">
        <v>1</v>
      </c>
      <c r="G497" s="82">
        <f t="shared" si="37"/>
        <v>15869.304</v>
      </c>
      <c r="H497" s="82">
        <v>15869.304</v>
      </c>
    </row>
    <row r="498" spans="1:8">
      <c r="A498" s="75"/>
      <c r="B498" s="76">
        <v>1292</v>
      </c>
      <c r="C498" s="77">
        <v>25080101</v>
      </c>
      <c r="D498" s="78" t="s">
        <v>214</v>
      </c>
      <c r="E498" s="79" t="s">
        <v>202</v>
      </c>
      <c r="F498" s="104">
        <v>1</v>
      </c>
      <c r="G498" s="82">
        <f t="shared" si="37"/>
        <v>15869.304</v>
      </c>
      <c r="H498" s="82">
        <v>15869.304</v>
      </c>
    </row>
  </sheetData>
  <mergeCells count="58">
    <mergeCell ref="A1:H1"/>
    <mergeCell ref="G2:H2"/>
    <mergeCell ref="A401:H401"/>
    <mergeCell ref="G402:H402"/>
    <mergeCell ref="A2:A3"/>
    <mergeCell ref="A5:A20"/>
    <mergeCell ref="A21:A39"/>
    <mergeCell ref="A40:A41"/>
    <mergeCell ref="A42:A57"/>
    <mergeCell ref="A58:A73"/>
    <mergeCell ref="A74:A89"/>
    <mergeCell ref="A90:A105"/>
    <mergeCell ref="A106:A120"/>
    <mergeCell ref="A121:A135"/>
    <mergeCell ref="A136:A148"/>
    <mergeCell ref="A149:A161"/>
    <mergeCell ref="A162:A163"/>
    <mergeCell ref="A164:A166"/>
    <mergeCell ref="A167:A168"/>
    <mergeCell ref="A169:A172"/>
    <mergeCell ref="A173:A174"/>
    <mergeCell ref="A175:A190"/>
    <mergeCell ref="A191:A203"/>
    <mergeCell ref="A204:A205"/>
    <mergeCell ref="A206:A221"/>
    <mergeCell ref="A222:A237"/>
    <mergeCell ref="A238:A252"/>
    <mergeCell ref="A253:A265"/>
    <mergeCell ref="A266:A278"/>
    <mergeCell ref="A279:A291"/>
    <mergeCell ref="A292:A293"/>
    <mergeCell ref="A294:A297"/>
    <mergeCell ref="A298:A299"/>
    <mergeCell ref="A300:A303"/>
    <mergeCell ref="A304:A319"/>
    <mergeCell ref="A320:A335"/>
    <mergeCell ref="A336:A351"/>
    <mergeCell ref="A352:A367"/>
    <mergeCell ref="A368:A383"/>
    <mergeCell ref="A384:A399"/>
    <mergeCell ref="A402:A403"/>
    <mergeCell ref="A405:A420"/>
    <mergeCell ref="A421:A438"/>
    <mergeCell ref="A439:A454"/>
    <mergeCell ref="A455:A474"/>
    <mergeCell ref="A475:A490"/>
    <mergeCell ref="A491:A494"/>
    <mergeCell ref="A495:A498"/>
    <mergeCell ref="B2:B3"/>
    <mergeCell ref="B402:B403"/>
    <mergeCell ref="C2:C3"/>
    <mergeCell ref="C402:C403"/>
    <mergeCell ref="D2:D3"/>
    <mergeCell ref="D402:D403"/>
    <mergeCell ref="E2:E3"/>
    <mergeCell ref="E402:E403"/>
    <mergeCell ref="F2:F3"/>
    <mergeCell ref="F402:F403"/>
  </mergeCells>
  <conditionalFormatting sqref="G2:H2">
    <cfRule type="expression" dxfId="1" priority="1">
      <formula>""</formula>
    </cfRule>
  </conditionalFormatting>
  <conditionalFormatting sqref="A405">
    <cfRule type="expression" dxfId="1" priority="26">
      <formula>""</formula>
    </cfRule>
  </conditionalFormatting>
  <conditionalFormatting sqref="A421">
    <cfRule type="expression" dxfId="1" priority="24">
      <formula>""</formula>
    </cfRule>
  </conditionalFormatting>
  <conditionalFormatting sqref="A439">
    <cfRule type="expression" dxfId="1" priority="22">
      <formula>""</formula>
    </cfRule>
  </conditionalFormatting>
  <conditionalFormatting sqref="A455">
    <cfRule type="expression" dxfId="1" priority="20">
      <formula>""</formula>
    </cfRule>
  </conditionalFormatting>
  <conditionalFormatting sqref="A475">
    <cfRule type="expression" dxfId="1" priority="18">
      <formula>""</formula>
    </cfRule>
  </conditionalFormatting>
  <conditionalFormatting sqref="A401 G405:H498">
    <cfRule type="expression" dxfId="1" priority="13">
      <formula>""</formula>
    </cfRule>
  </conditionalFormatting>
  <conditionalFormatting sqref="A402:H403">
    <cfRule type="expression" dxfId="1" priority="12">
      <formula>""</formula>
    </cfRule>
  </conditionalFormatting>
  <conditionalFormatting sqref="A491 A495">
    <cfRule type="expression" dxfId="1" priority="16">
      <formula>""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0"/>
  <sheetViews>
    <sheetView zoomScale="140" zoomScaleNormal="140" workbookViewId="0">
      <selection activeCell="K280" sqref="K280"/>
    </sheetView>
  </sheetViews>
  <sheetFormatPr defaultColWidth="9" defaultRowHeight="16.8" outlineLevelCol="7"/>
  <cols>
    <col min="1" max="1" width="23.6634615384615" customWidth="1"/>
    <col min="2" max="2" width="5" customWidth="1"/>
    <col min="3" max="3" width="18.3365384615385" customWidth="1"/>
    <col min="4" max="4" width="18.2211538461538" customWidth="1"/>
    <col min="5" max="5" width="9.22115384615385" customWidth="1"/>
    <col min="6" max="6" width="10.3365384615385" customWidth="1"/>
    <col min="7" max="7" width="8.77884615384615" style="59" customWidth="1"/>
    <col min="8" max="8" width="13.1153846153846" style="60" customWidth="1"/>
  </cols>
  <sheetData>
    <row r="1" ht="17.6" spans="1:8">
      <c r="A1" s="61" t="s">
        <v>0</v>
      </c>
      <c r="B1" s="62"/>
      <c r="C1" s="62"/>
      <c r="D1" s="62"/>
      <c r="E1" s="62"/>
      <c r="F1" s="62"/>
      <c r="G1" s="63"/>
      <c r="H1" s="64"/>
    </row>
    <row r="2" spans="1:8">
      <c r="A2" s="65" t="s">
        <v>1</v>
      </c>
      <c r="B2" s="66" t="s">
        <v>2</v>
      </c>
      <c r="C2" s="66" t="s">
        <v>3</v>
      </c>
      <c r="D2" s="66" t="s">
        <v>4</v>
      </c>
      <c r="E2" s="66" t="s">
        <v>5</v>
      </c>
      <c r="F2" s="67" t="s">
        <v>6</v>
      </c>
      <c r="G2" s="68" t="s">
        <v>7</v>
      </c>
      <c r="H2" s="69"/>
    </row>
    <row r="3" spans="1:8">
      <c r="A3" s="65"/>
      <c r="B3" s="66"/>
      <c r="C3" s="66"/>
      <c r="D3" s="66"/>
      <c r="E3" s="66"/>
      <c r="F3" s="67"/>
      <c r="G3" s="70" t="s">
        <v>178</v>
      </c>
      <c r="H3" s="67" t="s">
        <v>9</v>
      </c>
    </row>
    <row r="4" ht="17.6" spans="1:8">
      <c r="A4" s="71"/>
      <c r="B4" s="72"/>
      <c r="C4" s="72"/>
      <c r="D4" s="72"/>
      <c r="E4" s="72"/>
      <c r="F4" s="72"/>
      <c r="G4" s="73"/>
      <c r="H4" s="74">
        <f t="array" ref="H4">SUM(IF(G5:G227="",H5:H227,""))</f>
        <v>8990234.99252475</v>
      </c>
    </row>
    <row r="5" ht="28" spans="1:8">
      <c r="A5" s="75" t="s">
        <v>339</v>
      </c>
      <c r="B5" s="76">
        <v>906</v>
      </c>
      <c r="C5" s="77">
        <v>220103090220</v>
      </c>
      <c r="D5" s="78" t="s">
        <v>340</v>
      </c>
      <c r="E5" s="79" t="s">
        <v>12</v>
      </c>
      <c r="F5" s="80">
        <v>14.05</v>
      </c>
      <c r="G5" s="73"/>
      <c r="H5" s="81">
        <f>H6+H9+H11+H12+H13</f>
        <v>210084.94044</v>
      </c>
    </row>
    <row r="6" spans="1:8">
      <c r="A6" s="75"/>
      <c r="B6" s="76">
        <v>907</v>
      </c>
      <c r="C6" s="77">
        <v>22010309022001</v>
      </c>
      <c r="D6" s="78" t="s">
        <v>13</v>
      </c>
      <c r="E6" s="79" t="s">
        <v>12</v>
      </c>
      <c r="F6" s="80">
        <v>14.05</v>
      </c>
      <c r="G6" s="73">
        <f>4232.21312083074*0.96</f>
        <v>4062.92459599751</v>
      </c>
      <c r="H6" s="82">
        <f>G6*F6</f>
        <v>57084.090573765</v>
      </c>
    </row>
    <row r="7" spans="1:8">
      <c r="A7" s="75"/>
      <c r="B7" s="76">
        <v>908</v>
      </c>
      <c r="C7" s="78" t="s">
        <v>341</v>
      </c>
      <c r="D7" s="78" t="s">
        <v>15</v>
      </c>
      <c r="E7" s="79" t="s">
        <v>16</v>
      </c>
      <c r="F7" s="80">
        <v>0.38</v>
      </c>
      <c r="G7" s="73">
        <f>H7/F7</f>
        <v>345.508969262262</v>
      </c>
      <c r="H7" s="82">
        <f>0.0023*H6</f>
        <v>131.29340831966</v>
      </c>
    </row>
    <row r="8" spans="1:8">
      <c r="A8" s="75"/>
      <c r="B8" s="76">
        <v>909</v>
      </c>
      <c r="C8" s="78" t="s">
        <v>342</v>
      </c>
      <c r="D8" s="78" t="s">
        <v>18</v>
      </c>
      <c r="E8" s="79" t="s">
        <v>19</v>
      </c>
      <c r="F8" s="80">
        <v>17.8</v>
      </c>
      <c r="G8" s="73">
        <f>H8/F8</f>
        <v>3199.59534637333</v>
      </c>
      <c r="H8" s="82">
        <f>H6-H7</f>
        <v>56952.7971654454</v>
      </c>
    </row>
    <row r="9" spans="1:8">
      <c r="A9" s="75"/>
      <c r="B9" s="76">
        <v>910</v>
      </c>
      <c r="C9" s="77">
        <v>22010309022002</v>
      </c>
      <c r="D9" s="78" t="s">
        <v>20</v>
      </c>
      <c r="E9" s="79" t="s">
        <v>12</v>
      </c>
      <c r="F9" s="80">
        <v>14.05</v>
      </c>
      <c r="G9" s="73">
        <f>1086.45257690554*0.96</f>
        <v>1042.99447382932</v>
      </c>
      <c r="H9" s="82">
        <f t="shared" ref="H9:H14" si="0">G9*F9</f>
        <v>14654.0723573019</v>
      </c>
    </row>
    <row r="10" spans="1:8">
      <c r="A10" s="75"/>
      <c r="B10" s="76">
        <v>911</v>
      </c>
      <c r="C10" s="78" t="s">
        <v>343</v>
      </c>
      <c r="D10" s="78" t="s">
        <v>22</v>
      </c>
      <c r="E10" s="79" t="s">
        <v>12</v>
      </c>
      <c r="F10" s="80">
        <v>14.05</v>
      </c>
      <c r="G10" s="73">
        <f>H9/F10</f>
        <v>1042.99447382932</v>
      </c>
      <c r="H10" s="82">
        <f t="shared" si="0"/>
        <v>14654.0723573019</v>
      </c>
    </row>
    <row r="11" spans="1:8">
      <c r="A11" s="75"/>
      <c r="B11" s="76">
        <v>912</v>
      </c>
      <c r="C11" s="77">
        <v>22010309022003</v>
      </c>
      <c r="D11" s="78" t="s">
        <v>23</v>
      </c>
      <c r="E11" s="79" t="s">
        <v>12</v>
      </c>
      <c r="F11" s="80">
        <v>14.05</v>
      </c>
      <c r="G11" s="73">
        <f>2470.71098663407*0.96</f>
        <v>2371.88254716871</v>
      </c>
      <c r="H11" s="82">
        <f t="shared" si="0"/>
        <v>33324.9497877203</v>
      </c>
    </row>
    <row r="12" spans="1:8">
      <c r="A12" s="75"/>
      <c r="B12" s="76">
        <v>913</v>
      </c>
      <c r="C12" s="77">
        <v>22010309022004</v>
      </c>
      <c r="D12" s="78" t="s">
        <v>24</v>
      </c>
      <c r="E12" s="79" t="s">
        <v>12</v>
      </c>
      <c r="F12" s="80">
        <v>14.05</v>
      </c>
      <c r="G12" s="73">
        <f>347.859384557364*0.96</f>
        <v>333.945009175069</v>
      </c>
      <c r="H12" s="82">
        <f t="shared" si="0"/>
        <v>4691.92737890973</v>
      </c>
    </row>
    <row r="13" spans="1:8">
      <c r="A13" s="75"/>
      <c r="B13" s="76">
        <v>914</v>
      </c>
      <c r="C13" s="77">
        <v>22010309022005</v>
      </c>
      <c r="D13" s="78" t="s">
        <v>25</v>
      </c>
      <c r="E13" s="79" t="s">
        <v>12</v>
      </c>
      <c r="F13" s="80">
        <v>14.05</v>
      </c>
      <c r="G13" s="73">
        <f>7438.45643107228*0.96</f>
        <v>7140.91817382939</v>
      </c>
      <c r="H13" s="82">
        <f t="shared" si="0"/>
        <v>100329.900342303</v>
      </c>
    </row>
    <row r="14" spans="1:8">
      <c r="A14" s="75"/>
      <c r="B14" s="76">
        <v>915</v>
      </c>
      <c r="C14" s="78" t="s">
        <v>344</v>
      </c>
      <c r="D14" s="78" t="s">
        <v>27</v>
      </c>
      <c r="E14" s="79" t="s">
        <v>16</v>
      </c>
      <c r="F14" s="80">
        <v>878.45</v>
      </c>
      <c r="G14" s="73">
        <f>H13/F14</f>
        <v>114.212419992376</v>
      </c>
      <c r="H14" s="82">
        <f t="shared" si="0"/>
        <v>100329.900342303</v>
      </c>
    </row>
    <row r="15" spans="1:8">
      <c r="A15" s="75"/>
      <c r="B15" s="76">
        <v>916</v>
      </c>
      <c r="C15" s="78" t="s">
        <v>345</v>
      </c>
      <c r="D15" s="78" t="s">
        <v>29</v>
      </c>
      <c r="E15" s="79" t="s">
        <v>16</v>
      </c>
      <c r="F15" s="80">
        <v>8.45</v>
      </c>
      <c r="G15" s="73">
        <f>H15/F15</f>
        <v>2006.59800684606</v>
      </c>
      <c r="H15" s="82">
        <f>0.169*H14</f>
        <v>16955.7531578492</v>
      </c>
    </row>
    <row r="16" spans="1:8">
      <c r="A16" s="75"/>
      <c r="B16" s="76">
        <v>917</v>
      </c>
      <c r="C16" s="78" t="s">
        <v>346</v>
      </c>
      <c r="D16" s="78" t="s">
        <v>31</v>
      </c>
      <c r="E16" s="79" t="s">
        <v>16</v>
      </c>
      <c r="F16" s="80">
        <v>8.45</v>
      </c>
      <c r="G16" s="73">
        <f>G15</f>
        <v>2006.59800684606</v>
      </c>
      <c r="H16" s="82">
        <f>H15</f>
        <v>16955.7531578492</v>
      </c>
    </row>
    <row r="17" spans="1:8">
      <c r="A17" s="75"/>
      <c r="B17" s="76">
        <v>918</v>
      </c>
      <c r="C17" s="78" t="s">
        <v>347</v>
      </c>
      <c r="D17" s="78" t="s">
        <v>33</v>
      </c>
      <c r="E17" s="79" t="s">
        <v>16</v>
      </c>
      <c r="F17" s="80">
        <v>870</v>
      </c>
      <c r="G17" s="73">
        <v>106.1</v>
      </c>
      <c r="H17" s="82">
        <f>H14-H15</f>
        <v>83374.1471844537</v>
      </c>
    </row>
    <row r="18" spans="1:8">
      <c r="A18" s="75" t="s">
        <v>34</v>
      </c>
      <c r="B18" s="76">
        <v>1222</v>
      </c>
      <c r="C18" s="77">
        <v>220403</v>
      </c>
      <c r="D18" s="78" t="s">
        <v>35</v>
      </c>
      <c r="E18" s="79" t="s">
        <v>12</v>
      </c>
      <c r="F18" s="80"/>
      <c r="G18" s="73"/>
      <c r="H18" s="82">
        <v>19509.23</v>
      </c>
    </row>
    <row r="19" spans="1:8">
      <c r="A19" s="75"/>
      <c r="B19" s="76">
        <v>1223</v>
      </c>
      <c r="C19" s="77">
        <v>22040305</v>
      </c>
      <c r="D19" s="78" t="s">
        <v>36</v>
      </c>
      <c r="E19" s="79" t="s">
        <v>12</v>
      </c>
      <c r="F19" s="80">
        <v>162</v>
      </c>
      <c r="G19" s="73">
        <v>120.43</v>
      </c>
      <c r="H19" s="82">
        <v>19509.23</v>
      </c>
    </row>
    <row r="20" ht="28" spans="1:8">
      <c r="A20" s="75" t="s">
        <v>348</v>
      </c>
      <c r="B20" s="76">
        <v>669</v>
      </c>
      <c r="C20" s="77">
        <v>2201030236</v>
      </c>
      <c r="D20" s="78" t="s">
        <v>349</v>
      </c>
      <c r="E20" s="79" t="s">
        <v>12</v>
      </c>
      <c r="F20" s="80">
        <v>595.35</v>
      </c>
      <c r="G20" s="73"/>
      <c r="H20" s="81">
        <f>H21+H24+H26+H27+H28</f>
        <v>2319586.3431216</v>
      </c>
    </row>
    <row r="21" spans="1:8">
      <c r="A21" s="75"/>
      <c r="B21" s="76">
        <v>670</v>
      </c>
      <c r="C21" s="77">
        <v>220103023601</v>
      </c>
      <c r="D21" s="78" t="s">
        <v>13</v>
      </c>
      <c r="E21" s="79" t="s">
        <v>12</v>
      </c>
      <c r="F21" s="80">
        <v>595.35</v>
      </c>
      <c r="G21" s="59">
        <v>1180.4907021319</v>
      </c>
      <c r="H21" s="82">
        <f>G21*F21</f>
        <v>702805.139514228</v>
      </c>
    </row>
    <row r="22" spans="1:8">
      <c r="A22" s="75"/>
      <c r="B22" s="76">
        <v>671</v>
      </c>
      <c r="C22" s="77">
        <v>22010302360101</v>
      </c>
      <c r="D22" s="78" t="s">
        <v>15</v>
      </c>
      <c r="E22" s="79" t="s">
        <v>16</v>
      </c>
      <c r="F22" s="80">
        <v>15.4</v>
      </c>
      <c r="G22" s="73">
        <f>H21/F22</f>
        <v>45636.6973710538</v>
      </c>
      <c r="H22" s="82">
        <f>0.009*H21</f>
        <v>6325.24625562806</v>
      </c>
    </row>
    <row r="23" spans="1:8">
      <c r="A23" s="75"/>
      <c r="B23" s="76">
        <v>672</v>
      </c>
      <c r="C23" s="77">
        <v>22010302360102</v>
      </c>
      <c r="D23" s="78" t="s">
        <v>18</v>
      </c>
      <c r="E23" s="79" t="s">
        <v>19</v>
      </c>
      <c r="F23" s="80">
        <v>423.07</v>
      </c>
      <c r="G23" s="73">
        <f>H22/F23</f>
        <v>14.9508267086488</v>
      </c>
      <c r="H23" s="82">
        <f>H21-H22</f>
        <v>696479.8932586</v>
      </c>
    </row>
    <row r="24" spans="1:8">
      <c r="A24" s="75"/>
      <c r="B24" s="76">
        <v>673</v>
      </c>
      <c r="C24" s="77">
        <v>220103023602</v>
      </c>
      <c r="D24" s="78" t="s">
        <v>20</v>
      </c>
      <c r="E24" s="79" t="s">
        <v>12</v>
      </c>
      <c r="F24" s="80">
        <v>595.35</v>
      </c>
      <c r="G24" s="59">
        <v>938.132538975071</v>
      </c>
      <c r="H24" s="82">
        <f t="shared" ref="H24:H29" si="1">G24*F24</f>
        <v>558517.207078809</v>
      </c>
    </row>
    <row r="25" spans="1:8">
      <c r="A25" s="75"/>
      <c r="B25" s="76">
        <v>674</v>
      </c>
      <c r="C25" s="77">
        <v>22010302360202</v>
      </c>
      <c r="D25" s="78" t="s">
        <v>22</v>
      </c>
      <c r="E25" s="79" t="s">
        <v>12</v>
      </c>
      <c r="F25" s="80">
        <v>595.35</v>
      </c>
      <c r="G25" s="73">
        <f>H24/F25</f>
        <v>938.132538975071</v>
      </c>
      <c r="H25" s="82">
        <f t="shared" si="1"/>
        <v>558517.207078809</v>
      </c>
    </row>
    <row r="26" spans="1:8">
      <c r="A26" s="75"/>
      <c r="B26" s="76">
        <v>675</v>
      </c>
      <c r="C26" s="77">
        <v>220103023603</v>
      </c>
      <c r="D26" s="78" t="s">
        <v>23</v>
      </c>
      <c r="E26" s="79" t="s">
        <v>12</v>
      </c>
      <c r="F26" s="80">
        <v>595.35</v>
      </c>
      <c r="G26" s="59">
        <v>1330.34447866425</v>
      </c>
      <c r="H26" s="82">
        <f t="shared" si="1"/>
        <v>792020.58537276</v>
      </c>
    </row>
    <row r="27" spans="1:8">
      <c r="A27" s="75"/>
      <c r="B27" s="76">
        <v>676</v>
      </c>
      <c r="C27" s="77">
        <v>220103023604</v>
      </c>
      <c r="D27" s="78" t="s">
        <v>24</v>
      </c>
      <c r="E27" s="79" t="s">
        <v>12</v>
      </c>
      <c r="F27" s="80">
        <v>595.35</v>
      </c>
      <c r="G27" s="59">
        <v>304.75347973367</v>
      </c>
      <c r="H27" s="82">
        <f t="shared" si="1"/>
        <v>181434.98415944</v>
      </c>
    </row>
    <row r="28" spans="1:8">
      <c r="A28" s="75"/>
      <c r="B28" s="76">
        <v>677</v>
      </c>
      <c r="C28" s="77">
        <v>220103023605</v>
      </c>
      <c r="D28" s="78" t="s">
        <v>25</v>
      </c>
      <c r="E28" s="79" t="s">
        <v>12</v>
      </c>
      <c r="F28" s="80">
        <v>595.35</v>
      </c>
      <c r="G28" s="59">
        <v>142.451376495109</v>
      </c>
      <c r="H28" s="82">
        <f t="shared" si="1"/>
        <v>84808.4269963631</v>
      </c>
    </row>
    <row r="29" spans="1:8">
      <c r="A29" s="75"/>
      <c r="B29" s="76">
        <v>678</v>
      </c>
      <c r="C29" s="77">
        <v>22010302360501</v>
      </c>
      <c r="D29" s="78" t="s">
        <v>27</v>
      </c>
      <c r="E29" s="79" t="s">
        <v>16</v>
      </c>
      <c r="F29" s="80">
        <v>521.4</v>
      </c>
      <c r="G29" s="73">
        <f>H28/F29</f>
        <v>162.655210963489</v>
      </c>
      <c r="H29" s="82">
        <f t="shared" si="1"/>
        <v>84808.4269963631</v>
      </c>
    </row>
    <row r="30" spans="1:8">
      <c r="A30" s="75"/>
      <c r="B30" s="76">
        <v>679</v>
      </c>
      <c r="C30" s="78" t="s">
        <v>350</v>
      </c>
      <c r="D30" s="78" t="s">
        <v>29</v>
      </c>
      <c r="E30" s="79" t="s">
        <v>16</v>
      </c>
      <c r="F30" s="80">
        <v>260</v>
      </c>
      <c r="G30" s="73">
        <f>H30/F30</f>
        <v>241.182118927349</v>
      </c>
      <c r="H30" s="82">
        <f>0.7394*H29</f>
        <v>62707.3509211108</v>
      </c>
    </row>
    <row r="31" spans="1:8">
      <c r="A31" s="75"/>
      <c r="B31" s="76">
        <v>680</v>
      </c>
      <c r="C31" s="78" t="s">
        <v>351</v>
      </c>
      <c r="D31" s="78" t="s">
        <v>31</v>
      </c>
      <c r="E31" s="79" t="s">
        <v>16</v>
      </c>
      <c r="F31" s="80">
        <v>260</v>
      </c>
      <c r="G31" s="73">
        <f>G30</f>
        <v>241.182118927349</v>
      </c>
      <c r="H31" s="82">
        <f>H30</f>
        <v>62707.3509211108</v>
      </c>
    </row>
    <row r="32" spans="1:8">
      <c r="A32" s="75"/>
      <c r="B32" s="76">
        <v>681</v>
      </c>
      <c r="C32" s="78" t="s">
        <v>352</v>
      </c>
      <c r="D32" s="78" t="s">
        <v>33</v>
      </c>
      <c r="E32" s="79" t="s">
        <v>16</v>
      </c>
      <c r="F32" s="80">
        <v>261.4</v>
      </c>
      <c r="G32" s="73">
        <v>66</v>
      </c>
      <c r="H32" s="82">
        <f>H29-H30</f>
        <v>22101.0760752522</v>
      </c>
    </row>
    <row r="33" ht="28" spans="1:8">
      <c r="A33" s="75" t="s">
        <v>353</v>
      </c>
      <c r="B33" s="76">
        <v>1123</v>
      </c>
      <c r="C33" s="77">
        <v>22030134</v>
      </c>
      <c r="D33" s="78" t="s">
        <v>354</v>
      </c>
      <c r="E33" s="79" t="s">
        <v>12</v>
      </c>
      <c r="F33" s="80">
        <v>595.35</v>
      </c>
      <c r="G33" s="73"/>
      <c r="H33" s="82">
        <v>7179.14</v>
      </c>
    </row>
    <row r="34" spans="1:8">
      <c r="A34" s="75"/>
      <c r="B34" s="76">
        <v>1124</v>
      </c>
      <c r="C34" s="77">
        <v>2203013401</v>
      </c>
      <c r="D34" s="78" t="s">
        <v>44</v>
      </c>
      <c r="E34" s="79" t="s">
        <v>12</v>
      </c>
      <c r="F34" s="80">
        <v>595.35</v>
      </c>
      <c r="G34" s="73">
        <v>12.06</v>
      </c>
      <c r="H34" s="82">
        <v>7179.14</v>
      </c>
    </row>
    <row r="35" spans="1:8">
      <c r="A35" s="75" t="s">
        <v>355</v>
      </c>
      <c r="B35" s="76">
        <v>1160</v>
      </c>
      <c r="C35" s="77">
        <v>22030234</v>
      </c>
      <c r="D35" s="78" t="s">
        <v>356</v>
      </c>
      <c r="E35" s="79" t="s">
        <v>12</v>
      </c>
      <c r="F35" s="80">
        <v>595.35</v>
      </c>
      <c r="G35" s="73"/>
      <c r="H35" s="82">
        <f>H36</f>
        <v>141880.601123595</v>
      </c>
    </row>
    <row r="36" spans="1:8">
      <c r="A36" s="75"/>
      <c r="B36" s="76">
        <v>1161</v>
      </c>
      <c r="C36" s="77">
        <v>2203023401</v>
      </c>
      <c r="D36" s="78" t="s">
        <v>44</v>
      </c>
      <c r="E36" s="79" t="s">
        <v>12</v>
      </c>
      <c r="F36" s="80">
        <v>595.35</v>
      </c>
      <c r="G36" s="73">
        <f>212.1/0.89</f>
        <v>238.314606741573</v>
      </c>
      <c r="H36" s="82">
        <f>G36*F36</f>
        <v>141880.601123595</v>
      </c>
    </row>
    <row r="37" ht="28" spans="1:8">
      <c r="A37" s="75" t="s">
        <v>357</v>
      </c>
      <c r="B37" s="76">
        <v>1214</v>
      </c>
      <c r="C37" s="77">
        <v>22030334</v>
      </c>
      <c r="D37" s="78" t="s">
        <v>358</v>
      </c>
      <c r="E37" s="79" t="s">
        <v>12</v>
      </c>
      <c r="F37" s="80">
        <v>611.83</v>
      </c>
      <c r="G37" s="73"/>
      <c r="H37" s="82">
        <v>19561.89</v>
      </c>
    </row>
    <row r="38" spans="1:8">
      <c r="A38" s="75"/>
      <c r="B38" s="76">
        <v>1215</v>
      </c>
      <c r="C38" s="77">
        <v>2203033401</v>
      </c>
      <c r="D38" s="78" t="s">
        <v>44</v>
      </c>
      <c r="E38" s="79" t="s">
        <v>12</v>
      </c>
      <c r="F38" s="80">
        <v>595.35</v>
      </c>
      <c r="G38" s="73">
        <v>32.28</v>
      </c>
      <c r="H38" s="82">
        <v>19214.33</v>
      </c>
    </row>
    <row r="39" ht="28" spans="1:8">
      <c r="A39" s="75"/>
      <c r="B39" s="76">
        <v>1216</v>
      </c>
      <c r="C39" s="77">
        <v>2203033402</v>
      </c>
      <c r="D39" s="78" t="s">
        <v>50</v>
      </c>
      <c r="E39" s="79" t="s">
        <v>12</v>
      </c>
      <c r="F39" s="80">
        <v>16.48</v>
      </c>
      <c r="G39" s="73">
        <v>21.09</v>
      </c>
      <c r="H39" s="82">
        <v>347.56</v>
      </c>
    </row>
    <row r="40" ht="28" spans="1:8">
      <c r="A40" s="75" t="s">
        <v>359</v>
      </c>
      <c r="B40" s="76">
        <v>1043</v>
      </c>
      <c r="C40" s="77">
        <v>22010415</v>
      </c>
      <c r="D40" s="78" t="s">
        <v>360</v>
      </c>
      <c r="E40" s="79" t="s">
        <v>12</v>
      </c>
      <c r="F40" s="80">
        <v>77.01</v>
      </c>
      <c r="G40" s="73"/>
      <c r="H40" s="82">
        <v>44145.34</v>
      </c>
    </row>
    <row r="41" spans="1:8">
      <c r="A41" s="75"/>
      <c r="B41" s="76">
        <v>1044</v>
      </c>
      <c r="C41" s="77">
        <v>2201041502</v>
      </c>
      <c r="D41" s="78" t="s">
        <v>53</v>
      </c>
      <c r="E41" s="79" t="s">
        <v>12</v>
      </c>
      <c r="F41" s="80">
        <v>77.01</v>
      </c>
      <c r="G41" s="73">
        <v>573.24</v>
      </c>
      <c r="H41" s="82">
        <v>44145.34</v>
      </c>
    </row>
    <row r="42" ht="28" spans="1:8">
      <c r="A42" s="75" t="s">
        <v>361</v>
      </c>
      <c r="B42" s="76">
        <v>524</v>
      </c>
      <c r="C42" s="77">
        <v>22010301</v>
      </c>
      <c r="D42" s="78" t="s">
        <v>362</v>
      </c>
      <c r="E42" s="79" t="s">
        <v>12</v>
      </c>
      <c r="F42" s="80">
        <f>F43</f>
        <v>26.09</v>
      </c>
      <c r="G42" s="73"/>
      <c r="H42" s="81">
        <f>H44+H47+H49+H50+H51</f>
        <v>236992.323266752</v>
      </c>
    </row>
    <row r="43" ht="28" spans="1:8">
      <c r="A43" s="75"/>
      <c r="B43" s="76">
        <v>525</v>
      </c>
      <c r="C43" s="77">
        <v>2201030106</v>
      </c>
      <c r="D43" s="78" t="s">
        <v>63</v>
      </c>
      <c r="E43" s="79" t="s">
        <v>12</v>
      </c>
      <c r="F43" s="80">
        <v>26.09</v>
      </c>
      <c r="G43" s="73">
        <f t="shared" ref="G43:G46" si="2">H43/F43</f>
        <v>9083.64596652941</v>
      </c>
      <c r="H43" s="82">
        <f>H42</f>
        <v>236992.323266752</v>
      </c>
    </row>
    <row r="44" spans="1:8">
      <c r="A44" s="75"/>
      <c r="B44" s="76">
        <v>526</v>
      </c>
      <c r="C44" s="77">
        <v>220103010601</v>
      </c>
      <c r="D44" s="78" t="s">
        <v>13</v>
      </c>
      <c r="E44" s="79" t="s">
        <v>12</v>
      </c>
      <c r="F44" s="80">
        <v>26.09</v>
      </c>
      <c r="G44" s="59">
        <v>2003.77880519645</v>
      </c>
      <c r="H44" s="82">
        <f t="shared" ref="H44:H52" si="3">G44*F44</f>
        <v>52278.5890275753</v>
      </c>
    </row>
    <row r="45" spans="1:8">
      <c r="A45" s="75"/>
      <c r="B45" s="76">
        <v>527</v>
      </c>
      <c r="C45" s="77">
        <v>22010301060101</v>
      </c>
      <c r="D45" s="78" t="s">
        <v>15</v>
      </c>
      <c r="E45" s="79" t="s">
        <v>16</v>
      </c>
      <c r="F45" s="80">
        <v>0.5304</v>
      </c>
      <c r="G45" s="73">
        <f t="shared" si="2"/>
        <v>364.688498118455</v>
      </c>
      <c r="H45" s="82">
        <f>0.0037*H44</f>
        <v>193.430779402029</v>
      </c>
    </row>
    <row r="46" spans="1:8">
      <c r="A46" s="75"/>
      <c r="B46" s="76">
        <v>528</v>
      </c>
      <c r="C46" s="77">
        <v>22010301060102</v>
      </c>
      <c r="D46" s="78" t="s">
        <v>18</v>
      </c>
      <c r="E46" s="79" t="s">
        <v>19</v>
      </c>
      <c r="F46" s="80">
        <v>18.7075</v>
      </c>
      <c r="G46" s="73">
        <f t="shared" si="2"/>
        <v>2784.18592800605</v>
      </c>
      <c r="H46" s="82">
        <f>H44-H45</f>
        <v>52085.1582481733</v>
      </c>
    </row>
    <row r="47" spans="1:8">
      <c r="A47" s="75"/>
      <c r="B47" s="76">
        <v>529</v>
      </c>
      <c r="C47" s="77">
        <v>220103010602</v>
      </c>
      <c r="D47" s="78" t="s">
        <v>20</v>
      </c>
      <c r="E47" s="79" t="s">
        <v>12</v>
      </c>
      <c r="F47" s="80">
        <v>26.09</v>
      </c>
      <c r="G47" s="59">
        <v>1413.83736086286</v>
      </c>
      <c r="H47" s="82">
        <f t="shared" si="3"/>
        <v>36887.0167449119</v>
      </c>
    </row>
    <row r="48" spans="1:8">
      <c r="A48" s="75"/>
      <c r="B48" s="76">
        <v>530</v>
      </c>
      <c r="C48" s="77">
        <v>22010301060202</v>
      </c>
      <c r="D48" s="78" t="s">
        <v>22</v>
      </c>
      <c r="E48" s="79" t="s">
        <v>12</v>
      </c>
      <c r="F48" s="80">
        <v>26.09</v>
      </c>
      <c r="G48" s="73">
        <f>H47/F48</f>
        <v>1413.83736086286</v>
      </c>
      <c r="H48" s="82">
        <f t="shared" si="3"/>
        <v>36887.0167449119</v>
      </c>
    </row>
    <row r="49" spans="1:8">
      <c r="A49" s="75"/>
      <c r="B49" s="76">
        <v>531</v>
      </c>
      <c r="C49" s="77">
        <v>220103010603</v>
      </c>
      <c r="D49" s="78" t="s">
        <v>23</v>
      </c>
      <c r="E49" s="79" t="s">
        <v>12</v>
      </c>
      <c r="F49" s="80">
        <v>26.09</v>
      </c>
      <c r="G49" s="59">
        <v>2107.49578158714</v>
      </c>
      <c r="H49" s="82">
        <f t="shared" si="3"/>
        <v>54984.5649416085</v>
      </c>
    </row>
    <row r="50" spans="1:8">
      <c r="A50" s="75"/>
      <c r="B50" s="76">
        <v>532</v>
      </c>
      <c r="C50" s="77">
        <v>220103010604</v>
      </c>
      <c r="D50" s="78" t="s">
        <v>24</v>
      </c>
      <c r="E50" s="79" t="s">
        <v>12</v>
      </c>
      <c r="F50" s="80">
        <v>26.09</v>
      </c>
      <c r="G50" s="59">
        <v>225.715849300707</v>
      </c>
      <c r="H50" s="82">
        <f t="shared" si="3"/>
        <v>5888.92650825544</v>
      </c>
    </row>
    <row r="51" spans="1:8">
      <c r="A51" s="75"/>
      <c r="B51" s="76">
        <v>533</v>
      </c>
      <c r="C51" s="77">
        <v>220103010605</v>
      </c>
      <c r="D51" s="78" t="s">
        <v>25</v>
      </c>
      <c r="E51" s="79" t="s">
        <v>12</v>
      </c>
      <c r="F51" s="80">
        <v>29.35</v>
      </c>
      <c r="G51" s="59">
        <v>2962.63121105285</v>
      </c>
      <c r="H51" s="82">
        <f t="shared" si="3"/>
        <v>86953.2260444011</v>
      </c>
    </row>
    <row r="52" spans="1:8">
      <c r="A52" s="75"/>
      <c r="B52" s="76">
        <v>534</v>
      </c>
      <c r="C52" s="77">
        <v>22010301060501</v>
      </c>
      <c r="D52" s="78" t="s">
        <v>27</v>
      </c>
      <c r="E52" s="79" t="s">
        <v>16</v>
      </c>
      <c r="F52" s="80">
        <v>721.96</v>
      </c>
      <c r="G52" s="73">
        <f>H51/F52</f>
        <v>120.440503690511</v>
      </c>
      <c r="H52" s="82">
        <f t="shared" si="3"/>
        <v>86953.2260444011</v>
      </c>
    </row>
    <row r="53" spans="1:8">
      <c r="A53" s="75"/>
      <c r="B53" s="76">
        <v>535</v>
      </c>
      <c r="C53" s="78" t="s">
        <v>56</v>
      </c>
      <c r="D53" s="78" t="s">
        <v>29</v>
      </c>
      <c r="E53" s="79" t="s">
        <v>16</v>
      </c>
      <c r="F53" s="80">
        <v>11.88</v>
      </c>
      <c r="G53" s="73">
        <f>H53/F53</f>
        <v>212.259558525895</v>
      </c>
      <c r="H53" s="82">
        <f>0.029*H52</f>
        <v>2521.64355528763</v>
      </c>
    </row>
    <row r="54" spans="1:8">
      <c r="A54" s="75"/>
      <c r="B54" s="76">
        <v>536</v>
      </c>
      <c r="C54" s="78" t="s">
        <v>57</v>
      </c>
      <c r="D54" s="78" t="s">
        <v>31</v>
      </c>
      <c r="E54" s="79" t="s">
        <v>16</v>
      </c>
      <c r="F54" s="80">
        <v>11.88</v>
      </c>
      <c r="G54" s="73">
        <f>G53</f>
        <v>212.259558525895</v>
      </c>
      <c r="H54" s="82">
        <f>G54*F54</f>
        <v>2521.64355528763</v>
      </c>
    </row>
    <row r="55" spans="1:8">
      <c r="A55" s="75"/>
      <c r="B55" s="76">
        <v>537</v>
      </c>
      <c r="C55" s="78" t="s">
        <v>58</v>
      </c>
      <c r="D55" s="78" t="s">
        <v>33</v>
      </c>
      <c r="E55" s="79" t="s">
        <v>16</v>
      </c>
      <c r="F55" s="80">
        <v>710.08</v>
      </c>
      <c r="G55" s="73">
        <f>H55/F55</f>
        <v>118.904324145327</v>
      </c>
      <c r="H55" s="82">
        <f>H52-H54</f>
        <v>84431.5824891135</v>
      </c>
    </row>
    <row r="56" ht="28" spans="1:8">
      <c r="A56" s="75"/>
      <c r="B56" s="76">
        <v>1183</v>
      </c>
      <c r="C56" s="77">
        <v>22030323</v>
      </c>
      <c r="D56" s="78" t="s">
        <v>59</v>
      </c>
      <c r="E56" s="79" t="s">
        <v>12</v>
      </c>
      <c r="F56" s="80">
        <v>2284.82</v>
      </c>
      <c r="G56" s="73"/>
      <c r="H56" s="82">
        <v>2281.71</v>
      </c>
    </row>
    <row r="57" ht="41" spans="1:8">
      <c r="A57" s="75"/>
      <c r="B57" s="76">
        <v>1187</v>
      </c>
      <c r="C57" s="77">
        <v>2203032305</v>
      </c>
      <c r="D57" s="78" t="s">
        <v>363</v>
      </c>
      <c r="E57" s="79" t="s">
        <v>12</v>
      </c>
      <c r="F57" s="80">
        <v>26.09</v>
      </c>
      <c r="G57" s="73">
        <v>87.45</v>
      </c>
      <c r="H57" s="82">
        <v>2281.71</v>
      </c>
    </row>
    <row r="58" ht="41" spans="1:8">
      <c r="A58" s="75" t="s">
        <v>364</v>
      </c>
      <c r="B58" s="76">
        <v>919</v>
      </c>
      <c r="C58" s="77">
        <v>220103090221</v>
      </c>
      <c r="D58" s="78" t="s">
        <v>365</v>
      </c>
      <c r="E58" s="79" t="s">
        <v>12</v>
      </c>
      <c r="F58" s="80">
        <v>14.05</v>
      </c>
      <c r="G58" s="73"/>
      <c r="H58" s="81">
        <f>H59+H62+H64+H65+H66</f>
        <v>192866.152896</v>
      </c>
    </row>
    <row r="59" spans="1:8">
      <c r="A59" s="75"/>
      <c r="B59" s="76">
        <v>920</v>
      </c>
      <c r="C59" s="77">
        <v>22010309022101</v>
      </c>
      <c r="D59" s="78" t="s">
        <v>13</v>
      </c>
      <c r="E59" s="79" t="s">
        <v>12</v>
      </c>
      <c r="F59" s="80">
        <v>14.05</v>
      </c>
      <c r="G59" s="59">
        <v>2835.50111064397</v>
      </c>
      <c r="H59" s="82">
        <f>G59*F59</f>
        <v>39838.7906045478</v>
      </c>
    </row>
    <row r="60" spans="1:8">
      <c r="A60" s="75"/>
      <c r="B60" s="76">
        <v>921</v>
      </c>
      <c r="C60" s="78" t="s">
        <v>278</v>
      </c>
      <c r="D60" s="78" t="s">
        <v>15</v>
      </c>
      <c r="E60" s="79" t="s">
        <v>16</v>
      </c>
      <c r="F60" s="80">
        <v>0.38</v>
      </c>
      <c r="G60" s="73">
        <f>H60/F60</f>
        <v>345.968444723705</v>
      </c>
      <c r="H60" s="82">
        <f>0.0033*H59</f>
        <v>131.468008995008</v>
      </c>
    </row>
    <row r="61" spans="1:8">
      <c r="A61" s="75"/>
      <c r="B61" s="76">
        <v>922</v>
      </c>
      <c r="C61" s="78" t="s">
        <v>279</v>
      </c>
      <c r="D61" s="78" t="s">
        <v>18</v>
      </c>
      <c r="E61" s="79" t="s">
        <v>19</v>
      </c>
      <c r="F61" s="80">
        <v>11.2</v>
      </c>
      <c r="G61" s="73">
        <f>H61/F61</f>
        <v>3545.29666031721</v>
      </c>
      <c r="H61" s="82">
        <f>H59-H60</f>
        <v>39707.3225955528</v>
      </c>
    </row>
    <row r="62" spans="1:8">
      <c r="A62" s="75"/>
      <c r="B62" s="76">
        <v>923</v>
      </c>
      <c r="C62" s="77">
        <v>22010309022102</v>
      </c>
      <c r="D62" s="78" t="s">
        <v>20</v>
      </c>
      <c r="E62" s="79" t="s">
        <v>12</v>
      </c>
      <c r="F62" s="80">
        <v>14.05</v>
      </c>
      <c r="G62" s="59">
        <v>1043.33206866107</v>
      </c>
      <c r="H62" s="82">
        <f t="shared" ref="H62:H67" si="4">G62*F62</f>
        <v>14658.8155646881</v>
      </c>
    </row>
    <row r="63" spans="1:8">
      <c r="A63" s="75"/>
      <c r="B63" s="76">
        <v>924</v>
      </c>
      <c r="C63" s="78" t="s">
        <v>280</v>
      </c>
      <c r="D63" s="78" t="s">
        <v>22</v>
      </c>
      <c r="E63" s="79" t="s">
        <v>12</v>
      </c>
      <c r="F63" s="80">
        <v>14.05</v>
      </c>
      <c r="G63" s="73">
        <f>H62/F63</f>
        <v>1043.33206866107</v>
      </c>
      <c r="H63" s="82">
        <f t="shared" si="4"/>
        <v>14658.8155646881</v>
      </c>
    </row>
    <row r="64" spans="1:8">
      <c r="A64" s="75"/>
      <c r="B64" s="76">
        <v>925</v>
      </c>
      <c r="C64" s="77">
        <v>22010309022103</v>
      </c>
      <c r="D64" s="78" t="s">
        <v>23</v>
      </c>
      <c r="E64" s="79" t="s">
        <v>12</v>
      </c>
      <c r="F64" s="80">
        <v>14.05</v>
      </c>
      <c r="G64" s="59">
        <v>2372.72768355687</v>
      </c>
      <c r="H64" s="82">
        <f t="shared" si="4"/>
        <v>33336.823953974</v>
      </c>
    </row>
    <row r="65" spans="1:8">
      <c r="A65" s="75"/>
      <c r="B65" s="76">
        <v>926</v>
      </c>
      <c r="C65" s="77">
        <v>22010309022104</v>
      </c>
      <c r="D65" s="78" t="s">
        <v>24</v>
      </c>
      <c r="E65" s="79" t="s">
        <v>12</v>
      </c>
      <c r="F65" s="80">
        <v>14.05</v>
      </c>
      <c r="G65" s="59">
        <v>333.927815485919</v>
      </c>
      <c r="H65" s="82">
        <f t="shared" si="4"/>
        <v>4691.68580757717</v>
      </c>
    </row>
    <row r="66" spans="1:8">
      <c r="A66" s="75"/>
      <c r="B66" s="76">
        <v>927</v>
      </c>
      <c r="C66" s="77">
        <v>22010309022105</v>
      </c>
      <c r="D66" s="78" t="s">
        <v>25</v>
      </c>
      <c r="E66" s="79" t="s">
        <v>12</v>
      </c>
      <c r="F66" s="80">
        <v>14.05</v>
      </c>
      <c r="G66" s="59">
        <v>7141.63964165217</v>
      </c>
      <c r="H66" s="82">
        <f t="shared" si="4"/>
        <v>100340.036965213</v>
      </c>
    </row>
    <row r="67" spans="1:8">
      <c r="A67" s="75"/>
      <c r="B67" s="76">
        <v>928</v>
      </c>
      <c r="C67" s="78" t="s">
        <v>281</v>
      </c>
      <c r="D67" s="78" t="s">
        <v>27</v>
      </c>
      <c r="E67" s="79" t="s">
        <v>16</v>
      </c>
      <c r="F67" s="80">
        <v>878.45</v>
      </c>
      <c r="G67" s="73">
        <f>H66/F67</f>
        <v>114.223959206799</v>
      </c>
      <c r="H67" s="82">
        <f t="shared" si="4"/>
        <v>100340.036965213</v>
      </c>
    </row>
    <row r="68" spans="1:8">
      <c r="A68" s="75"/>
      <c r="B68" s="76">
        <v>929</v>
      </c>
      <c r="C68" s="78" t="s">
        <v>282</v>
      </c>
      <c r="D68" s="78" t="s">
        <v>29</v>
      </c>
      <c r="E68" s="79" t="s">
        <v>16</v>
      </c>
      <c r="F68" s="80">
        <v>8.45</v>
      </c>
      <c r="G68" s="73">
        <f>H68/F68</f>
        <v>200.680073930426</v>
      </c>
      <c r="H68" s="82">
        <f>0.0169*H67</f>
        <v>1695.7466247121</v>
      </c>
    </row>
    <row r="69" spans="1:8">
      <c r="A69" s="75"/>
      <c r="B69" s="76">
        <v>930</v>
      </c>
      <c r="C69" s="78" t="s">
        <v>283</v>
      </c>
      <c r="D69" s="78" t="s">
        <v>31</v>
      </c>
      <c r="E69" s="79" t="s">
        <v>16</v>
      </c>
      <c r="F69" s="80">
        <v>8.45</v>
      </c>
      <c r="G69" s="73">
        <f>G68</f>
        <v>200.680073930426</v>
      </c>
      <c r="H69" s="82">
        <f>H68</f>
        <v>1695.7466247121</v>
      </c>
    </row>
    <row r="70" spans="1:8">
      <c r="A70" s="75"/>
      <c r="B70" s="76">
        <v>931</v>
      </c>
      <c r="C70" s="78" t="s">
        <v>284</v>
      </c>
      <c r="D70" s="78" t="s">
        <v>33</v>
      </c>
      <c r="E70" s="79" t="s">
        <v>16</v>
      </c>
      <c r="F70" s="80">
        <v>870</v>
      </c>
      <c r="G70" s="73">
        <v>106.1</v>
      </c>
      <c r="H70" s="82">
        <f>H67-H68</f>
        <v>98644.2903405008</v>
      </c>
    </row>
    <row r="71" spans="1:8">
      <c r="A71" s="75" t="s">
        <v>34</v>
      </c>
      <c r="B71" s="76">
        <v>1222</v>
      </c>
      <c r="C71" s="77">
        <v>220403</v>
      </c>
      <c r="D71" s="78" t="s">
        <v>35</v>
      </c>
      <c r="E71" s="79" t="s">
        <v>12</v>
      </c>
      <c r="F71" s="80"/>
      <c r="G71" s="73"/>
      <c r="H71" s="82">
        <v>19509.23</v>
      </c>
    </row>
    <row r="72" spans="1:8">
      <c r="A72" s="75"/>
      <c r="B72" s="76">
        <v>1223</v>
      </c>
      <c r="C72" s="77">
        <v>22040305</v>
      </c>
      <c r="D72" s="78" t="s">
        <v>36</v>
      </c>
      <c r="E72" s="79" t="s">
        <v>12</v>
      </c>
      <c r="F72" s="80">
        <v>162</v>
      </c>
      <c r="G72" s="73">
        <v>120.43</v>
      </c>
      <c r="H72" s="82">
        <v>19509.23</v>
      </c>
    </row>
    <row r="73" ht="28" spans="1:8">
      <c r="A73" s="75" t="s">
        <v>366</v>
      </c>
      <c r="B73" s="76">
        <v>524</v>
      </c>
      <c r="C73" s="77">
        <v>22010301</v>
      </c>
      <c r="D73" s="78" t="s">
        <v>367</v>
      </c>
      <c r="E73" s="79" t="s">
        <v>12</v>
      </c>
      <c r="F73" s="80">
        <f>F74</f>
        <v>26.09</v>
      </c>
      <c r="G73" s="73"/>
      <c r="H73" s="81">
        <f>H75+H78+H80+H81+H82</f>
        <v>236992.323266752</v>
      </c>
    </row>
    <row r="74" ht="28" spans="1:8">
      <c r="A74" s="75"/>
      <c r="B74" s="76">
        <v>525</v>
      </c>
      <c r="C74" s="77">
        <v>2201030106</v>
      </c>
      <c r="D74" s="78" t="s">
        <v>63</v>
      </c>
      <c r="E74" s="79" t="s">
        <v>12</v>
      </c>
      <c r="F74" s="80">
        <v>26.09</v>
      </c>
      <c r="G74" s="73">
        <f t="shared" ref="G74:G77" si="5">H74/F74</f>
        <v>9083.64596652941</v>
      </c>
      <c r="H74" s="82">
        <f>H73</f>
        <v>236992.323266752</v>
      </c>
    </row>
    <row r="75" spans="1:8">
      <c r="A75" s="75"/>
      <c r="B75" s="76">
        <v>526</v>
      </c>
      <c r="C75" s="77">
        <v>220103010601</v>
      </c>
      <c r="D75" s="78" t="s">
        <v>13</v>
      </c>
      <c r="E75" s="79" t="s">
        <v>12</v>
      </c>
      <c r="F75" s="80">
        <v>26.09</v>
      </c>
      <c r="G75" s="59">
        <v>2003.77880519645</v>
      </c>
      <c r="H75" s="82">
        <f t="shared" ref="H75:H83" si="6">G75*F75</f>
        <v>52278.5890275753</v>
      </c>
    </row>
    <row r="76" spans="1:8">
      <c r="A76" s="75"/>
      <c r="B76" s="76">
        <v>527</v>
      </c>
      <c r="C76" s="77">
        <v>22010301060101</v>
      </c>
      <c r="D76" s="78" t="s">
        <v>15</v>
      </c>
      <c r="E76" s="79" t="s">
        <v>16</v>
      </c>
      <c r="F76" s="80">
        <v>0.5304</v>
      </c>
      <c r="G76" s="73">
        <f t="shared" si="5"/>
        <v>364.688498118455</v>
      </c>
      <c r="H76" s="82">
        <f>0.0037*H75</f>
        <v>193.430779402029</v>
      </c>
    </row>
    <row r="77" spans="1:8">
      <c r="A77" s="75"/>
      <c r="B77" s="76">
        <v>528</v>
      </c>
      <c r="C77" s="77">
        <v>22010301060102</v>
      </c>
      <c r="D77" s="78" t="s">
        <v>18</v>
      </c>
      <c r="E77" s="79" t="s">
        <v>19</v>
      </c>
      <c r="F77" s="80">
        <v>18.7075</v>
      </c>
      <c r="G77" s="73">
        <f t="shared" si="5"/>
        <v>2784.18592800605</v>
      </c>
      <c r="H77" s="82">
        <f>H75-H76</f>
        <v>52085.1582481733</v>
      </c>
    </row>
    <row r="78" spans="1:8">
      <c r="A78" s="75"/>
      <c r="B78" s="76">
        <v>529</v>
      </c>
      <c r="C78" s="77">
        <v>220103010602</v>
      </c>
      <c r="D78" s="78" t="s">
        <v>20</v>
      </c>
      <c r="E78" s="79" t="s">
        <v>12</v>
      </c>
      <c r="F78" s="80">
        <v>26.09</v>
      </c>
      <c r="G78" s="59">
        <v>1413.83736086286</v>
      </c>
      <c r="H78" s="82">
        <f t="shared" si="6"/>
        <v>36887.0167449119</v>
      </c>
    </row>
    <row r="79" spans="1:8">
      <c r="A79" s="75"/>
      <c r="B79" s="76">
        <v>530</v>
      </c>
      <c r="C79" s="77">
        <v>22010301060202</v>
      </c>
      <c r="D79" s="78" t="s">
        <v>22</v>
      </c>
      <c r="E79" s="79" t="s">
        <v>12</v>
      </c>
      <c r="F79" s="80">
        <v>26.09</v>
      </c>
      <c r="G79" s="73">
        <f>H78/F79</f>
        <v>1413.83736086286</v>
      </c>
      <c r="H79" s="82">
        <f t="shared" si="6"/>
        <v>36887.0167449119</v>
      </c>
    </row>
    <row r="80" spans="1:8">
      <c r="A80" s="75"/>
      <c r="B80" s="76">
        <v>531</v>
      </c>
      <c r="C80" s="77">
        <v>220103010603</v>
      </c>
      <c r="D80" s="78" t="s">
        <v>23</v>
      </c>
      <c r="E80" s="79" t="s">
        <v>12</v>
      </c>
      <c r="F80" s="80">
        <v>26.09</v>
      </c>
      <c r="G80" s="59">
        <v>2107.49578158714</v>
      </c>
      <c r="H80" s="82">
        <f t="shared" si="6"/>
        <v>54984.5649416085</v>
      </c>
    </row>
    <row r="81" spans="1:8">
      <c r="A81" s="75"/>
      <c r="B81" s="76">
        <v>532</v>
      </c>
      <c r="C81" s="77">
        <v>220103010604</v>
      </c>
      <c r="D81" s="78" t="s">
        <v>24</v>
      </c>
      <c r="E81" s="79" t="s">
        <v>12</v>
      </c>
      <c r="F81" s="80">
        <v>26.09</v>
      </c>
      <c r="G81" s="59">
        <v>225.715849300707</v>
      </c>
      <c r="H81" s="82">
        <f t="shared" si="6"/>
        <v>5888.92650825544</v>
      </c>
    </row>
    <row r="82" spans="1:8">
      <c r="A82" s="75"/>
      <c r="B82" s="76">
        <v>533</v>
      </c>
      <c r="C82" s="77">
        <v>220103010605</v>
      </c>
      <c r="D82" s="78" t="s">
        <v>25</v>
      </c>
      <c r="E82" s="79" t="s">
        <v>12</v>
      </c>
      <c r="F82" s="80">
        <v>29.35</v>
      </c>
      <c r="G82" s="59">
        <v>2962.63121105285</v>
      </c>
      <c r="H82" s="82">
        <f t="shared" si="6"/>
        <v>86953.2260444011</v>
      </c>
    </row>
    <row r="83" spans="1:8">
      <c r="A83" s="75"/>
      <c r="B83" s="76">
        <v>534</v>
      </c>
      <c r="C83" s="77">
        <v>22010301060501</v>
      </c>
      <c r="D83" s="78" t="s">
        <v>27</v>
      </c>
      <c r="E83" s="79" t="s">
        <v>16</v>
      </c>
      <c r="F83" s="80">
        <v>721.96</v>
      </c>
      <c r="G83" s="73">
        <f>H82/F83</f>
        <v>120.440503690511</v>
      </c>
      <c r="H83" s="82">
        <f t="shared" si="6"/>
        <v>86953.2260444011</v>
      </c>
    </row>
    <row r="84" spans="1:8">
      <c r="A84" s="75"/>
      <c r="B84" s="76">
        <v>535</v>
      </c>
      <c r="C84" s="78" t="s">
        <v>56</v>
      </c>
      <c r="D84" s="78" t="s">
        <v>29</v>
      </c>
      <c r="E84" s="79" t="s">
        <v>16</v>
      </c>
      <c r="F84" s="80">
        <v>11.88</v>
      </c>
      <c r="G84" s="73">
        <f>H84/F84</f>
        <v>212.259558525895</v>
      </c>
      <c r="H84" s="82">
        <f>0.029*H83</f>
        <v>2521.64355528763</v>
      </c>
    </row>
    <row r="85" spans="1:8">
      <c r="A85" s="75"/>
      <c r="B85" s="76">
        <v>536</v>
      </c>
      <c r="C85" s="78" t="s">
        <v>57</v>
      </c>
      <c r="D85" s="78" t="s">
        <v>31</v>
      </c>
      <c r="E85" s="79" t="s">
        <v>16</v>
      </c>
      <c r="F85" s="80">
        <v>11.88</v>
      </c>
      <c r="G85" s="73">
        <f>G84</f>
        <v>212.259558525895</v>
      </c>
      <c r="H85" s="82">
        <f>G85*F85</f>
        <v>2521.64355528763</v>
      </c>
    </row>
    <row r="86" spans="1:8">
      <c r="A86" s="75"/>
      <c r="B86" s="76">
        <v>537</v>
      </c>
      <c r="C86" s="78" t="s">
        <v>58</v>
      </c>
      <c r="D86" s="78" t="s">
        <v>33</v>
      </c>
      <c r="E86" s="79" t="s">
        <v>16</v>
      </c>
      <c r="F86" s="80">
        <v>710.08</v>
      </c>
      <c r="G86" s="73">
        <f>H86/F86</f>
        <v>118.904324145327</v>
      </c>
      <c r="H86" s="82">
        <f>H83-H85</f>
        <v>84431.5824891135</v>
      </c>
    </row>
    <row r="87" ht="28" spans="1:8">
      <c r="A87" s="75"/>
      <c r="B87" s="76">
        <v>1183</v>
      </c>
      <c r="C87" s="77">
        <v>22030323</v>
      </c>
      <c r="D87" s="78" t="s">
        <v>59</v>
      </c>
      <c r="E87" s="79" t="s">
        <v>12</v>
      </c>
      <c r="F87" s="80">
        <v>2284.82</v>
      </c>
      <c r="G87" s="73"/>
      <c r="H87" s="82">
        <v>2281.71</v>
      </c>
    </row>
    <row r="88" ht="41" spans="1:8">
      <c r="A88" s="75"/>
      <c r="B88" s="76">
        <v>1187</v>
      </c>
      <c r="C88" s="77">
        <v>2203032305</v>
      </c>
      <c r="D88" s="78" t="s">
        <v>368</v>
      </c>
      <c r="E88" s="79" t="s">
        <v>12</v>
      </c>
      <c r="F88" s="80">
        <v>26.09</v>
      </c>
      <c r="G88" s="73">
        <v>87.45</v>
      </c>
      <c r="H88" s="82">
        <v>2281.71</v>
      </c>
    </row>
    <row r="89" ht="41" spans="1:8">
      <c r="A89" s="75" t="s">
        <v>65</v>
      </c>
      <c r="B89" s="76">
        <v>719</v>
      </c>
      <c r="C89" s="77">
        <v>2201030613</v>
      </c>
      <c r="D89" s="78" t="s">
        <v>369</v>
      </c>
      <c r="E89" s="79" t="s">
        <v>12</v>
      </c>
      <c r="F89" s="80">
        <f>F90</f>
        <v>27.42</v>
      </c>
      <c r="G89" s="73"/>
      <c r="H89" s="81">
        <f>H90+H93+H95+H96+H97</f>
        <v>230010.53694336</v>
      </c>
    </row>
    <row r="90" spans="1:8">
      <c r="A90" s="75"/>
      <c r="B90" s="76">
        <v>720</v>
      </c>
      <c r="C90" s="77">
        <v>220103061301</v>
      </c>
      <c r="D90" s="78" t="s">
        <v>13</v>
      </c>
      <c r="E90" s="79" t="s">
        <v>12</v>
      </c>
      <c r="F90" s="80">
        <v>27.42</v>
      </c>
      <c r="G90" s="59">
        <v>1747.02483680591</v>
      </c>
      <c r="H90" s="82">
        <f t="shared" ref="H90:H98" si="7">G90*F90</f>
        <v>47903.421025218</v>
      </c>
    </row>
    <row r="91" spans="1:8">
      <c r="A91" s="75"/>
      <c r="B91" s="76">
        <v>721</v>
      </c>
      <c r="C91" s="77">
        <v>22010306130101</v>
      </c>
      <c r="D91" s="78" t="s">
        <v>15</v>
      </c>
      <c r="E91" s="79" t="s">
        <v>16</v>
      </c>
      <c r="F91" s="80">
        <v>0.42</v>
      </c>
      <c r="G91" s="73">
        <f>H91/F91</f>
        <v>342.167293037272</v>
      </c>
      <c r="H91" s="82">
        <f>H90*0.003</f>
        <v>143.710263075654</v>
      </c>
    </row>
    <row r="92" spans="1:8">
      <c r="A92" s="75"/>
      <c r="B92" s="76">
        <v>722</v>
      </c>
      <c r="C92" s="77">
        <v>22010306130102</v>
      </c>
      <c r="D92" s="78" t="s">
        <v>18</v>
      </c>
      <c r="E92" s="79" t="s">
        <v>19</v>
      </c>
      <c r="F92" s="80">
        <v>17.94</v>
      </c>
      <c r="G92" s="73">
        <f>H92/F92</f>
        <v>2662.19123534796</v>
      </c>
      <c r="H92" s="82">
        <f>H90-H91</f>
        <v>47759.7107621424</v>
      </c>
    </row>
    <row r="93" spans="1:8">
      <c r="A93" s="75"/>
      <c r="B93" s="76">
        <v>723</v>
      </c>
      <c r="C93" s="77">
        <v>220103061302</v>
      </c>
      <c r="D93" s="78" t="s">
        <v>20</v>
      </c>
      <c r="E93" s="79" t="s">
        <v>12</v>
      </c>
      <c r="F93" s="80">
        <v>27.42</v>
      </c>
      <c r="G93" s="59">
        <v>1165.7639930428</v>
      </c>
      <c r="H93" s="82">
        <f t="shared" si="7"/>
        <v>31965.2486892335</v>
      </c>
    </row>
    <row r="94" spans="1:8">
      <c r="A94" s="75"/>
      <c r="B94" s="76">
        <v>724</v>
      </c>
      <c r="C94" s="77">
        <v>22010306130202</v>
      </c>
      <c r="D94" s="78" t="s">
        <v>22</v>
      </c>
      <c r="E94" s="79" t="s">
        <v>12</v>
      </c>
      <c r="F94" s="80">
        <v>27.42</v>
      </c>
      <c r="G94" s="73">
        <v>1214.33749275291</v>
      </c>
      <c r="H94" s="82">
        <f t="shared" si="7"/>
        <v>33297.1340512849</v>
      </c>
    </row>
    <row r="95" spans="1:8">
      <c r="A95" s="75"/>
      <c r="B95" s="76">
        <v>725</v>
      </c>
      <c r="C95" s="77">
        <v>220103061303</v>
      </c>
      <c r="D95" s="78" t="s">
        <v>23</v>
      </c>
      <c r="E95" s="79" t="s">
        <v>12</v>
      </c>
      <c r="F95" s="80">
        <v>27.42</v>
      </c>
      <c r="G95" s="59">
        <v>1910.03896960943</v>
      </c>
      <c r="H95" s="82">
        <f t="shared" si="7"/>
        <v>52373.2685466906</v>
      </c>
    </row>
    <row r="96" spans="1:8">
      <c r="A96" s="75"/>
      <c r="B96" s="76">
        <v>726</v>
      </c>
      <c r="C96" s="77">
        <v>220103061304</v>
      </c>
      <c r="D96" s="78" t="s">
        <v>24</v>
      </c>
      <c r="E96" s="79" t="s">
        <v>12</v>
      </c>
      <c r="F96" s="80">
        <v>27.42</v>
      </c>
      <c r="G96" s="59">
        <v>215.05153124277</v>
      </c>
      <c r="H96" s="82">
        <f t="shared" si="7"/>
        <v>5896.71298667675</v>
      </c>
    </row>
    <row r="97" spans="1:8">
      <c r="A97" s="75"/>
      <c r="B97" s="76">
        <v>727</v>
      </c>
      <c r="C97" s="77">
        <v>220103061305</v>
      </c>
      <c r="D97" s="78" t="s">
        <v>25</v>
      </c>
      <c r="E97" s="79" t="s">
        <v>12</v>
      </c>
      <c r="F97" s="80">
        <v>27.42</v>
      </c>
      <c r="G97" s="59">
        <v>3350.54287729909</v>
      </c>
      <c r="H97" s="82">
        <f t="shared" si="7"/>
        <v>91871.8856955412</v>
      </c>
    </row>
    <row r="98" spans="1:8">
      <c r="A98" s="75"/>
      <c r="B98" s="76">
        <v>728</v>
      </c>
      <c r="C98" s="77">
        <v>22010306130501</v>
      </c>
      <c r="D98" s="78" t="s">
        <v>27</v>
      </c>
      <c r="E98" s="79" t="s">
        <v>16</v>
      </c>
      <c r="F98" s="80">
        <v>802.04</v>
      </c>
      <c r="G98" s="73">
        <f>H97/F98</f>
        <v>114.547760330583</v>
      </c>
      <c r="H98" s="82">
        <f t="shared" si="7"/>
        <v>91871.8856955412</v>
      </c>
    </row>
    <row r="99" spans="1:8">
      <c r="A99" s="75"/>
      <c r="B99" s="76">
        <v>729</v>
      </c>
      <c r="C99" s="78" t="s">
        <v>67</v>
      </c>
      <c r="D99" s="78" t="s">
        <v>29</v>
      </c>
      <c r="E99" s="79" t="s">
        <v>16</v>
      </c>
      <c r="F99" s="80">
        <v>9.29</v>
      </c>
      <c r="G99" s="73">
        <f>H99/F99</f>
        <v>197.786621518926</v>
      </c>
      <c r="H99" s="82">
        <f>0.02*H98</f>
        <v>1837.43771391082</v>
      </c>
    </row>
    <row r="100" spans="1:8">
      <c r="A100" s="75"/>
      <c r="B100" s="76">
        <v>730</v>
      </c>
      <c r="C100" s="78" t="s">
        <v>68</v>
      </c>
      <c r="D100" s="78" t="s">
        <v>31</v>
      </c>
      <c r="E100" s="79" t="s">
        <v>16</v>
      </c>
      <c r="F100" s="80">
        <v>9.29</v>
      </c>
      <c r="G100" s="73">
        <f>G99</f>
        <v>197.786621518926</v>
      </c>
      <c r="H100" s="82">
        <f>H99</f>
        <v>1837.43771391082</v>
      </c>
    </row>
    <row r="101" spans="1:8">
      <c r="A101" s="75"/>
      <c r="B101" s="76">
        <v>731</v>
      </c>
      <c r="C101" s="78" t="s">
        <v>69</v>
      </c>
      <c r="D101" s="78" t="s">
        <v>33</v>
      </c>
      <c r="E101" s="79" t="s">
        <v>16</v>
      </c>
      <c r="F101" s="80">
        <v>792.74</v>
      </c>
      <c r="G101" s="73">
        <f>H101/F101</f>
        <v>113.573741682809</v>
      </c>
      <c r="H101" s="82">
        <f>H98-H100</f>
        <v>90034.4479816304</v>
      </c>
    </row>
    <row r="102" ht="28" spans="1:8">
      <c r="A102" s="75"/>
      <c r="B102" s="76">
        <v>1183</v>
      </c>
      <c r="C102" s="77">
        <v>22030323</v>
      </c>
      <c r="D102" s="78" t="s">
        <v>59</v>
      </c>
      <c r="E102" s="79" t="s">
        <v>12</v>
      </c>
      <c r="F102" s="80">
        <v>2284.82</v>
      </c>
      <c r="G102" s="73"/>
      <c r="H102" s="82">
        <v>1983.05</v>
      </c>
    </row>
    <row r="103" ht="28" spans="1:8">
      <c r="A103" s="75"/>
      <c r="B103" s="76">
        <v>1185</v>
      </c>
      <c r="C103" s="77">
        <v>2203032303</v>
      </c>
      <c r="D103" s="78" t="s">
        <v>70</v>
      </c>
      <c r="E103" s="79" t="s">
        <v>12</v>
      </c>
      <c r="F103" s="80">
        <v>27.42</v>
      </c>
      <c r="G103" s="73">
        <v>72.31</v>
      </c>
      <c r="H103" s="82">
        <v>1983.05</v>
      </c>
    </row>
    <row r="104" ht="28" spans="1:8">
      <c r="A104" s="75" t="s">
        <v>370</v>
      </c>
      <c r="B104" s="76">
        <v>524</v>
      </c>
      <c r="C104" s="77">
        <v>22010301</v>
      </c>
      <c r="D104" s="78" t="s">
        <v>371</v>
      </c>
      <c r="E104" s="79" t="s">
        <v>12</v>
      </c>
      <c r="F104" s="80">
        <f>F105</f>
        <v>26.09</v>
      </c>
      <c r="G104" s="73"/>
      <c r="H104" s="81">
        <f>H106+H109+H111+H112+H113</f>
        <v>236992.323266752</v>
      </c>
    </row>
    <row r="105" ht="28" spans="1:8">
      <c r="A105" s="75"/>
      <c r="B105" s="76">
        <v>525</v>
      </c>
      <c r="C105" s="77">
        <v>2201030106</v>
      </c>
      <c r="D105" s="78" t="s">
        <v>63</v>
      </c>
      <c r="E105" s="79" t="s">
        <v>12</v>
      </c>
      <c r="F105" s="80">
        <v>26.09</v>
      </c>
      <c r="G105" s="73">
        <f t="shared" ref="G105:G108" si="8">H105/F105</f>
        <v>9083.64596652941</v>
      </c>
      <c r="H105" s="82">
        <f>H104</f>
        <v>236992.323266752</v>
      </c>
    </row>
    <row r="106" spans="1:8">
      <c r="A106" s="75"/>
      <c r="B106" s="76">
        <v>526</v>
      </c>
      <c r="C106" s="77">
        <v>220103010601</v>
      </c>
      <c r="D106" s="78" t="s">
        <v>13</v>
      </c>
      <c r="E106" s="79" t="s">
        <v>12</v>
      </c>
      <c r="F106" s="80">
        <v>26.09</v>
      </c>
      <c r="G106" s="59">
        <v>2003.77880519645</v>
      </c>
      <c r="H106" s="82">
        <f t="shared" ref="H106:H114" si="9">G106*F106</f>
        <v>52278.5890275753</v>
      </c>
    </row>
    <row r="107" spans="1:8">
      <c r="A107" s="75"/>
      <c r="B107" s="76">
        <v>527</v>
      </c>
      <c r="C107" s="77">
        <v>22010301060101</v>
      </c>
      <c r="D107" s="78" t="s">
        <v>15</v>
      </c>
      <c r="E107" s="79" t="s">
        <v>16</v>
      </c>
      <c r="F107" s="80">
        <v>0.5304</v>
      </c>
      <c r="G107" s="73">
        <f t="shared" si="8"/>
        <v>364.688498118455</v>
      </c>
      <c r="H107" s="82">
        <f>0.0037*H106</f>
        <v>193.430779402029</v>
      </c>
    </row>
    <row r="108" spans="1:8">
      <c r="A108" s="75"/>
      <c r="B108" s="76">
        <v>528</v>
      </c>
      <c r="C108" s="77">
        <v>22010301060102</v>
      </c>
      <c r="D108" s="78" t="s">
        <v>18</v>
      </c>
      <c r="E108" s="79" t="s">
        <v>19</v>
      </c>
      <c r="F108" s="80">
        <v>18.7075</v>
      </c>
      <c r="G108" s="73">
        <f t="shared" si="8"/>
        <v>2784.18592800605</v>
      </c>
      <c r="H108" s="82">
        <f>H106-H107</f>
        <v>52085.1582481733</v>
      </c>
    </row>
    <row r="109" spans="1:8">
      <c r="A109" s="75"/>
      <c r="B109" s="76">
        <v>529</v>
      </c>
      <c r="C109" s="77">
        <v>220103010602</v>
      </c>
      <c r="D109" s="78" t="s">
        <v>20</v>
      </c>
      <c r="E109" s="79" t="s">
        <v>12</v>
      </c>
      <c r="F109" s="80">
        <v>26.09</v>
      </c>
      <c r="G109" s="59">
        <v>1413.83736086286</v>
      </c>
      <c r="H109" s="82">
        <f t="shared" si="9"/>
        <v>36887.0167449119</v>
      </c>
    </row>
    <row r="110" spans="1:8">
      <c r="A110" s="75"/>
      <c r="B110" s="76">
        <v>530</v>
      </c>
      <c r="C110" s="77">
        <v>22010301060202</v>
      </c>
      <c r="D110" s="78" t="s">
        <v>22</v>
      </c>
      <c r="E110" s="79" t="s">
        <v>12</v>
      </c>
      <c r="F110" s="80">
        <v>26.09</v>
      </c>
      <c r="G110" s="73">
        <f>H109/F110</f>
        <v>1413.83736086286</v>
      </c>
      <c r="H110" s="82">
        <f t="shared" si="9"/>
        <v>36887.0167449119</v>
      </c>
    </row>
    <row r="111" spans="1:8">
      <c r="A111" s="75"/>
      <c r="B111" s="76">
        <v>531</v>
      </c>
      <c r="C111" s="77">
        <v>220103010603</v>
      </c>
      <c r="D111" s="78" t="s">
        <v>23</v>
      </c>
      <c r="E111" s="79" t="s">
        <v>12</v>
      </c>
      <c r="F111" s="80">
        <v>26.09</v>
      </c>
      <c r="G111" s="59">
        <v>2107.49578158714</v>
      </c>
      <c r="H111" s="82">
        <f t="shared" si="9"/>
        <v>54984.5649416085</v>
      </c>
    </row>
    <row r="112" spans="1:8">
      <c r="A112" s="75"/>
      <c r="B112" s="76">
        <v>532</v>
      </c>
      <c r="C112" s="77">
        <v>220103010604</v>
      </c>
      <c r="D112" s="78" t="s">
        <v>24</v>
      </c>
      <c r="E112" s="79" t="s">
        <v>12</v>
      </c>
      <c r="F112" s="80">
        <v>26.09</v>
      </c>
      <c r="G112" s="59">
        <v>225.715849300707</v>
      </c>
      <c r="H112" s="82">
        <f t="shared" si="9"/>
        <v>5888.92650825544</v>
      </c>
    </row>
    <row r="113" spans="1:8">
      <c r="A113" s="75"/>
      <c r="B113" s="76">
        <v>533</v>
      </c>
      <c r="C113" s="77">
        <v>220103010605</v>
      </c>
      <c r="D113" s="78" t="s">
        <v>25</v>
      </c>
      <c r="E113" s="79" t="s">
        <v>12</v>
      </c>
      <c r="F113" s="80">
        <v>29.35</v>
      </c>
      <c r="G113" s="59">
        <v>2962.63121105285</v>
      </c>
      <c r="H113" s="82">
        <f t="shared" si="9"/>
        <v>86953.2260444011</v>
      </c>
    </row>
    <row r="114" spans="1:8">
      <c r="A114" s="75"/>
      <c r="B114" s="76">
        <v>534</v>
      </c>
      <c r="C114" s="77">
        <v>22010301060501</v>
      </c>
      <c r="D114" s="78" t="s">
        <v>27</v>
      </c>
      <c r="E114" s="79" t="s">
        <v>16</v>
      </c>
      <c r="F114" s="80">
        <v>721.96</v>
      </c>
      <c r="G114" s="73">
        <f>H113/F114</f>
        <v>120.440503690511</v>
      </c>
      <c r="H114" s="82">
        <f t="shared" si="9"/>
        <v>86953.2260444011</v>
      </c>
    </row>
    <row r="115" spans="1:8">
      <c r="A115" s="75"/>
      <c r="B115" s="76">
        <v>535</v>
      </c>
      <c r="C115" s="78" t="s">
        <v>56</v>
      </c>
      <c r="D115" s="78" t="s">
        <v>29</v>
      </c>
      <c r="E115" s="79" t="s">
        <v>16</v>
      </c>
      <c r="F115" s="80">
        <v>11.88</v>
      </c>
      <c r="G115" s="73">
        <f>H115/F115</f>
        <v>212.259558525895</v>
      </c>
      <c r="H115" s="82">
        <f>0.029*H114</f>
        <v>2521.64355528763</v>
      </c>
    </row>
    <row r="116" spans="1:8">
      <c r="A116" s="75"/>
      <c r="B116" s="76">
        <v>536</v>
      </c>
      <c r="C116" s="78" t="s">
        <v>57</v>
      </c>
      <c r="D116" s="78" t="s">
        <v>31</v>
      </c>
      <c r="E116" s="79" t="s">
        <v>16</v>
      </c>
      <c r="F116" s="80">
        <v>11.88</v>
      </c>
      <c r="G116" s="73">
        <f>G115</f>
        <v>212.259558525895</v>
      </c>
      <c r="H116" s="82">
        <f>G116*F116</f>
        <v>2521.64355528763</v>
      </c>
    </row>
    <row r="117" spans="1:8">
      <c r="A117" s="75"/>
      <c r="B117" s="76">
        <v>537</v>
      </c>
      <c r="C117" s="78" t="s">
        <v>58</v>
      </c>
      <c r="D117" s="78" t="s">
        <v>33</v>
      </c>
      <c r="E117" s="79" t="s">
        <v>16</v>
      </c>
      <c r="F117" s="80">
        <v>710.08</v>
      </c>
      <c r="G117" s="73">
        <f>H117/F117</f>
        <v>118.904324145327</v>
      </c>
      <c r="H117" s="82">
        <f>H114-H116</f>
        <v>84431.5824891135</v>
      </c>
    </row>
    <row r="118" ht="28" spans="1:8">
      <c r="A118" s="75"/>
      <c r="B118" s="76">
        <v>1183</v>
      </c>
      <c r="C118" s="77">
        <v>22030323</v>
      </c>
      <c r="D118" s="78" t="s">
        <v>59</v>
      </c>
      <c r="E118" s="79" t="s">
        <v>12</v>
      </c>
      <c r="F118" s="80">
        <v>2284.82</v>
      </c>
      <c r="G118" s="73"/>
      <c r="H118" s="82">
        <v>2281.71</v>
      </c>
    </row>
    <row r="119" ht="41" spans="1:8">
      <c r="A119" s="75"/>
      <c r="B119" s="76">
        <v>1187</v>
      </c>
      <c r="C119" s="77">
        <v>2203032305</v>
      </c>
      <c r="D119" s="78" t="s">
        <v>372</v>
      </c>
      <c r="E119" s="79" t="s">
        <v>12</v>
      </c>
      <c r="F119" s="80">
        <v>26.09</v>
      </c>
      <c r="G119" s="73">
        <v>87.45</v>
      </c>
      <c r="H119" s="82">
        <v>2281.71</v>
      </c>
    </row>
    <row r="120" ht="28" spans="1:8">
      <c r="A120" s="75" t="s">
        <v>373</v>
      </c>
      <c r="B120" s="76">
        <v>541</v>
      </c>
      <c r="C120" s="77">
        <v>2201030223</v>
      </c>
      <c r="D120" s="78" t="s">
        <v>374</v>
      </c>
      <c r="E120" s="79" t="s">
        <v>12</v>
      </c>
      <c r="F120" s="80">
        <v>595.35</v>
      </c>
      <c r="G120" s="73"/>
      <c r="H120" s="81">
        <f>H121+H123+H125+H126+H127</f>
        <v>1947494.9745216</v>
      </c>
    </row>
    <row r="121" spans="1:8">
      <c r="A121" s="75"/>
      <c r="B121" s="76">
        <v>542</v>
      </c>
      <c r="C121" s="77">
        <v>220103022301</v>
      </c>
      <c r="D121" s="78" t="s">
        <v>13</v>
      </c>
      <c r="E121" s="79" t="s">
        <v>12</v>
      </c>
      <c r="F121" s="80">
        <v>595.35</v>
      </c>
      <c r="G121" s="59">
        <v>1476.14233034921</v>
      </c>
      <c r="H121" s="82">
        <f t="shared" ref="H121:H127" si="10">G121*F121</f>
        <v>878821.336373401</v>
      </c>
    </row>
    <row r="122" spans="1:8">
      <c r="A122" s="75"/>
      <c r="B122" s="76">
        <v>543</v>
      </c>
      <c r="C122" s="77">
        <v>22010302230102</v>
      </c>
      <c r="D122" s="78" t="s">
        <v>18</v>
      </c>
      <c r="E122" s="79" t="s">
        <v>19</v>
      </c>
      <c r="F122" s="80">
        <v>606.3</v>
      </c>
      <c r="G122" s="73">
        <v>1537.64826078042</v>
      </c>
      <c r="H122" s="82">
        <f t="shared" si="10"/>
        <v>932276.140511171</v>
      </c>
    </row>
    <row r="123" spans="1:8">
      <c r="A123" s="75"/>
      <c r="B123" s="76">
        <v>544</v>
      </c>
      <c r="C123" s="77">
        <v>220103022302</v>
      </c>
      <c r="D123" s="78" t="s">
        <v>20</v>
      </c>
      <c r="E123" s="79" t="s">
        <v>12</v>
      </c>
      <c r="F123" s="80">
        <v>595.35</v>
      </c>
      <c r="G123" s="59">
        <v>643.98093793916</v>
      </c>
      <c r="H123" s="82">
        <f t="shared" si="10"/>
        <v>383394.051402079</v>
      </c>
    </row>
    <row r="124" spans="1:8">
      <c r="A124" s="75"/>
      <c r="B124" s="76">
        <v>545</v>
      </c>
      <c r="C124" s="77">
        <v>22010302230202</v>
      </c>
      <c r="D124" s="78" t="s">
        <v>22</v>
      </c>
      <c r="E124" s="79" t="s">
        <v>12</v>
      </c>
      <c r="F124" s="80">
        <v>595.35</v>
      </c>
      <c r="G124" s="73">
        <v>670.813477019958</v>
      </c>
      <c r="H124" s="82">
        <f t="shared" si="10"/>
        <v>399368.803543832</v>
      </c>
    </row>
    <row r="125" spans="1:8">
      <c r="A125" s="75"/>
      <c r="B125" s="76">
        <v>546</v>
      </c>
      <c r="C125" s="77">
        <v>220103022303</v>
      </c>
      <c r="D125" s="78" t="s">
        <v>23</v>
      </c>
      <c r="E125" s="79" t="s">
        <v>12</v>
      </c>
      <c r="F125" s="80">
        <v>595.35</v>
      </c>
      <c r="G125" s="59">
        <v>819.486472527729</v>
      </c>
      <c r="H125" s="82">
        <f t="shared" si="10"/>
        <v>487881.271419383</v>
      </c>
    </row>
    <row r="126" spans="1:8">
      <c r="A126" s="75"/>
      <c r="B126" s="76">
        <v>547</v>
      </c>
      <c r="C126" s="77">
        <v>220103022304</v>
      </c>
      <c r="D126" s="78" t="s">
        <v>24</v>
      </c>
      <c r="E126" s="79" t="s">
        <v>12</v>
      </c>
      <c r="F126" s="80">
        <v>595.35</v>
      </c>
      <c r="G126" s="59">
        <v>256.532173188914</v>
      </c>
      <c r="H126" s="82">
        <f t="shared" si="10"/>
        <v>152726.42930802</v>
      </c>
    </row>
    <row r="127" spans="1:8">
      <c r="A127" s="75"/>
      <c r="B127" s="76">
        <v>548</v>
      </c>
      <c r="C127" s="77">
        <v>220103022305</v>
      </c>
      <c r="D127" s="78" t="s">
        <v>25</v>
      </c>
      <c r="E127" s="79" t="s">
        <v>12</v>
      </c>
      <c r="F127" s="80">
        <v>595.35</v>
      </c>
      <c r="G127" s="59">
        <v>75.0346619949899</v>
      </c>
      <c r="H127" s="82">
        <f t="shared" si="10"/>
        <v>44671.8860187173</v>
      </c>
    </row>
    <row r="128" spans="1:8">
      <c r="A128" s="75"/>
      <c r="B128" s="76">
        <v>549</v>
      </c>
      <c r="C128" s="77">
        <v>22010302230501</v>
      </c>
      <c r="D128" s="78" t="s">
        <v>27</v>
      </c>
      <c r="E128" s="79" t="s">
        <v>16</v>
      </c>
      <c r="F128" s="80">
        <v>390</v>
      </c>
      <c r="G128" s="73">
        <f>H128/F128</f>
        <v>119.315934879053</v>
      </c>
      <c r="H128" s="82">
        <v>46533.2146028305</v>
      </c>
    </row>
    <row r="129" spans="1:8">
      <c r="A129" s="75"/>
      <c r="B129" s="76">
        <v>550</v>
      </c>
      <c r="C129" s="78" t="s">
        <v>375</v>
      </c>
      <c r="D129" s="78" t="s">
        <v>33</v>
      </c>
      <c r="E129" s="79" t="s">
        <v>16</v>
      </c>
      <c r="F129" s="80">
        <v>390</v>
      </c>
      <c r="G129" s="73">
        <f>H129/F129</f>
        <v>119.315934879053</v>
      </c>
      <c r="H129" s="82">
        <v>46533.2146028305</v>
      </c>
    </row>
    <row r="130" ht="28" spans="1:8">
      <c r="A130" s="75"/>
      <c r="B130" s="76">
        <v>1084</v>
      </c>
      <c r="C130" s="77">
        <v>22030119</v>
      </c>
      <c r="D130" s="78" t="s">
        <v>376</v>
      </c>
      <c r="E130" s="79" t="s">
        <v>12</v>
      </c>
      <c r="F130" s="80">
        <v>595.35</v>
      </c>
      <c r="G130" s="73"/>
      <c r="H130" s="82">
        <v>3972.86</v>
      </c>
    </row>
    <row r="131" spans="1:8">
      <c r="A131" s="75"/>
      <c r="B131" s="76">
        <v>1085</v>
      </c>
      <c r="C131" s="77">
        <v>2203011902</v>
      </c>
      <c r="D131" s="78" t="s">
        <v>44</v>
      </c>
      <c r="E131" s="79" t="s">
        <v>12</v>
      </c>
      <c r="F131" s="80">
        <v>595.35</v>
      </c>
      <c r="G131" s="73">
        <v>6.67</v>
      </c>
      <c r="H131" s="82">
        <v>3972.86</v>
      </c>
    </row>
    <row r="132" ht="28" spans="1:8">
      <c r="A132" s="75"/>
      <c r="B132" s="76">
        <v>1164</v>
      </c>
      <c r="C132" s="77">
        <v>22030319</v>
      </c>
      <c r="D132" s="78" t="s">
        <v>377</v>
      </c>
      <c r="E132" s="79" t="s">
        <v>12</v>
      </c>
      <c r="F132" s="80">
        <v>595.35</v>
      </c>
      <c r="G132" s="73"/>
      <c r="H132" s="82">
        <v>28812.09</v>
      </c>
    </row>
    <row r="133" spans="1:8">
      <c r="A133" s="75"/>
      <c r="B133" s="76">
        <v>1165</v>
      </c>
      <c r="C133" s="77">
        <v>2203031902</v>
      </c>
      <c r="D133" s="78" t="s">
        <v>44</v>
      </c>
      <c r="E133" s="79" t="s">
        <v>12</v>
      </c>
      <c r="F133" s="80">
        <v>595.35</v>
      </c>
      <c r="G133" s="73">
        <v>48.4</v>
      </c>
      <c r="H133" s="82">
        <v>28812.09</v>
      </c>
    </row>
    <row r="134" ht="28" spans="1:8">
      <c r="A134" s="75" t="s">
        <v>378</v>
      </c>
      <c r="B134" s="76">
        <v>524</v>
      </c>
      <c r="C134" s="77">
        <v>22010301</v>
      </c>
      <c r="D134" s="78" t="s">
        <v>379</v>
      </c>
      <c r="E134" s="79" t="s">
        <v>12</v>
      </c>
      <c r="F134" s="80">
        <f>F135</f>
        <v>26.09</v>
      </c>
      <c r="G134" s="73"/>
      <c r="H134" s="81">
        <f>H136+H139+H141+H142+H143</f>
        <v>236992.323266752</v>
      </c>
    </row>
    <row r="135" ht="28" spans="1:8">
      <c r="A135" s="75"/>
      <c r="B135" s="76">
        <v>525</v>
      </c>
      <c r="C135" s="77">
        <v>2201030106</v>
      </c>
      <c r="D135" s="78" t="s">
        <v>63</v>
      </c>
      <c r="E135" s="79" t="s">
        <v>12</v>
      </c>
      <c r="F135" s="80">
        <v>26.09</v>
      </c>
      <c r="G135" s="73">
        <f t="shared" ref="G135:G138" si="11">H135/F135</f>
        <v>9083.64596652941</v>
      </c>
      <c r="H135" s="82">
        <f>H134</f>
        <v>236992.323266752</v>
      </c>
    </row>
    <row r="136" spans="1:8">
      <c r="A136" s="75"/>
      <c r="B136" s="76">
        <v>526</v>
      </c>
      <c r="C136" s="77">
        <v>220103010601</v>
      </c>
      <c r="D136" s="78" t="s">
        <v>13</v>
      </c>
      <c r="E136" s="79" t="s">
        <v>12</v>
      </c>
      <c r="F136" s="80">
        <v>26.09</v>
      </c>
      <c r="G136" s="59">
        <v>2003.77880519645</v>
      </c>
      <c r="H136" s="82">
        <f t="shared" ref="H136:H144" si="12">G136*F136</f>
        <v>52278.5890275753</v>
      </c>
    </row>
    <row r="137" spans="1:8">
      <c r="A137" s="75"/>
      <c r="B137" s="76">
        <v>527</v>
      </c>
      <c r="C137" s="77">
        <v>22010301060101</v>
      </c>
      <c r="D137" s="78" t="s">
        <v>15</v>
      </c>
      <c r="E137" s="79" t="s">
        <v>16</v>
      </c>
      <c r="F137" s="80">
        <v>0.5304</v>
      </c>
      <c r="G137" s="73">
        <f t="shared" si="11"/>
        <v>364.688498118455</v>
      </c>
      <c r="H137" s="82">
        <f>0.0037*H136</f>
        <v>193.430779402029</v>
      </c>
    </row>
    <row r="138" spans="1:8">
      <c r="A138" s="75"/>
      <c r="B138" s="76">
        <v>528</v>
      </c>
      <c r="C138" s="77">
        <v>22010301060102</v>
      </c>
      <c r="D138" s="78" t="s">
        <v>18</v>
      </c>
      <c r="E138" s="79" t="s">
        <v>19</v>
      </c>
      <c r="F138" s="80">
        <v>18.7075</v>
      </c>
      <c r="G138" s="73">
        <f t="shared" si="11"/>
        <v>2784.18592800605</v>
      </c>
      <c r="H138" s="82">
        <f>H136-H137</f>
        <v>52085.1582481733</v>
      </c>
    </row>
    <row r="139" spans="1:8">
      <c r="A139" s="75"/>
      <c r="B139" s="76">
        <v>529</v>
      </c>
      <c r="C139" s="77">
        <v>220103010602</v>
      </c>
      <c r="D139" s="78" t="s">
        <v>20</v>
      </c>
      <c r="E139" s="79" t="s">
        <v>12</v>
      </c>
      <c r="F139" s="80">
        <v>26.09</v>
      </c>
      <c r="G139" s="59">
        <v>1413.83736086286</v>
      </c>
      <c r="H139" s="82">
        <f t="shared" si="12"/>
        <v>36887.0167449119</v>
      </c>
    </row>
    <row r="140" spans="1:8">
      <c r="A140" s="75"/>
      <c r="B140" s="76">
        <v>530</v>
      </c>
      <c r="C140" s="77">
        <v>22010301060202</v>
      </c>
      <c r="D140" s="78" t="s">
        <v>22</v>
      </c>
      <c r="E140" s="79" t="s">
        <v>12</v>
      </c>
      <c r="F140" s="80">
        <v>26.09</v>
      </c>
      <c r="G140" s="73">
        <f>H139/F140</f>
        <v>1413.83736086286</v>
      </c>
      <c r="H140" s="82">
        <f t="shared" si="12"/>
        <v>36887.0167449119</v>
      </c>
    </row>
    <row r="141" spans="1:8">
      <c r="A141" s="75"/>
      <c r="B141" s="76">
        <v>531</v>
      </c>
      <c r="C141" s="77">
        <v>220103010603</v>
      </c>
      <c r="D141" s="78" t="s">
        <v>23</v>
      </c>
      <c r="E141" s="79" t="s">
        <v>12</v>
      </c>
      <c r="F141" s="80">
        <v>26.09</v>
      </c>
      <c r="G141" s="59">
        <v>2107.49578158714</v>
      </c>
      <c r="H141" s="82">
        <f t="shared" si="12"/>
        <v>54984.5649416085</v>
      </c>
    </row>
    <row r="142" spans="1:8">
      <c r="A142" s="75"/>
      <c r="B142" s="76">
        <v>532</v>
      </c>
      <c r="C142" s="77">
        <v>220103010604</v>
      </c>
      <c r="D142" s="78" t="s">
        <v>24</v>
      </c>
      <c r="E142" s="79" t="s">
        <v>12</v>
      </c>
      <c r="F142" s="80">
        <v>26.09</v>
      </c>
      <c r="G142" s="59">
        <v>225.715849300707</v>
      </c>
      <c r="H142" s="82">
        <f t="shared" si="12"/>
        <v>5888.92650825544</v>
      </c>
    </row>
    <row r="143" spans="1:8">
      <c r="A143" s="75"/>
      <c r="B143" s="76">
        <v>533</v>
      </c>
      <c r="C143" s="77">
        <v>220103010605</v>
      </c>
      <c r="D143" s="78" t="s">
        <v>25</v>
      </c>
      <c r="E143" s="79" t="s">
        <v>12</v>
      </c>
      <c r="F143" s="80">
        <v>29.35</v>
      </c>
      <c r="G143" s="59">
        <v>2962.63121105285</v>
      </c>
      <c r="H143" s="82">
        <f t="shared" si="12"/>
        <v>86953.2260444011</v>
      </c>
    </row>
    <row r="144" spans="1:8">
      <c r="A144" s="75"/>
      <c r="B144" s="76">
        <v>534</v>
      </c>
      <c r="C144" s="77">
        <v>22010301060501</v>
      </c>
      <c r="D144" s="78" t="s">
        <v>27</v>
      </c>
      <c r="E144" s="79" t="s">
        <v>16</v>
      </c>
      <c r="F144" s="80">
        <v>721.96</v>
      </c>
      <c r="G144" s="73">
        <f>H143/F144</f>
        <v>120.440503690511</v>
      </c>
      <c r="H144" s="82">
        <f t="shared" si="12"/>
        <v>86953.2260444011</v>
      </c>
    </row>
    <row r="145" spans="1:8">
      <c r="A145" s="75"/>
      <c r="B145" s="76">
        <v>535</v>
      </c>
      <c r="C145" s="78" t="s">
        <v>56</v>
      </c>
      <c r="D145" s="78" t="s">
        <v>29</v>
      </c>
      <c r="E145" s="79" t="s">
        <v>16</v>
      </c>
      <c r="F145" s="80">
        <v>11.88</v>
      </c>
      <c r="G145" s="73">
        <f t="shared" ref="G145:G150" si="13">H145/F145</f>
        <v>212.259558525895</v>
      </c>
      <c r="H145" s="82">
        <f>0.029*H144</f>
        <v>2521.64355528763</v>
      </c>
    </row>
    <row r="146" spans="1:8">
      <c r="A146" s="75"/>
      <c r="B146" s="76">
        <v>536</v>
      </c>
      <c r="C146" s="78" t="s">
        <v>57</v>
      </c>
      <c r="D146" s="78" t="s">
        <v>31</v>
      </c>
      <c r="E146" s="79" t="s">
        <v>16</v>
      </c>
      <c r="F146" s="80">
        <v>11.88</v>
      </c>
      <c r="G146" s="73">
        <f>G145</f>
        <v>212.259558525895</v>
      </c>
      <c r="H146" s="82">
        <f>G146*F146</f>
        <v>2521.64355528763</v>
      </c>
    </row>
    <row r="147" spans="1:8">
      <c r="A147" s="75"/>
      <c r="B147" s="76">
        <v>537</v>
      </c>
      <c r="C147" s="78" t="s">
        <v>58</v>
      </c>
      <c r="D147" s="78" t="s">
        <v>33</v>
      </c>
      <c r="E147" s="79" t="s">
        <v>16</v>
      </c>
      <c r="F147" s="80">
        <v>710.08</v>
      </c>
      <c r="G147" s="73">
        <f t="shared" si="13"/>
        <v>118.904324145327</v>
      </c>
      <c r="H147" s="82">
        <f>H144-H146</f>
        <v>84431.5824891135</v>
      </c>
    </row>
    <row r="148" ht="28" spans="1:8">
      <c r="A148" s="75"/>
      <c r="B148" s="76">
        <v>1183</v>
      </c>
      <c r="C148" s="77">
        <v>22030323</v>
      </c>
      <c r="D148" s="78" t="s">
        <v>59</v>
      </c>
      <c r="E148" s="79" t="s">
        <v>12</v>
      </c>
      <c r="F148" s="80">
        <v>2284.82</v>
      </c>
      <c r="G148" s="73"/>
      <c r="H148" s="82">
        <v>2281.71</v>
      </c>
    </row>
    <row r="149" ht="41" spans="1:8">
      <c r="A149" s="75"/>
      <c r="B149" s="76">
        <v>1187</v>
      </c>
      <c r="C149" s="77">
        <v>2203032305</v>
      </c>
      <c r="D149" s="78" t="s">
        <v>380</v>
      </c>
      <c r="E149" s="79" t="s">
        <v>12</v>
      </c>
      <c r="F149" s="80">
        <f>F150</f>
        <v>26.09</v>
      </c>
      <c r="G149" s="73"/>
      <c r="H149" s="81">
        <f>H151+H154+H156+H157+H158</f>
        <v>242998.58037984</v>
      </c>
    </row>
    <row r="150" ht="28" spans="1:8">
      <c r="A150" s="75" t="s">
        <v>381</v>
      </c>
      <c r="B150" s="76">
        <v>524</v>
      </c>
      <c r="C150" s="77">
        <v>22010301</v>
      </c>
      <c r="D150" s="78" t="s">
        <v>382</v>
      </c>
      <c r="E150" s="79" t="s">
        <v>12</v>
      </c>
      <c r="F150" s="80">
        <v>26.09</v>
      </c>
      <c r="G150" s="73">
        <f t="shared" si="13"/>
        <v>9313.85896434801</v>
      </c>
      <c r="H150" s="82">
        <f>H149</f>
        <v>242998.58037984</v>
      </c>
    </row>
    <row r="151" ht="28" spans="1:8">
      <c r="A151" s="75"/>
      <c r="B151" s="76">
        <v>525</v>
      </c>
      <c r="C151" s="77">
        <v>2201030106</v>
      </c>
      <c r="D151" s="78" t="s">
        <v>63</v>
      </c>
      <c r="E151" s="79" t="s">
        <v>12</v>
      </c>
      <c r="F151" s="80">
        <v>26.09</v>
      </c>
      <c r="G151" s="73">
        <v>2087.2695887463</v>
      </c>
      <c r="H151" s="82">
        <f t="shared" ref="H151:H159" si="14">G151*F151</f>
        <v>54456.8635703909</v>
      </c>
    </row>
    <row r="152" spans="1:8">
      <c r="A152" s="75"/>
      <c r="B152" s="76">
        <v>526</v>
      </c>
      <c r="C152" s="77">
        <v>220103010601</v>
      </c>
      <c r="D152" s="78" t="s">
        <v>13</v>
      </c>
      <c r="E152" s="79" t="s">
        <v>12</v>
      </c>
      <c r="F152" s="80">
        <v>0.5304</v>
      </c>
      <c r="G152" s="59">
        <f>(H152/F152)*0.96</f>
        <v>364.688498118455</v>
      </c>
      <c r="H152" s="82">
        <f>0.0037*H151</f>
        <v>201.490395210446</v>
      </c>
    </row>
    <row r="153" spans="1:8">
      <c r="A153" s="75"/>
      <c r="B153" s="76">
        <v>527</v>
      </c>
      <c r="C153" s="77">
        <v>22010301060101</v>
      </c>
      <c r="D153" s="78" t="s">
        <v>15</v>
      </c>
      <c r="E153" s="79" t="s">
        <v>16</v>
      </c>
      <c r="F153" s="80">
        <v>18.7075</v>
      </c>
      <c r="G153" s="73">
        <f>H153/F153</f>
        <v>2900.19367500631</v>
      </c>
      <c r="H153" s="82">
        <f>H151-H152</f>
        <v>54255.3731751805</v>
      </c>
    </row>
    <row r="154" spans="1:8">
      <c r="A154" s="75"/>
      <c r="B154" s="76">
        <v>528</v>
      </c>
      <c r="C154" s="77">
        <v>22010301060102</v>
      </c>
      <c r="D154" s="78" t="s">
        <v>18</v>
      </c>
      <c r="E154" s="79" t="s">
        <v>19</v>
      </c>
      <c r="F154" s="80">
        <v>26.09</v>
      </c>
      <c r="G154" s="73">
        <v>1472.74725089881</v>
      </c>
      <c r="H154" s="82">
        <f t="shared" si="14"/>
        <v>38423.9757759499</v>
      </c>
    </row>
    <row r="155" spans="1:8">
      <c r="A155" s="75"/>
      <c r="B155" s="76">
        <v>529</v>
      </c>
      <c r="C155" s="77">
        <v>220103010602</v>
      </c>
      <c r="D155" s="78" t="s">
        <v>20</v>
      </c>
      <c r="E155" s="79" t="s">
        <v>12</v>
      </c>
      <c r="F155" s="80">
        <v>26.09</v>
      </c>
      <c r="G155" s="59">
        <f>(H154/F155)*0.96</f>
        <v>1413.83736086286</v>
      </c>
      <c r="H155" s="82">
        <f t="shared" si="14"/>
        <v>36887.0167449119</v>
      </c>
    </row>
    <row r="156" spans="1:8">
      <c r="A156" s="75"/>
      <c r="B156" s="76">
        <v>530</v>
      </c>
      <c r="C156" s="77">
        <v>22010301060202</v>
      </c>
      <c r="D156" s="78" t="s">
        <v>22</v>
      </c>
      <c r="E156" s="79" t="s">
        <v>12</v>
      </c>
      <c r="F156" s="80">
        <v>26.09</v>
      </c>
      <c r="G156" s="73">
        <v>2195.30810581994</v>
      </c>
      <c r="H156" s="82">
        <f t="shared" si="14"/>
        <v>57275.5884808422</v>
      </c>
    </row>
    <row r="157" spans="1:8">
      <c r="A157" s="75"/>
      <c r="B157" s="76">
        <v>531</v>
      </c>
      <c r="C157" s="77">
        <v>220103010603</v>
      </c>
      <c r="D157" s="78" t="s">
        <v>23</v>
      </c>
      <c r="E157" s="79" t="s">
        <v>12</v>
      </c>
      <c r="F157" s="80">
        <v>26.09</v>
      </c>
      <c r="G157" s="59">
        <v>225.715849300707</v>
      </c>
      <c r="H157" s="82">
        <f t="shared" si="14"/>
        <v>5888.92650825544</v>
      </c>
    </row>
    <row r="158" spans="1:8">
      <c r="A158" s="75"/>
      <c r="B158" s="76">
        <v>532</v>
      </c>
      <c r="C158" s="77">
        <v>220103010604</v>
      </c>
      <c r="D158" s="78" t="s">
        <v>24</v>
      </c>
      <c r="E158" s="79" t="s">
        <v>12</v>
      </c>
      <c r="F158" s="80">
        <v>29.35</v>
      </c>
      <c r="G158" s="59">
        <v>2962.63121105285</v>
      </c>
      <c r="H158" s="82">
        <f t="shared" si="14"/>
        <v>86953.2260444011</v>
      </c>
    </row>
    <row r="159" spans="1:8">
      <c r="A159" s="75"/>
      <c r="B159" s="76">
        <v>533</v>
      </c>
      <c r="C159" s="77">
        <v>220103010605</v>
      </c>
      <c r="D159" s="78" t="s">
        <v>25</v>
      </c>
      <c r="E159" s="79" t="s">
        <v>12</v>
      </c>
      <c r="F159" s="80">
        <v>721.96</v>
      </c>
      <c r="G159" s="59">
        <f>(H158/F159)*0.96</f>
        <v>115.62288354289</v>
      </c>
      <c r="H159" s="82">
        <f t="shared" si="14"/>
        <v>83475.097002625</v>
      </c>
    </row>
    <row r="160" spans="1:8">
      <c r="A160" s="75"/>
      <c r="B160" s="76">
        <v>534</v>
      </c>
      <c r="C160" s="77">
        <v>22010301060501</v>
      </c>
      <c r="D160" s="78" t="s">
        <v>27</v>
      </c>
      <c r="E160" s="79" t="s">
        <v>16</v>
      </c>
      <c r="F160" s="80">
        <v>11.88</v>
      </c>
      <c r="G160" s="73">
        <f>H160/F160</f>
        <v>203.769176184859</v>
      </c>
      <c r="H160" s="82">
        <f>0.029*H159</f>
        <v>2420.77781307613</v>
      </c>
    </row>
    <row r="161" spans="1:8">
      <c r="A161" s="75"/>
      <c r="B161" s="76">
        <v>535</v>
      </c>
      <c r="C161" s="77" t="s">
        <v>56</v>
      </c>
      <c r="D161" s="78" t="s">
        <v>29</v>
      </c>
      <c r="E161" s="79" t="s">
        <v>16</v>
      </c>
      <c r="F161" s="80">
        <v>11.88</v>
      </c>
      <c r="G161" s="73">
        <f>G160</f>
        <v>203.769176184859</v>
      </c>
      <c r="H161" s="82">
        <f>G161*F161</f>
        <v>2420.77781307613</v>
      </c>
    </row>
    <row r="162" spans="1:8">
      <c r="A162" s="75"/>
      <c r="B162" s="76">
        <v>536</v>
      </c>
      <c r="C162" s="77" t="s">
        <v>57</v>
      </c>
      <c r="D162" s="78" t="s">
        <v>31</v>
      </c>
      <c r="E162" s="79" t="s">
        <v>16</v>
      </c>
      <c r="F162" s="80">
        <v>710.08</v>
      </c>
      <c r="G162" s="73">
        <f>H162/F162</f>
        <v>114.148151179513</v>
      </c>
      <c r="H162" s="82">
        <f>H159-H161</f>
        <v>81054.3191895489</v>
      </c>
    </row>
    <row r="163" spans="1:8">
      <c r="A163" s="75"/>
      <c r="B163" s="76">
        <v>537</v>
      </c>
      <c r="C163" s="77" t="s">
        <v>58</v>
      </c>
      <c r="D163" s="78" t="s">
        <v>33</v>
      </c>
      <c r="E163" s="79" t="s">
        <v>16</v>
      </c>
      <c r="F163" s="80">
        <v>710.08</v>
      </c>
      <c r="G163" s="73">
        <v>106.1</v>
      </c>
      <c r="H163" s="82">
        <v>75336.93</v>
      </c>
    </row>
    <row r="164" ht="28" spans="1:8">
      <c r="A164" s="75"/>
      <c r="B164" s="76">
        <v>1183</v>
      </c>
      <c r="C164" s="77">
        <v>22030323</v>
      </c>
      <c r="D164" s="78" t="s">
        <v>59</v>
      </c>
      <c r="E164" s="79" t="s">
        <v>12</v>
      </c>
      <c r="F164" s="80">
        <v>2284.82</v>
      </c>
      <c r="G164" s="73"/>
      <c r="H164" s="82">
        <v>2281.71</v>
      </c>
    </row>
    <row r="165" ht="41" spans="1:8">
      <c r="A165" s="75"/>
      <c r="B165" s="76">
        <v>1187</v>
      </c>
      <c r="C165" s="77">
        <v>2203032305</v>
      </c>
      <c r="D165" s="78" t="s">
        <v>383</v>
      </c>
      <c r="E165" s="79" t="s">
        <v>12</v>
      </c>
      <c r="F165" s="80">
        <v>26.09</v>
      </c>
      <c r="G165" s="73">
        <v>87.45</v>
      </c>
      <c r="H165" s="82">
        <v>2281.71</v>
      </c>
    </row>
    <row r="166" ht="28" spans="1:8">
      <c r="A166" s="75" t="s">
        <v>384</v>
      </c>
      <c r="B166" s="76">
        <v>551</v>
      </c>
      <c r="C166" s="77">
        <v>2201030224</v>
      </c>
      <c r="D166" s="78" t="s">
        <v>385</v>
      </c>
      <c r="E166" s="79" t="s">
        <v>12</v>
      </c>
      <c r="F166" s="80">
        <v>595.35</v>
      </c>
      <c r="G166" s="73"/>
      <c r="H166" s="81">
        <f>H167+H169+H171+H172+H173</f>
        <v>1947494.9745216</v>
      </c>
    </row>
    <row r="167" spans="1:8">
      <c r="A167" s="75"/>
      <c r="B167" s="76">
        <v>552</v>
      </c>
      <c r="C167" s="77">
        <v>220103022401</v>
      </c>
      <c r="D167" s="78" t="s">
        <v>13</v>
      </c>
      <c r="E167" s="79" t="s">
        <v>12</v>
      </c>
      <c r="F167" s="80">
        <v>595.35</v>
      </c>
      <c r="G167" s="59">
        <v>1475.69618420877</v>
      </c>
      <c r="H167" s="82">
        <f>G167*F167</f>
        <v>878555.72326869</v>
      </c>
    </row>
    <row r="168" spans="1:8">
      <c r="A168" s="75"/>
      <c r="B168" s="76">
        <v>553</v>
      </c>
      <c r="C168" s="77">
        <v>22010302240102</v>
      </c>
      <c r="D168" s="78" t="s">
        <v>18</v>
      </c>
      <c r="E168" s="79" t="s">
        <v>19</v>
      </c>
      <c r="F168" s="80">
        <v>606.3</v>
      </c>
      <c r="G168" s="73">
        <v>1537.18352521747</v>
      </c>
      <c r="H168" s="82">
        <f t="shared" ref="H168:H175" si="15">G168*F168</f>
        <v>931994.37133935</v>
      </c>
    </row>
    <row r="169" spans="1:8">
      <c r="A169" s="75"/>
      <c r="B169" s="76">
        <v>554</v>
      </c>
      <c r="C169" s="77">
        <v>220103022402</v>
      </c>
      <c r="D169" s="78" t="s">
        <v>20</v>
      </c>
      <c r="E169" s="79" t="s">
        <v>12</v>
      </c>
      <c r="F169" s="80">
        <v>595.35</v>
      </c>
      <c r="G169" s="59">
        <v>644.125499404954</v>
      </c>
      <c r="H169" s="82">
        <f t="shared" si="15"/>
        <v>383480.116070739</v>
      </c>
    </row>
    <row r="170" spans="1:8">
      <c r="A170" s="75"/>
      <c r="B170" s="76">
        <v>555</v>
      </c>
      <c r="C170" s="77">
        <v>22010302240202</v>
      </c>
      <c r="D170" s="78" t="s">
        <v>22</v>
      </c>
      <c r="E170" s="79" t="s">
        <v>12</v>
      </c>
      <c r="F170" s="80">
        <v>595.35</v>
      </c>
      <c r="G170" s="73">
        <v>670.96406188016</v>
      </c>
      <c r="H170" s="82">
        <f t="shared" si="15"/>
        <v>399458.454240353</v>
      </c>
    </row>
    <row r="171" spans="1:8">
      <c r="A171" s="75"/>
      <c r="B171" s="76">
        <v>556</v>
      </c>
      <c r="C171" s="77">
        <v>220103022403</v>
      </c>
      <c r="D171" s="78" t="s">
        <v>23</v>
      </c>
      <c r="E171" s="79" t="s">
        <v>12</v>
      </c>
      <c r="F171" s="80">
        <v>595.35</v>
      </c>
      <c r="G171" s="59">
        <v>819.670431646218</v>
      </c>
      <c r="H171" s="82">
        <f t="shared" si="15"/>
        <v>487990.791480576</v>
      </c>
    </row>
    <row r="172" spans="1:8">
      <c r="A172" s="75"/>
      <c r="B172" s="76">
        <v>557</v>
      </c>
      <c r="C172" s="77">
        <v>220103022404</v>
      </c>
      <c r="D172" s="78" t="s">
        <v>24</v>
      </c>
      <c r="E172" s="79" t="s">
        <v>12</v>
      </c>
      <c r="F172" s="80">
        <v>595.35</v>
      </c>
      <c r="G172" s="59">
        <v>256.632954891341</v>
      </c>
      <c r="H172" s="82">
        <f t="shared" si="15"/>
        <v>152786.42969456</v>
      </c>
    </row>
    <row r="173" spans="1:8">
      <c r="A173" s="75"/>
      <c r="B173" s="76">
        <v>558</v>
      </c>
      <c r="C173" s="77">
        <v>220103022405</v>
      </c>
      <c r="D173" s="78" t="s">
        <v>25</v>
      </c>
      <c r="E173" s="79" t="s">
        <v>12</v>
      </c>
      <c r="F173" s="80">
        <v>595.35</v>
      </c>
      <c r="G173" s="59">
        <v>75.0515058487196</v>
      </c>
      <c r="H173" s="82">
        <f t="shared" si="15"/>
        <v>44681.9140070352</v>
      </c>
    </row>
    <row r="174" spans="1:8">
      <c r="A174" s="75"/>
      <c r="B174" s="76">
        <v>559</v>
      </c>
      <c r="C174" s="77">
        <v>22010302240501</v>
      </c>
      <c r="D174" s="78" t="s">
        <v>27</v>
      </c>
      <c r="E174" s="79" t="s">
        <v>16</v>
      </c>
      <c r="F174" s="80">
        <v>390</v>
      </c>
      <c r="G174" s="73">
        <f>H173/F174</f>
        <v>114.569010274449</v>
      </c>
      <c r="H174" s="82">
        <f t="shared" si="15"/>
        <v>44681.9140070352</v>
      </c>
    </row>
    <row r="175" spans="1:8">
      <c r="A175" s="75"/>
      <c r="B175" s="76">
        <v>560</v>
      </c>
      <c r="C175" s="77" t="s">
        <v>386</v>
      </c>
      <c r="D175" s="78" t="s">
        <v>33</v>
      </c>
      <c r="E175" s="79" t="s">
        <v>16</v>
      </c>
      <c r="F175" s="80">
        <v>390</v>
      </c>
      <c r="G175" s="73">
        <f>H174/F175</f>
        <v>114.569010274449</v>
      </c>
      <c r="H175" s="82">
        <f t="shared" si="15"/>
        <v>44681.9140070352</v>
      </c>
    </row>
    <row r="176" ht="28" spans="1:8">
      <c r="A176" s="75"/>
      <c r="B176" s="76">
        <v>1086</v>
      </c>
      <c r="C176" s="77">
        <v>22030120</v>
      </c>
      <c r="D176" s="78" t="s">
        <v>387</v>
      </c>
      <c r="E176" s="79" t="s">
        <v>12</v>
      </c>
      <c r="F176" s="80">
        <v>595.35</v>
      </c>
      <c r="G176" s="73"/>
      <c r="H176" s="82">
        <v>3972.86</v>
      </c>
    </row>
    <row r="177" spans="1:8">
      <c r="A177" s="75"/>
      <c r="B177" s="76">
        <v>1087</v>
      </c>
      <c r="C177" s="77">
        <v>2203012002</v>
      </c>
      <c r="D177" s="78" t="s">
        <v>44</v>
      </c>
      <c r="E177" s="79" t="s">
        <v>12</v>
      </c>
      <c r="F177" s="80">
        <v>595.35</v>
      </c>
      <c r="G177" s="73">
        <v>6.67</v>
      </c>
      <c r="H177" s="82">
        <v>3972.86</v>
      </c>
    </row>
    <row r="178" spans="1:8">
      <c r="A178" s="75"/>
      <c r="B178" s="76">
        <v>1127</v>
      </c>
      <c r="C178" s="77">
        <v>22030220</v>
      </c>
      <c r="D178" s="78" t="s">
        <v>388</v>
      </c>
      <c r="E178" s="79" t="s">
        <v>12</v>
      </c>
      <c r="F178" s="80">
        <v>595.35</v>
      </c>
      <c r="G178" s="73"/>
      <c r="H178" s="82">
        <v>46454.13</v>
      </c>
    </row>
    <row r="179" spans="1:8">
      <c r="A179" s="75"/>
      <c r="B179" s="76">
        <v>1128</v>
      </c>
      <c r="C179" s="77">
        <v>2203022002</v>
      </c>
      <c r="D179" s="78" t="s">
        <v>44</v>
      </c>
      <c r="E179" s="79" t="s">
        <v>12</v>
      </c>
      <c r="F179" s="80">
        <v>595.35</v>
      </c>
      <c r="G179" s="73">
        <v>78.03</v>
      </c>
      <c r="H179" s="82">
        <v>46454.13</v>
      </c>
    </row>
    <row r="180" ht="28" spans="1:8">
      <c r="A180" s="75"/>
      <c r="B180" s="76">
        <v>1166</v>
      </c>
      <c r="C180" s="77">
        <v>22030320</v>
      </c>
      <c r="D180" s="78" t="s">
        <v>389</v>
      </c>
      <c r="E180" s="79" t="s">
        <v>12</v>
      </c>
      <c r="F180" s="80">
        <v>611.83</v>
      </c>
      <c r="G180" s="73"/>
      <c r="H180" s="82">
        <v>28812.09</v>
      </c>
    </row>
    <row r="181" spans="1:8">
      <c r="A181" s="75"/>
      <c r="B181" s="76">
        <v>1167</v>
      </c>
      <c r="C181" s="77">
        <v>2203032002</v>
      </c>
      <c r="D181" s="78" t="s">
        <v>44</v>
      </c>
      <c r="E181" s="79" t="s">
        <v>12</v>
      </c>
      <c r="F181" s="80">
        <v>595.35</v>
      </c>
      <c r="G181" s="73">
        <v>48.4</v>
      </c>
      <c r="H181" s="82">
        <v>28812.09</v>
      </c>
    </row>
    <row r="182" ht="28" spans="1:8">
      <c r="A182" s="75" t="s">
        <v>390</v>
      </c>
      <c r="B182" s="76">
        <v>855</v>
      </c>
      <c r="C182" s="77">
        <v>220103090212</v>
      </c>
      <c r="D182" s="78" t="s">
        <v>391</v>
      </c>
      <c r="E182" s="79" t="s">
        <v>12</v>
      </c>
      <c r="F182" s="80">
        <v>16.48</v>
      </c>
      <c r="G182" s="73"/>
      <c r="H182" s="81">
        <f>H183+H185+H187+H188+H189</f>
        <v>89280.14897664</v>
      </c>
    </row>
    <row r="183" spans="1:8">
      <c r="A183" s="75"/>
      <c r="B183" s="76">
        <v>856</v>
      </c>
      <c r="C183" s="77">
        <v>22010309021201</v>
      </c>
      <c r="D183" s="78" t="s">
        <v>13</v>
      </c>
      <c r="E183" s="79" t="s">
        <v>12</v>
      </c>
      <c r="F183" s="80">
        <v>16.48</v>
      </c>
      <c r="G183" s="59">
        <v>1458.01401635717</v>
      </c>
      <c r="H183" s="82">
        <f>G183*F183</f>
        <v>24028.0709895662</v>
      </c>
    </row>
    <row r="184" spans="1:8">
      <c r="A184" s="75"/>
      <c r="B184" s="76">
        <v>857</v>
      </c>
      <c r="C184" s="78" t="s">
        <v>392</v>
      </c>
      <c r="D184" s="78" t="s">
        <v>18</v>
      </c>
      <c r="E184" s="79" t="s">
        <v>19</v>
      </c>
      <c r="F184" s="80">
        <v>10.42</v>
      </c>
      <c r="G184" s="73">
        <v>1518.76460037205</v>
      </c>
      <c r="H184" s="82">
        <f t="shared" ref="H184:H191" si="16">G184*F184</f>
        <v>15825.5271358768</v>
      </c>
    </row>
    <row r="185" spans="1:8">
      <c r="A185" s="75"/>
      <c r="B185" s="76">
        <v>858</v>
      </c>
      <c r="C185" s="77">
        <v>22010309021202</v>
      </c>
      <c r="D185" s="78" t="s">
        <v>20</v>
      </c>
      <c r="E185" s="79" t="s">
        <v>12</v>
      </c>
      <c r="F185" s="80">
        <v>16.48</v>
      </c>
      <c r="G185" s="59">
        <v>1375.65167572966</v>
      </c>
      <c r="H185" s="82">
        <f t="shared" si="16"/>
        <v>22670.7396160248</v>
      </c>
    </row>
    <row r="186" spans="1:8">
      <c r="A186" s="75"/>
      <c r="B186" s="76">
        <v>859</v>
      </c>
      <c r="C186" s="78" t="s">
        <v>393</v>
      </c>
      <c r="D186" s="78" t="s">
        <v>22</v>
      </c>
      <c r="E186" s="79" t="s">
        <v>12</v>
      </c>
      <c r="F186" s="80">
        <v>16.48</v>
      </c>
      <c r="G186" s="73">
        <v>1432.97049555173</v>
      </c>
      <c r="H186" s="82">
        <f t="shared" si="16"/>
        <v>23615.3537666925</v>
      </c>
    </row>
    <row r="187" spans="1:8">
      <c r="A187" s="75"/>
      <c r="B187" s="76">
        <v>860</v>
      </c>
      <c r="C187" s="77">
        <v>22010309021203</v>
      </c>
      <c r="D187" s="78" t="s">
        <v>23</v>
      </c>
      <c r="E187" s="79" t="s">
        <v>12</v>
      </c>
      <c r="F187" s="80">
        <v>16.48</v>
      </c>
      <c r="G187" s="59">
        <v>2001.08272196782</v>
      </c>
      <c r="H187" s="82">
        <f t="shared" si="16"/>
        <v>32977.8432580297</v>
      </c>
    </row>
    <row r="188" spans="1:8">
      <c r="A188" s="75"/>
      <c r="B188" s="76">
        <v>861</v>
      </c>
      <c r="C188" s="77">
        <v>22010309021204</v>
      </c>
      <c r="D188" s="78" t="s">
        <v>24</v>
      </c>
      <c r="E188" s="79" t="s">
        <v>12</v>
      </c>
      <c r="F188" s="80">
        <v>16.48</v>
      </c>
      <c r="G188" s="59">
        <v>401.223127685661</v>
      </c>
      <c r="H188" s="82">
        <f t="shared" si="16"/>
        <v>6612.1571442597</v>
      </c>
    </row>
    <row r="189" spans="1:8">
      <c r="A189" s="75"/>
      <c r="B189" s="76">
        <v>862</v>
      </c>
      <c r="C189" s="77">
        <v>22010309021205</v>
      </c>
      <c r="D189" s="78" t="s">
        <v>25</v>
      </c>
      <c r="E189" s="79" t="s">
        <v>12</v>
      </c>
      <c r="F189" s="80">
        <v>16.48</v>
      </c>
      <c r="G189" s="59">
        <v>181.513226259684</v>
      </c>
      <c r="H189" s="82">
        <f t="shared" si="16"/>
        <v>2991.33796875959</v>
      </c>
    </row>
    <row r="190" spans="1:8">
      <c r="A190" s="75"/>
      <c r="B190" s="76">
        <v>863</v>
      </c>
      <c r="C190" s="78" t="s">
        <v>394</v>
      </c>
      <c r="D190" s="78" t="s">
        <v>27</v>
      </c>
      <c r="E190" s="79" t="s">
        <v>16</v>
      </c>
      <c r="F190" s="80">
        <v>23.19</v>
      </c>
      <c r="G190" s="73">
        <f>H189/F190</f>
        <v>128.992581662768</v>
      </c>
      <c r="H190" s="82">
        <f t="shared" si="16"/>
        <v>2991.33796875959</v>
      </c>
    </row>
    <row r="191" spans="1:8">
      <c r="A191" s="75"/>
      <c r="B191" s="76">
        <v>864</v>
      </c>
      <c r="C191" s="77" t="s">
        <v>395</v>
      </c>
      <c r="D191" s="78" t="s">
        <v>33</v>
      </c>
      <c r="E191" s="79" t="s">
        <v>16</v>
      </c>
      <c r="F191" s="80">
        <v>23.19</v>
      </c>
      <c r="G191" s="73">
        <f>H190/F191</f>
        <v>128.992581662768</v>
      </c>
      <c r="H191" s="82">
        <f t="shared" si="16"/>
        <v>2991.33796875959</v>
      </c>
    </row>
    <row r="192" ht="28" spans="1:8">
      <c r="A192" s="75"/>
      <c r="B192" s="76">
        <v>1166</v>
      </c>
      <c r="C192" s="77">
        <v>22030320</v>
      </c>
      <c r="D192" s="78" t="s">
        <v>389</v>
      </c>
      <c r="E192" s="79" t="s">
        <v>12</v>
      </c>
      <c r="F192" s="80">
        <v>611.83</v>
      </c>
      <c r="G192" s="73"/>
      <c r="H192" s="82">
        <v>903.5</v>
      </c>
    </row>
    <row r="193" ht="28" spans="1:8">
      <c r="A193" s="75"/>
      <c r="B193" s="76">
        <v>1168</v>
      </c>
      <c r="C193" s="77">
        <v>2203032003</v>
      </c>
      <c r="D193" s="78" t="s">
        <v>396</v>
      </c>
      <c r="E193" s="79" t="s">
        <v>12</v>
      </c>
      <c r="F193" s="80">
        <v>16.48</v>
      </c>
      <c r="G193" s="73">
        <v>54.83</v>
      </c>
      <c r="H193" s="82">
        <v>903.5</v>
      </c>
    </row>
    <row r="194" spans="1:8">
      <c r="A194" s="75" t="s">
        <v>397</v>
      </c>
      <c r="B194" s="76">
        <v>1049</v>
      </c>
      <c r="C194" s="77">
        <v>22010428</v>
      </c>
      <c r="D194" s="78" t="s">
        <v>398</v>
      </c>
      <c r="E194" s="79" t="s">
        <v>12</v>
      </c>
      <c r="F194" s="80">
        <v>14.29</v>
      </c>
      <c r="G194" s="73"/>
      <c r="H194" s="82">
        <v>5796.42</v>
      </c>
    </row>
    <row r="195" spans="1:8">
      <c r="A195" s="75"/>
      <c r="B195" s="76">
        <v>1050</v>
      </c>
      <c r="C195" s="77">
        <v>2201042802</v>
      </c>
      <c r="D195" s="78" t="s">
        <v>53</v>
      </c>
      <c r="E195" s="79" t="s">
        <v>12</v>
      </c>
      <c r="F195" s="80">
        <v>14.29</v>
      </c>
      <c r="G195" s="73">
        <v>405.63</v>
      </c>
      <c r="H195" s="82">
        <v>5796.42</v>
      </c>
    </row>
    <row r="196" ht="28" spans="1:8">
      <c r="A196" s="75" t="s">
        <v>399</v>
      </c>
      <c r="B196" s="76">
        <v>524</v>
      </c>
      <c r="C196" s="77">
        <v>22010301</v>
      </c>
      <c r="D196" s="78" t="s">
        <v>400</v>
      </c>
      <c r="E196" s="79" t="s">
        <v>12</v>
      </c>
      <c r="F196" s="80">
        <f>F197</f>
        <v>26.09</v>
      </c>
      <c r="G196" s="73"/>
      <c r="H196" s="81">
        <f>H198+H201+H203+H204+H205</f>
        <v>236992.323266752</v>
      </c>
    </row>
    <row r="197" ht="28" spans="1:8">
      <c r="A197" s="75"/>
      <c r="B197" s="76">
        <v>525</v>
      </c>
      <c r="C197" s="77">
        <v>2201030106</v>
      </c>
      <c r="D197" s="78" t="s">
        <v>63</v>
      </c>
      <c r="E197" s="79" t="s">
        <v>12</v>
      </c>
      <c r="F197" s="80">
        <v>26.09</v>
      </c>
      <c r="G197" s="73">
        <f t="shared" ref="G197:G200" si="17">H197/F197</f>
        <v>9083.64596652941</v>
      </c>
      <c r="H197" s="82">
        <f>H196</f>
        <v>236992.323266752</v>
      </c>
    </row>
    <row r="198" spans="1:8">
      <c r="A198" s="75"/>
      <c r="B198" s="76">
        <v>526</v>
      </c>
      <c r="C198" s="77">
        <v>220103010601</v>
      </c>
      <c r="D198" s="78" t="s">
        <v>13</v>
      </c>
      <c r="E198" s="79" t="s">
        <v>12</v>
      </c>
      <c r="F198" s="80">
        <v>26.09</v>
      </c>
      <c r="G198" s="59">
        <v>2003.77880519645</v>
      </c>
      <c r="H198" s="82">
        <f t="shared" ref="H198:H206" si="18">G198*F198</f>
        <v>52278.5890275753</v>
      </c>
    </row>
    <row r="199" spans="1:8">
      <c r="A199" s="75"/>
      <c r="B199" s="76">
        <v>527</v>
      </c>
      <c r="C199" s="77">
        <v>22010301060101</v>
      </c>
      <c r="D199" s="78" t="s">
        <v>15</v>
      </c>
      <c r="E199" s="79" t="s">
        <v>16</v>
      </c>
      <c r="F199" s="80">
        <v>0.5304</v>
      </c>
      <c r="G199" s="73">
        <f t="shared" si="17"/>
        <v>364.688498118455</v>
      </c>
      <c r="H199" s="82">
        <f>0.0037*H198</f>
        <v>193.430779402029</v>
      </c>
    </row>
    <row r="200" spans="1:8">
      <c r="A200" s="75"/>
      <c r="B200" s="76">
        <v>528</v>
      </c>
      <c r="C200" s="77">
        <v>22010301060102</v>
      </c>
      <c r="D200" s="78" t="s">
        <v>18</v>
      </c>
      <c r="E200" s="79" t="s">
        <v>19</v>
      </c>
      <c r="F200" s="80">
        <v>18.7075</v>
      </c>
      <c r="G200" s="73">
        <f t="shared" si="17"/>
        <v>2784.18592800605</v>
      </c>
      <c r="H200" s="82">
        <f>H198-H199</f>
        <v>52085.1582481733</v>
      </c>
    </row>
    <row r="201" spans="1:8">
      <c r="A201" s="75"/>
      <c r="B201" s="76">
        <v>529</v>
      </c>
      <c r="C201" s="77">
        <v>220103010602</v>
      </c>
      <c r="D201" s="78" t="s">
        <v>20</v>
      </c>
      <c r="E201" s="79" t="s">
        <v>12</v>
      </c>
      <c r="F201" s="80">
        <v>26.09</v>
      </c>
      <c r="G201" s="59">
        <v>1413.83736086286</v>
      </c>
      <c r="H201" s="82">
        <f t="shared" si="18"/>
        <v>36887.0167449119</v>
      </c>
    </row>
    <row r="202" spans="1:8">
      <c r="A202" s="75"/>
      <c r="B202" s="76">
        <v>530</v>
      </c>
      <c r="C202" s="77">
        <v>22010301060202</v>
      </c>
      <c r="D202" s="78" t="s">
        <v>22</v>
      </c>
      <c r="E202" s="79" t="s">
        <v>12</v>
      </c>
      <c r="F202" s="80">
        <v>26.09</v>
      </c>
      <c r="G202" s="73">
        <f>H201/F202</f>
        <v>1413.83736086286</v>
      </c>
      <c r="H202" s="82">
        <f t="shared" si="18"/>
        <v>36887.0167449119</v>
      </c>
    </row>
    <row r="203" spans="1:8">
      <c r="A203" s="75"/>
      <c r="B203" s="76">
        <v>531</v>
      </c>
      <c r="C203" s="77">
        <v>220103010603</v>
      </c>
      <c r="D203" s="78" t="s">
        <v>23</v>
      </c>
      <c r="E203" s="79" t="s">
        <v>12</v>
      </c>
      <c r="F203" s="80">
        <v>26.09</v>
      </c>
      <c r="G203" s="59">
        <v>2107.49578158714</v>
      </c>
      <c r="H203" s="82">
        <f t="shared" si="18"/>
        <v>54984.5649416085</v>
      </c>
    </row>
    <row r="204" spans="1:8">
      <c r="A204" s="75"/>
      <c r="B204" s="76">
        <v>532</v>
      </c>
      <c r="C204" s="77">
        <v>220103010604</v>
      </c>
      <c r="D204" s="78" t="s">
        <v>24</v>
      </c>
      <c r="E204" s="79" t="s">
        <v>12</v>
      </c>
      <c r="F204" s="80">
        <v>26.09</v>
      </c>
      <c r="G204" s="59">
        <v>225.715849300707</v>
      </c>
      <c r="H204" s="82">
        <f t="shared" si="18"/>
        <v>5888.92650825544</v>
      </c>
    </row>
    <row r="205" spans="1:8">
      <c r="A205" s="75"/>
      <c r="B205" s="76">
        <v>533</v>
      </c>
      <c r="C205" s="77">
        <v>220103010605</v>
      </c>
      <c r="D205" s="78" t="s">
        <v>25</v>
      </c>
      <c r="E205" s="79" t="s">
        <v>12</v>
      </c>
      <c r="F205" s="80">
        <v>29.35</v>
      </c>
      <c r="G205" s="59">
        <v>2962.63121105285</v>
      </c>
      <c r="H205" s="82">
        <f t="shared" si="18"/>
        <v>86953.2260444011</v>
      </c>
    </row>
    <row r="206" spans="1:8">
      <c r="A206" s="75"/>
      <c r="B206" s="76">
        <v>534</v>
      </c>
      <c r="C206" s="77">
        <v>22010301060501</v>
      </c>
      <c r="D206" s="78" t="s">
        <v>27</v>
      </c>
      <c r="E206" s="79" t="s">
        <v>16</v>
      </c>
      <c r="F206" s="80">
        <v>721.96</v>
      </c>
      <c r="G206" s="73">
        <f>H205/F206</f>
        <v>120.440503690511</v>
      </c>
      <c r="H206" s="82">
        <f t="shared" si="18"/>
        <v>86953.2260444011</v>
      </c>
    </row>
    <row r="207" spans="1:8">
      <c r="A207" s="75"/>
      <c r="B207" s="76">
        <v>535</v>
      </c>
      <c r="C207" s="78" t="s">
        <v>56</v>
      </c>
      <c r="D207" s="78" t="s">
        <v>29</v>
      </c>
      <c r="E207" s="79" t="s">
        <v>16</v>
      </c>
      <c r="F207" s="80">
        <v>11.88</v>
      </c>
      <c r="G207" s="73">
        <f>H207/F207</f>
        <v>212.259558525895</v>
      </c>
      <c r="H207" s="82">
        <f>0.029*H206</f>
        <v>2521.64355528763</v>
      </c>
    </row>
    <row r="208" spans="1:8">
      <c r="A208" s="75"/>
      <c r="B208" s="76">
        <v>536</v>
      </c>
      <c r="C208" s="78" t="s">
        <v>57</v>
      </c>
      <c r="D208" s="78" t="s">
        <v>31</v>
      </c>
      <c r="E208" s="79" t="s">
        <v>16</v>
      </c>
      <c r="F208" s="80">
        <v>11.88</v>
      </c>
      <c r="G208" s="73">
        <f>G207</f>
        <v>212.259558525895</v>
      </c>
      <c r="H208" s="82">
        <f>G208*F208</f>
        <v>2521.64355528763</v>
      </c>
    </row>
    <row r="209" spans="1:8">
      <c r="A209" s="75"/>
      <c r="B209" s="76">
        <v>537</v>
      </c>
      <c r="C209" s="78" t="s">
        <v>58</v>
      </c>
      <c r="D209" s="78" t="s">
        <v>33</v>
      </c>
      <c r="E209" s="79" t="s">
        <v>16</v>
      </c>
      <c r="F209" s="80">
        <v>710.08</v>
      </c>
      <c r="G209" s="73">
        <f>H209/F209</f>
        <v>118.904324145327</v>
      </c>
      <c r="H209" s="82">
        <f>H206-H208</f>
        <v>84431.5824891135</v>
      </c>
    </row>
    <row r="210" ht="28" spans="1:8">
      <c r="A210" s="75"/>
      <c r="B210" s="76">
        <v>1183</v>
      </c>
      <c r="C210" s="77">
        <v>22030323</v>
      </c>
      <c r="D210" s="78" t="s">
        <v>59</v>
      </c>
      <c r="E210" s="79" t="s">
        <v>12</v>
      </c>
      <c r="F210" s="80">
        <v>2284.82</v>
      </c>
      <c r="G210" s="73"/>
      <c r="H210" s="82">
        <v>2281.71</v>
      </c>
    </row>
    <row r="211" ht="41" spans="1:8">
      <c r="A211" s="75"/>
      <c r="B211" s="76">
        <v>1187</v>
      </c>
      <c r="C211" s="77">
        <v>2203032305</v>
      </c>
      <c r="D211" s="78" t="s">
        <v>401</v>
      </c>
      <c r="E211" s="79" t="s">
        <v>12</v>
      </c>
      <c r="F211" s="80">
        <v>26.09</v>
      </c>
      <c r="G211" s="73">
        <v>87.45</v>
      </c>
      <c r="H211" s="82">
        <v>2281.71</v>
      </c>
    </row>
    <row r="212" ht="41" spans="1:8">
      <c r="A212" s="75" t="s">
        <v>402</v>
      </c>
      <c r="B212" s="76">
        <v>524</v>
      </c>
      <c r="C212" s="77">
        <v>22010301</v>
      </c>
      <c r="D212" s="78" t="s">
        <v>403</v>
      </c>
      <c r="E212" s="79" t="s">
        <v>12</v>
      </c>
      <c r="F212" s="80">
        <f>F213</f>
        <v>26.09</v>
      </c>
      <c r="G212" s="73"/>
      <c r="H212" s="81">
        <f>H214+H217+H219+H220+H221</f>
        <v>236992.323266752</v>
      </c>
    </row>
    <row r="213" ht="28" spans="1:8">
      <c r="A213" s="75"/>
      <c r="B213" s="76">
        <v>525</v>
      </c>
      <c r="C213" s="77">
        <v>2201030106</v>
      </c>
      <c r="D213" s="78" t="s">
        <v>63</v>
      </c>
      <c r="E213" s="79" t="s">
        <v>12</v>
      </c>
      <c r="F213" s="80">
        <v>26.09</v>
      </c>
      <c r="G213" s="73">
        <f t="shared" ref="G213:G216" si="19">H213/F213</f>
        <v>9083.64596652941</v>
      </c>
      <c r="H213" s="82">
        <f>H212</f>
        <v>236992.323266752</v>
      </c>
    </row>
    <row r="214" spans="1:8">
      <c r="A214" s="75"/>
      <c r="B214" s="76">
        <v>526</v>
      </c>
      <c r="C214" s="77">
        <v>220103010601</v>
      </c>
      <c r="D214" s="78" t="s">
        <v>13</v>
      </c>
      <c r="E214" s="79" t="s">
        <v>12</v>
      </c>
      <c r="F214" s="80">
        <v>26.09</v>
      </c>
      <c r="G214" s="59">
        <v>2003.77880519645</v>
      </c>
      <c r="H214" s="82">
        <f t="shared" ref="H214:H222" si="20">G214*F214</f>
        <v>52278.5890275753</v>
      </c>
    </row>
    <row r="215" spans="1:8">
      <c r="A215" s="75"/>
      <c r="B215" s="76">
        <v>527</v>
      </c>
      <c r="C215" s="77">
        <v>22010301060101</v>
      </c>
      <c r="D215" s="78" t="s">
        <v>15</v>
      </c>
      <c r="E215" s="79" t="s">
        <v>16</v>
      </c>
      <c r="F215" s="80">
        <v>0.5304</v>
      </c>
      <c r="G215" s="73">
        <f t="shared" si="19"/>
        <v>364.688498118455</v>
      </c>
      <c r="H215" s="82">
        <f>0.0037*H214</f>
        <v>193.430779402029</v>
      </c>
    </row>
    <row r="216" spans="1:8">
      <c r="A216" s="75"/>
      <c r="B216" s="76">
        <v>528</v>
      </c>
      <c r="C216" s="77">
        <v>22010301060102</v>
      </c>
      <c r="D216" s="78" t="s">
        <v>18</v>
      </c>
      <c r="E216" s="79" t="s">
        <v>19</v>
      </c>
      <c r="F216" s="80">
        <v>18.7075</v>
      </c>
      <c r="G216" s="73">
        <f t="shared" si="19"/>
        <v>2784.18592800605</v>
      </c>
      <c r="H216" s="82">
        <f>H214-H215</f>
        <v>52085.1582481733</v>
      </c>
    </row>
    <row r="217" spans="1:8">
      <c r="A217" s="75"/>
      <c r="B217" s="76">
        <v>529</v>
      </c>
      <c r="C217" s="77">
        <v>220103010602</v>
      </c>
      <c r="D217" s="78" t="s">
        <v>20</v>
      </c>
      <c r="E217" s="79" t="s">
        <v>12</v>
      </c>
      <c r="F217" s="80">
        <v>26.09</v>
      </c>
      <c r="G217" s="59">
        <v>1413.83736086286</v>
      </c>
      <c r="H217" s="82">
        <f t="shared" si="20"/>
        <v>36887.0167449119</v>
      </c>
    </row>
    <row r="218" spans="1:8">
      <c r="A218" s="75"/>
      <c r="B218" s="76">
        <v>530</v>
      </c>
      <c r="C218" s="77">
        <v>22010301060202</v>
      </c>
      <c r="D218" s="78" t="s">
        <v>22</v>
      </c>
      <c r="E218" s="79" t="s">
        <v>12</v>
      </c>
      <c r="F218" s="80">
        <v>26.09</v>
      </c>
      <c r="G218" s="73">
        <f>H217/F218</f>
        <v>1413.83736086286</v>
      </c>
      <c r="H218" s="82">
        <f t="shared" si="20"/>
        <v>36887.0167449119</v>
      </c>
    </row>
    <row r="219" spans="1:8">
      <c r="A219" s="75"/>
      <c r="B219" s="76">
        <v>531</v>
      </c>
      <c r="C219" s="77">
        <v>220103010603</v>
      </c>
      <c r="D219" s="78" t="s">
        <v>23</v>
      </c>
      <c r="E219" s="79" t="s">
        <v>12</v>
      </c>
      <c r="F219" s="80">
        <v>26.09</v>
      </c>
      <c r="G219" s="59">
        <v>2107.49578158714</v>
      </c>
      <c r="H219" s="82">
        <f t="shared" si="20"/>
        <v>54984.5649416085</v>
      </c>
    </row>
    <row r="220" spans="1:8">
      <c r="A220" s="75"/>
      <c r="B220" s="76">
        <v>532</v>
      </c>
      <c r="C220" s="77">
        <v>220103010604</v>
      </c>
      <c r="D220" s="78" t="s">
        <v>24</v>
      </c>
      <c r="E220" s="79" t="s">
        <v>12</v>
      </c>
      <c r="F220" s="80">
        <v>26.09</v>
      </c>
      <c r="G220" s="59">
        <v>225.715849300707</v>
      </c>
      <c r="H220" s="82">
        <f t="shared" si="20"/>
        <v>5888.92650825544</v>
      </c>
    </row>
    <row r="221" spans="1:8">
      <c r="A221" s="75"/>
      <c r="B221" s="76">
        <v>533</v>
      </c>
      <c r="C221" s="77">
        <v>220103010605</v>
      </c>
      <c r="D221" s="78" t="s">
        <v>25</v>
      </c>
      <c r="E221" s="79" t="s">
        <v>12</v>
      </c>
      <c r="F221" s="80">
        <v>29.35</v>
      </c>
      <c r="G221" s="59">
        <v>2962.63121105285</v>
      </c>
      <c r="H221" s="82">
        <f t="shared" si="20"/>
        <v>86953.2260444011</v>
      </c>
    </row>
    <row r="222" spans="1:8">
      <c r="A222" s="75"/>
      <c r="B222" s="76">
        <v>534</v>
      </c>
      <c r="C222" s="77">
        <v>22010301060501</v>
      </c>
      <c r="D222" s="78" t="s">
        <v>27</v>
      </c>
      <c r="E222" s="79" t="s">
        <v>16</v>
      </c>
      <c r="F222" s="80">
        <v>721.96</v>
      </c>
      <c r="G222" s="73">
        <f>H221/F222</f>
        <v>120.440503690511</v>
      </c>
      <c r="H222" s="82">
        <f t="shared" si="20"/>
        <v>86953.2260444011</v>
      </c>
    </row>
    <row r="223" spans="1:8">
      <c r="A223" s="75"/>
      <c r="B223" s="76">
        <v>535</v>
      </c>
      <c r="C223" s="77" t="s">
        <v>56</v>
      </c>
      <c r="D223" s="78" t="s">
        <v>29</v>
      </c>
      <c r="E223" s="79" t="s">
        <v>16</v>
      </c>
      <c r="F223" s="80">
        <v>11.88</v>
      </c>
      <c r="G223" s="73">
        <f>H223/F223</f>
        <v>212.259558525895</v>
      </c>
      <c r="H223" s="82">
        <f>0.029*H222</f>
        <v>2521.64355528763</v>
      </c>
    </row>
    <row r="224" spans="1:8">
      <c r="A224" s="75"/>
      <c r="B224" s="76">
        <v>536</v>
      </c>
      <c r="C224" s="77" t="s">
        <v>57</v>
      </c>
      <c r="D224" s="78" t="s">
        <v>31</v>
      </c>
      <c r="E224" s="79" t="s">
        <v>16</v>
      </c>
      <c r="F224" s="80">
        <v>11.88</v>
      </c>
      <c r="G224" s="73">
        <f>G223</f>
        <v>212.259558525895</v>
      </c>
      <c r="H224" s="82">
        <f>G224*F224</f>
        <v>2521.64355528763</v>
      </c>
    </row>
    <row r="225" spans="1:8">
      <c r="A225" s="75"/>
      <c r="B225" s="76">
        <v>537</v>
      </c>
      <c r="C225" s="77" t="s">
        <v>58</v>
      </c>
      <c r="D225" s="78" t="s">
        <v>33</v>
      </c>
      <c r="E225" s="79" t="s">
        <v>16</v>
      </c>
      <c r="F225" s="80">
        <v>710.08</v>
      </c>
      <c r="G225" s="73">
        <f>H225/F225</f>
        <v>118.904324145327</v>
      </c>
      <c r="H225" s="82">
        <f>H222-H224</f>
        <v>84431.5824891135</v>
      </c>
    </row>
    <row r="226" ht="28" spans="1:8">
      <c r="A226" s="75"/>
      <c r="B226" s="76">
        <v>1183</v>
      </c>
      <c r="C226" s="77">
        <v>22030323</v>
      </c>
      <c r="D226" s="78" t="s">
        <v>59</v>
      </c>
      <c r="E226" s="79" t="s">
        <v>12</v>
      </c>
      <c r="F226" s="80">
        <v>2284.82</v>
      </c>
      <c r="G226" s="73"/>
      <c r="H226" s="82">
        <v>2281.71</v>
      </c>
    </row>
    <row r="227" ht="41" spans="1:8">
      <c r="A227" s="75"/>
      <c r="B227" s="76">
        <v>1187</v>
      </c>
      <c r="C227" s="77">
        <v>2203032305</v>
      </c>
      <c r="D227" s="78" t="s">
        <v>404</v>
      </c>
      <c r="E227" s="79" t="s">
        <v>12</v>
      </c>
      <c r="F227" s="80">
        <v>26.09</v>
      </c>
      <c r="G227" s="73">
        <v>87.45</v>
      </c>
      <c r="H227" s="82">
        <v>2281.71</v>
      </c>
    </row>
    <row r="228" spans="1:8">
      <c r="A228" s="83"/>
      <c r="B228" s="84"/>
      <c r="C228" s="85"/>
      <c r="D228" s="86"/>
      <c r="E228" s="87"/>
      <c r="F228" s="88"/>
      <c r="H228" s="50"/>
    </row>
    <row r="229" spans="1:8">
      <c r="A229" s="89" t="s">
        <v>172</v>
      </c>
      <c r="B229" s="90"/>
      <c r="C229" s="90"/>
      <c r="D229" s="90"/>
      <c r="E229" s="90"/>
      <c r="F229" s="90"/>
      <c r="G229" s="91"/>
      <c r="H229" s="92"/>
    </row>
    <row r="230" spans="1:8">
      <c r="A230" s="93" t="s">
        <v>1</v>
      </c>
      <c r="B230" s="93" t="s">
        <v>173</v>
      </c>
      <c r="C230" s="93" t="s">
        <v>174</v>
      </c>
      <c r="D230" s="93" t="s">
        <v>175</v>
      </c>
      <c r="E230" s="93" t="s">
        <v>176</v>
      </c>
      <c r="F230" s="94" t="s">
        <v>177</v>
      </c>
      <c r="G230" s="95" t="s">
        <v>7</v>
      </c>
      <c r="H230" s="96"/>
    </row>
    <row r="231" ht="17" spans="1:8">
      <c r="A231" s="93"/>
      <c r="B231" s="93"/>
      <c r="C231" s="93"/>
      <c r="D231" s="93"/>
      <c r="E231" s="93"/>
      <c r="F231" s="94"/>
      <c r="G231" s="97" t="s">
        <v>178</v>
      </c>
      <c r="H231" s="98" t="s">
        <v>179</v>
      </c>
    </row>
    <row r="232" spans="1:8">
      <c r="A232" s="75"/>
      <c r="B232" s="76"/>
      <c r="C232" s="77"/>
      <c r="D232" s="78"/>
      <c r="E232" s="79"/>
      <c r="F232" s="80"/>
      <c r="G232" s="73"/>
      <c r="H232" s="99">
        <v>526315.5252</v>
      </c>
    </row>
    <row r="233" spans="1:8">
      <c r="A233" s="75" t="s">
        <v>405</v>
      </c>
      <c r="B233" s="76">
        <v>1230</v>
      </c>
      <c r="C233" s="77">
        <v>23</v>
      </c>
      <c r="D233" s="78" t="s">
        <v>181</v>
      </c>
      <c r="E233" s="100" t="s">
        <v>182</v>
      </c>
      <c r="F233" s="101"/>
      <c r="G233" s="73"/>
      <c r="H233" s="82">
        <v>223484.508</v>
      </c>
    </row>
    <row r="234" spans="1:8">
      <c r="A234" s="75"/>
      <c r="B234" s="76">
        <v>1231</v>
      </c>
      <c r="C234" s="77">
        <v>2301</v>
      </c>
      <c r="D234" s="78" t="s">
        <v>183</v>
      </c>
      <c r="E234" s="79" t="s">
        <v>184</v>
      </c>
      <c r="F234" s="102"/>
      <c r="G234" s="73"/>
      <c r="H234" s="82">
        <v>35026.4736</v>
      </c>
    </row>
    <row r="235" spans="1:8">
      <c r="A235" s="75"/>
      <c r="B235" s="76">
        <v>1232</v>
      </c>
      <c r="C235" s="103"/>
      <c r="D235" s="78" t="s">
        <v>185</v>
      </c>
      <c r="E235" s="79" t="s">
        <v>184</v>
      </c>
      <c r="F235" s="102"/>
      <c r="G235" s="73"/>
      <c r="H235" s="82">
        <v>34442.5284</v>
      </c>
    </row>
    <row r="236" spans="1:8">
      <c r="A236" s="75"/>
      <c r="B236" s="76">
        <v>1236</v>
      </c>
      <c r="C236" s="77">
        <v>230102</v>
      </c>
      <c r="D236" s="78" t="s">
        <v>186</v>
      </c>
      <c r="E236" s="79" t="s">
        <v>187</v>
      </c>
      <c r="F236" s="104"/>
      <c r="G236" s="73"/>
      <c r="H236" s="82">
        <v>34442.5284</v>
      </c>
    </row>
    <row r="237" spans="1:8">
      <c r="A237" s="75"/>
      <c r="B237" s="76">
        <v>1239</v>
      </c>
      <c r="C237" s="77">
        <v>23010204</v>
      </c>
      <c r="D237" s="78" t="s">
        <v>188</v>
      </c>
      <c r="E237" s="79" t="s">
        <v>187</v>
      </c>
      <c r="F237" s="104">
        <v>60</v>
      </c>
      <c r="G237" s="73">
        <f>H237/F237</f>
        <v>574.04214</v>
      </c>
      <c r="H237" s="82">
        <v>34442.5284</v>
      </c>
    </row>
    <row r="238" spans="1:8">
      <c r="A238" s="75"/>
      <c r="B238" s="76">
        <v>1243</v>
      </c>
      <c r="C238" s="103"/>
      <c r="D238" s="78" t="s">
        <v>189</v>
      </c>
      <c r="E238" s="79" t="s">
        <v>184</v>
      </c>
      <c r="F238" s="102"/>
      <c r="G238" s="73"/>
      <c r="H238" s="82">
        <v>583.9452</v>
      </c>
    </row>
    <row r="239" spans="1:8">
      <c r="A239" s="75"/>
      <c r="B239" s="76">
        <v>1244</v>
      </c>
      <c r="C239" s="77">
        <v>230104</v>
      </c>
      <c r="D239" s="78" t="s">
        <v>190</v>
      </c>
      <c r="E239" s="79" t="s">
        <v>184</v>
      </c>
      <c r="F239" s="105">
        <v>0.0075291755552767</v>
      </c>
      <c r="G239" s="73"/>
      <c r="H239" s="82">
        <v>583.9452</v>
      </c>
    </row>
    <row r="240" spans="1:8">
      <c r="A240" s="75"/>
      <c r="B240" s="76">
        <v>1245</v>
      </c>
      <c r="C240" s="77">
        <v>2302</v>
      </c>
      <c r="D240" s="78" t="s">
        <v>191</v>
      </c>
      <c r="E240" s="79" t="s">
        <v>184</v>
      </c>
      <c r="F240" s="102"/>
      <c r="G240" s="73"/>
      <c r="H240" s="82">
        <v>188458.0344</v>
      </c>
    </row>
    <row r="241" spans="1:8">
      <c r="A241" s="75"/>
      <c r="B241" s="76">
        <v>1246</v>
      </c>
      <c r="C241" s="103"/>
      <c r="D241" s="78" t="s">
        <v>185</v>
      </c>
      <c r="E241" s="79" t="s">
        <v>184</v>
      </c>
      <c r="F241" s="102"/>
      <c r="G241" s="73"/>
      <c r="H241" s="82">
        <v>188050.248</v>
      </c>
    </row>
    <row r="242" spans="1:8">
      <c r="A242" s="75"/>
      <c r="B242" s="76">
        <v>1247</v>
      </c>
      <c r="C242" s="77">
        <v>230201</v>
      </c>
      <c r="D242" s="78" t="s">
        <v>192</v>
      </c>
      <c r="E242" s="79" t="s">
        <v>187</v>
      </c>
      <c r="F242" s="104"/>
      <c r="G242" s="73"/>
      <c r="H242" s="82">
        <v>107783.2008</v>
      </c>
    </row>
    <row r="243" ht="28" spans="1:8">
      <c r="A243" s="75"/>
      <c r="B243" s="76">
        <v>1249</v>
      </c>
      <c r="C243" s="77">
        <v>23020104</v>
      </c>
      <c r="D243" s="78" t="s">
        <v>193</v>
      </c>
      <c r="E243" s="79" t="s">
        <v>187</v>
      </c>
      <c r="F243" s="104">
        <v>110</v>
      </c>
      <c r="G243" s="73">
        <f>H243/F243</f>
        <v>979.84728</v>
      </c>
      <c r="H243" s="82">
        <v>107783.2008</v>
      </c>
    </row>
    <row r="244" spans="1:8">
      <c r="A244" s="75"/>
      <c r="B244" s="76">
        <v>1251</v>
      </c>
      <c r="C244" s="77">
        <v>230203</v>
      </c>
      <c r="D244" s="78" t="s">
        <v>194</v>
      </c>
      <c r="E244" s="79" t="s">
        <v>195</v>
      </c>
      <c r="F244" s="104"/>
      <c r="G244" s="73"/>
      <c r="H244" s="82">
        <v>80267.0472</v>
      </c>
    </row>
    <row r="245" spans="1:8">
      <c r="A245" s="75"/>
      <c r="B245" s="76">
        <v>1252</v>
      </c>
      <c r="C245" s="77">
        <v>23020301</v>
      </c>
      <c r="D245" s="78" t="s">
        <v>196</v>
      </c>
      <c r="E245" s="79" t="s">
        <v>195</v>
      </c>
      <c r="F245" s="104"/>
      <c r="G245" s="73"/>
      <c r="H245" s="82">
        <v>80267.0472</v>
      </c>
    </row>
    <row r="246" spans="1:8">
      <c r="A246" s="75"/>
      <c r="B246" s="76">
        <v>1254</v>
      </c>
      <c r="C246" s="77">
        <v>2302030102</v>
      </c>
      <c r="D246" s="78" t="s">
        <v>197</v>
      </c>
      <c r="E246" s="79" t="s">
        <v>195</v>
      </c>
      <c r="F246" s="104">
        <v>1</v>
      </c>
      <c r="G246" s="73">
        <f>H246/F246</f>
        <v>80267.0472</v>
      </c>
      <c r="H246" s="82">
        <v>80267.0472</v>
      </c>
    </row>
    <row r="247" spans="1:8">
      <c r="A247" s="75"/>
      <c r="B247" s="76">
        <v>1260</v>
      </c>
      <c r="C247" s="103"/>
      <c r="D247" s="78" t="s">
        <v>189</v>
      </c>
      <c r="E247" s="79" t="s">
        <v>184</v>
      </c>
      <c r="F247" s="102"/>
      <c r="G247" s="73"/>
      <c r="H247" s="82">
        <v>407.7864</v>
      </c>
    </row>
    <row r="248" spans="1:8">
      <c r="A248" s="75"/>
      <c r="B248" s="76">
        <v>1261</v>
      </c>
      <c r="C248" s="77">
        <v>230204</v>
      </c>
      <c r="D248" s="78" t="s">
        <v>190</v>
      </c>
      <c r="E248" s="79"/>
      <c r="F248" s="102">
        <v>0.0337569499602859</v>
      </c>
      <c r="G248" s="73"/>
      <c r="H248" s="82">
        <v>407.7864</v>
      </c>
    </row>
    <row r="249" spans="1:8">
      <c r="A249" s="75" t="s">
        <v>406</v>
      </c>
      <c r="B249" s="76">
        <v>1230</v>
      </c>
      <c r="C249" s="77">
        <v>23</v>
      </c>
      <c r="D249" s="78" t="s">
        <v>181</v>
      </c>
      <c r="E249" s="100" t="s">
        <v>182</v>
      </c>
      <c r="F249" s="101"/>
      <c r="G249" s="73"/>
      <c r="H249" s="82">
        <v>223484.508</v>
      </c>
    </row>
    <row r="250" spans="1:8">
      <c r="A250" s="75"/>
      <c r="B250" s="76">
        <v>1231</v>
      </c>
      <c r="C250" s="77">
        <v>2301</v>
      </c>
      <c r="D250" s="78" t="s">
        <v>183</v>
      </c>
      <c r="E250" s="79" t="s">
        <v>184</v>
      </c>
      <c r="F250" s="102"/>
      <c r="G250" s="73"/>
      <c r="H250" s="82">
        <v>35026.4736</v>
      </c>
    </row>
    <row r="251" spans="1:8">
      <c r="A251" s="75"/>
      <c r="B251" s="76">
        <v>1232</v>
      </c>
      <c r="C251" s="103"/>
      <c r="D251" s="78" t="s">
        <v>185</v>
      </c>
      <c r="E251" s="79" t="s">
        <v>184</v>
      </c>
      <c r="F251" s="102"/>
      <c r="G251" s="73"/>
      <c r="H251" s="82">
        <v>34442.5284</v>
      </c>
    </row>
    <row r="252" spans="1:8">
      <c r="A252" s="75"/>
      <c r="B252" s="76">
        <v>1236</v>
      </c>
      <c r="C252" s="77">
        <v>230102</v>
      </c>
      <c r="D252" s="78" t="s">
        <v>186</v>
      </c>
      <c r="E252" s="79" t="s">
        <v>187</v>
      </c>
      <c r="F252" s="104"/>
      <c r="G252" s="73"/>
      <c r="H252" s="82">
        <v>34442.5284</v>
      </c>
    </row>
    <row r="253" spans="1:8">
      <c r="A253" s="75"/>
      <c r="B253" s="76">
        <v>1239</v>
      </c>
      <c r="C253" s="77">
        <v>23010204</v>
      </c>
      <c r="D253" s="78" t="s">
        <v>188</v>
      </c>
      <c r="E253" s="79" t="s">
        <v>187</v>
      </c>
      <c r="F253" s="104">
        <v>60</v>
      </c>
      <c r="G253" s="73">
        <f>H253/F253</f>
        <v>574.04214</v>
      </c>
      <c r="H253" s="82">
        <v>34442.5284</v>
      </c>
    </row>
    <row r="254" spans="1:8">
      <c r="A254" s="75"/>
      <c r="B254" s="76">
        <v>1243</v>
      </c>
      <c r="C254" s="103"/>
      <c r="D254" s="78" t="s">
        <v>189</v>
      </c>
      <c r="E254" s="79" t="s">
        <v>184</v>
      </c>
      <c r="F254" s="102"/>
      <c r="G254" s="73"/>
      <c r="H254" s="82">
        <v>583.9452</v>
      </c>
    </row>
    <row r="255" spans="1:8">
      <c r="A255" s="75"/>
      <c r="B255" s="76">
        <v>1244</v>
      </c>
      <c r="C255" s="77">
        <v>230104</v>
      </c>
      <c r="D255" s="78" t="s">
        <v>190</v>
      </c>
      <c r="E255" s="79" t="s">
        <v>184</v>
      </c>
      <c r="F255" s="105">
        <v>0.0075291755552767</v>
      </c>
      <c r="G255" s="73"/>
      <c r="H255" s="82">
        <v>583.9452</v>
      </c>
    </row>
    <row r="256" spans="1:8">
      <c r="A256" s="75"/>
      <c r="B256" s="76">
        <v>1245</v>
      </c>
      <c r="C256" s="77">
        <v>2302</v>
      </c>
      <c r="D256" s="78" t="s">
        <v>191</v>
      </c>
      <c r="E256" s="79" t="s">
        <v>184</v>
      </c>
      <c r="F256" s="102"/>
      <c r="G256" s="73"/>
      <c r="H256" s="82">
        <v>188458.0344</v>
      </c>
    </row>
    <row r="257" spans="1:8">
      <c r="A257" s="75"/>
      <c r="B257" s="76">
        <v>1246</v>
      </c>
      <c r="C257" s="103"/>
      <c r="D257" s="78" t="s">
        <v>185</v>
      </c>
      <c r="E257" s="79" t="s">
        <v>184</v>
      </c>
      <c r="F257" s="102"/>
      <c r="G257" s="73"/>
      <c r="H257" s="82">
        <v>188050.248</v>
      </c>
    </row>
    <row r="258" spans="1:8">
      <c r="A258" s="75"/>
      <c r="B258" s="76">
        <v>1247</v>
      </c>
      <c r="C258" s="77">
        <v>230201</v>
      </c>
      <c r="D258" s="78" t="s">
        <v>192</v>
      </c>
      <c r="E258" s="79" t="s">
        <v>187</v>
      </c>
      <c r="F258" s="104"/>
      <c r="G258" s="73"/>
      <c r="H258" s="82">
        <v>107783.2008</v>
      </c>
    </row>
    <row r="259" ht="28" spans="1:8">
      <c r="A259" s="75"/>
      <c r="B259" s="76">
        <v>1249</v>
      </c>
      <c r="C259" s="77">
        <v>23020104</v>
      </c>
      <c r="D259" s="78" t="s">
        <v>193</v>
      </c>
      <c r="E259" s="79" t="s">
        <v>187</v>
      </c>
      <c r="F259" s="104">
        <v>110</v>
      </c>
      <c r="G259" s="73">
        <f>H259/F259</f>
        <v>979.84728</v>
      </c>
      <c r="H259" s="82">
        <v>107783.2008</v>
      </c>
    </row>
    <row r="260" spans="1:8">
      <c r="A260" s="75"/>
      <c r="B260" s="76">
        <v>1251</v>
      </c>
      <c r="C260" s="77">
        <v>230203</v>
      </c>
      <c r="D260" s="78" t="s">
        <v>194</v>
      </c>
      <c r="E260" s="79" t="s">
        <v>195</v>
      </c>
      <c r="F260" s="104"/>
      <c r="G260" s="73"/>
      <c r="H260" s="82">
        <v>80267.0472</v>
      </c>
    </row>
    <row r="261" spans="1:8">
      <c r="A261" s="75"/>
      <c r="B261" s="76">
        <v>1252</v>
      </c>
      <c r="C261" s="77">
        <v>23020301</v>
      </c>
      <c r="D261" s="78" t="s">
        <v>196</v>
      </c>
      <c r="E261" s="79" t="s">
        <v>195</v>
      </c>
      <c r="F261" s="104"/>
      <c r="G261" s="73"/>
      <c r="H261" s="82">
        <v>80267.0472</v>
      </c>
    </row>
    <row r="262" spans="1:8">
      <c r="A262" s="75"/>
      <c r="B262" s="76">
        <v>1254</v>
      </c>
      <c r="C262" s="77">
        <v>2302030102</v>
      </c>
      <c r="D262" s="78" t="s">
        <v>197</v>
      </c>
      <c r="E262" s="79" t="s">
        <v>195</v>
      </c>
      <c r="F262" s="104">
        <v>1</v>
      </c>
      <c r="G262" s="73">
        <f t="shared" ref="G262:G268" si="21">H262/F262</f>
        <v>80267.0472</v>
      </c>
      <c r="H262" s="82">
        <v>80267.0472</v>
      </c>
    </row>
    <row r="263" spans="1:8">
      <c r="A263" s="75"/>
      <c r="B263" s="76">
        <v>1260</v>
      </c>
      <c r="C263" s="103"/>
      <c r="D263" s="78" t="s">
        <v>189</v>
      </c>
      <c r="E263" s="79" t="s">
        <v>184</v>
      </c>
      <c r="F263" s="102"/>
      <c r="G263" s="73"/>
      <c r="H263" s="82">
        <v>407.7864</v>
      </c>
    </row>
    <row r="264" spans="1:8">
      <c r="A264" s="75"/>
      <c r="B264" s="76">
        <v>1261</v>
      </c>
      <c r="C264" s="77">
        <v>230204</v>
      </c>
      <c r="D264" s="78" t="s">
        <v>190</v>
      </c>
      <c r="E264" s="79"/>
      <c r="F264" s="102">
        <v>0.0337569499602859</v>
      </c>
      <c r="G264" s="73"/>
      <c r="H264" s="82">
        <v>407.7864</v>
      </c>
    </row>
    <row r="265" ht="28" spans="1:8">
      <c r="A265" s="75" t="s">
        <v>407</v>
      </c>
      <c r="B265" s="76">
        <v>1289</v>
      </c>
      <c r="C265" s="77">
        <v>2508</v>
      </c>
      <c r="D265" s="78" t="s">
        <v>212</v>
      </c>
      <c r="E265" s="79" t="s">
        <v>202</v>
      </c>
      <c r="F265" s="104"/>
      <c r="G265" s="73"/>
      <c r="H265" s="82">
        <v>15869.304</v>
      </c>
    </row>
    <row r="266" ht="28" spans="1:8">
      <c r="A266" s="75"/>
      <c r="B266" s="76">
        <v>1290</v>
      </c>
      <c r="C266" s="77">
        <v>250801</v>
      </c>
      <c r="D266" s="78" t="s">
        <v>213</v>
      </c>
      <c r="E266" s="79" t="s">
        <v>202</v>
      </c>
      <c r="F266" s="104">
        <v>1</v>
      </c>
      <c r="G266" s="73">
        <f t="shared" si="21"/>
        <v>15869.304</v>
      </c>
      <c r="H266" s="82">
        <v>15869.304</v>
      </c>
    </row>
    <row r="267" spans="1:8">
      <c r="A267" s="75"/>
      <c r="B267" s="76">
        <v>1291</v>
      </c>
      <c r="C267" s="103"/>
      <c r="D267" s="78" t="s">
        <v>185</v>
      </c>
      <c r="E267" s="79" t="s">
        <v>202</v>
      </c>
      <c r="F267" s="104">
        <v>1</v>
      </c>
      <c r="G267" s="73">
        <f t="shared" si="21"/>
        <v>15869.304</v>
      </c>
      <c r="H267" s="82">
        <v>15869.304</v>
      </c>
    </row>
    <row r="268" spans="1:8">
      <c r="A268" s="75"/>
      <c r="B268" s="76">
        <v>1292</v>
      </c>
      <c r="C268" s="77">
        <v>25080101</v>
      </c>
      <c r="D268" s="78" t="s">
        <v>214</v>
      </c>
      <c r="E268" s="79" t="s">
        <v>202</v>
      </c>
      <c r="F268" s="104">
        <v>1</v>
      </c>
      <c r="G268" s="73">
        <f t="shared" si="21"/>
        <v>15869.304</v>
      </c>
      <c r="H268" s="82">
        <v>15869.304</v>
      </c>
    </row>
    <row r="269" ht="28" spans="1:8">
      <c r="A269" s="75" t="s">
        <v>408</v>
      </c>
      <c r="B269" s="76">
        <v>1289</v>
      </c>
      <c r="C269" s="77">
        <v>2508</v>
      </c>
      <c r="D269" s="78" t="s">
        <v>212</v>
      </c>
      <c r="E269" s="79" t="s">
        <v>202</v>
      </c>
      <c r="F269" s="104"/>
      <c r="G269" s="73"/>
      <c r="H269" s="82">
        <v>15869.304</v>
      </c>
    </row>
    <row r="270" ht="28" spans="1:8">
      <c r="A270" s="75"/>
      <c r="B270" s="76">
        <v>1290</v>
      </c>
      <c r="C270" s="77">
        <v>250801</v>
      </c>
      <c r="D270" s="78" t="s">
        <v>213</v>
      </c>
      <c r="E270" s="79" t="s">
        <v>202</v>
      </c>
      <c r="F270" s="104">
        <v>1</v>
      </c>
      <c r="G270" s="73">
        <f t="shared" ref="G270:G272" si="22">H270/F270</f>
        <v>15869.304</v>
      </c>
      <c r="H270" s="82">
        <v>15869.304</v>
      </c>
    </row>
    <row r="271" spans="1:8">
      <c r="A271" s="75"/>
      <c r="B271" s="76">
        <v>1291</v>
      </c>
      <c r="C271" s="103"/>
      <c r="D271" s="78" t="s">
        <v>185</v>
      </c>
      <c r="E271" s="79" t="s">
        <v>202</v>
      </c>
      <c r="F271" s="104">
        <v>1</v>
      </c>
      <c r="G271" s="73">
        <f t="shared" si="22"/>
        <v>15869.304</v>
      </c>
      <c r="H271" s="82">
        <v>15869.304</v>
      </c>
    </row>
    <row r="272" spans="1:8">
      <c r="A272" s="75"/>
      <c r="B272" s="76">
        <v>1292</v>
      </c>
      <c r="C272" s="77">
        <v>25080101</v>
      </c>
      <c r="D272" s="78" t="s">
        <v>214</v>
      </c>
      <c r="E272" s="79" t="s">
        <v>202</v>
      </c>
      <c r="F272" s="104">
        <v>1</v>
      </c>
      <c r="G272" s="73">
        <f t="shared" si="22"/>
        <v>15869.304</v>
      </c>
      <c r="H272" s="82">
        <v>15869.304</v>
      </c>
    </row>
    <row r="273" ht="28" spans="1:8">
      <c r="A273" s="75" t="s">
        <v>409</v>
      </c>
      <c r="B273" s="76">
        <v>1289</v>
      </c>
      <c r="C273" s="77">
        <v>2508</v>
      </c>
      <c r="D273" s="78" t="s">
        <v>212</v>
      </c>
      <c r="E273" s="79" t="s">
        <v>202</v>
      </c>
      <c r="F273" s="104"/>
      <c r="G273" s="73"/>
      <c r="H273" s="82">
        <v>15869.304</v>
      </c>
    </row>
    <row r="274" ht="28" spans="1:8">
      <c r="A274" s="75"/>
      <c r="B274" s="76">
        <v>1290</v>
      </c>
      <c r="C274" s="77">
        <v>250801</v>
      </c>
      <c r="D274" s="78" t="s">
        <v>213</v>
      </c>
      <c r="E274" s="79" t="s">
        <v>202</v>
      </c>
      <c r="F274" s="104">
        <v>1</v>
      </c>
      <c r="G274" s="73">
        <f t="shared" ref="G274:G276" si="23">H274/F274</f>
        <v>15869.304</v>
      </c>
      <c r="H274" s="82">
        <v>15869.304</v>
      </c>
    </row>
    <row r="275" spans="1:8">
      <c r="A275" s="75"/>
      <c r="B275" s="76">
        <v>1291</v>
      </c>
      <c r="C275" s="103"/>
      <c r="D275" s="78" t="s">
        <v>185</v>
      </c>
      <c r="E275" s="79" t="s">
        <v>202</v>
      </c>
      <c r="F275" s="104">
        <v>1</v>
      </c>
      <c r="G275" s="73">
        <f t="shared" si="23"/>
        <v>15869.304</v>
      </c>
      <c r="H275" s="82">
        <v>15869.304</v>
      </c>
    </row>
    <row r="276" spans="1:8">
      <c r="A276" s="75"/>
      <c r="B276" s="76">
        <v>1292</v>
      </c>
      <c r="C276" s="77">
        <v>25080101</v>
      </c>
      <c r="D276" s="78" t="s">
        <v>214</v>
      </c>
      <c r="E276" s="79" t="s">
        <v>202</v>
      </c>
      <c r="F276" s="104">
        <v>1</v>
      </c>
      <c r="G276" s="73">
        <f t="shared" si="23"/>
        <v>15869.304</v>
      </c>
      <c r="H276" s="82">
        <v>15869.304</v>
      </c>
    </row>
    <row r="277" ht="28" spans="1:8">
      <c r="A277" s="75" t="s">
        <v>390</v>
      </c>
      <c r="B277" s="76">
        <v>1289</v>
      </c>
      <c r="C277" s="77">
        <v>2508</v>
      </c>
      <c r="D277" s="78" t="s">
        <v>212</v>
      </c>
      <c r="E277" s="79" t="s">
        <v>202</v>
      </c>
      <c r="F277" s="104"/>
      <c r="G277" s="73"/>
      <c r="H277" s="82">
        <v>31738.5972</v>
      </c>
    </row>
    <row r="278" ht="28" spans="1:8">
      <c r="A278" s="75"/>
      <c r="B278" s="76">
        <v>1290</v>
      </c>
      <c r="C278" s="77">
        <v>250801</v>
      </c>
      <c r="D278" s="78" t="s">
        <v>213</v>
      </c>
      <c r="E278" s="79" t="s">
        <v>202</v>
      </c>
      <c r="F278" s="104">
        <v>2</v>
      </c>
      <c r="G278" s="73">
        <f t="shared" ref="G278:G280" si="24">H278/F278</f>
        <v>15869.2986</v>
      </c>
      <c r="H278" s="82">
        <v>31738.5972</v>
      </c>
    </row>
    <row r="279" spans="1:8">
      <c r="A279" s="75"/>
      <c r="B279" s="76">
        <v>1291</v>
      </c>
      <c r="C279" s="103"/>
      <c r="D279" s="78" t="s">
        <v>185</v>
      </c>
      <c r="E279" s="79" t="s">
        <v>202</v>
      </c>
      <c r="F279" s="104">
        <v>2</v>
      </c>
      <c r="G279" s="73">
        <f t="shared" si="24"/>
        <v>15869.2986</v>
      </c>
      <c r="H279" s="82">
        <v>31738.5972</v>
      </c>
    </row>
    <row r="280" spans="1:8">
      <c r="A280" s="75"/>
      <c r="B280" s="76">
        <v>1292</v>
      </c>
      <c r="C280" s="77">
        <v>25080101</v>
      </c>
      <c r="D280" s="78" t="s">
        <v>214</v>
      </c>
      <c r="E280" s="79" t="s">
        <v>202</v>
      </c>
      <c r="F280" s="104">
        <v>2</v>
      </c>
      <c r="G280" s="73">
        <f t="shared" si="24"/>
        <v>15869.2986</v>
      </c>
      <c r="H280" s="82">
        <v>31738.5972</v>
      </c>
    </row>
  </sheetData>
  <mergeCells count="43">
    <mergeCell ref="A1:H1"/>
    <mergeCell ref="G2:H2"/>
    <mergeCell ref="A229:H229"/>
    <mergeCell ref="G230:H230"/>
    <mergeCell ref="A2:A3"/>
    <mergeCell ref="A5:A17"/>
    <mergeCell ref="A18:A19"/>
    <mergeCell ref="A20:A32"/>
    <mergeCell ref="A33:A34"/>
    <mergeCell ref="A35:A36"/>
    <mergeCell ref="A37:A39"/>
    <mergeCell ref="A40:A41"/>
    <mergeCell ref="A42:A57"/>
    <mergeCell ref="A58:A70"/>
    <mergeCell ref="A71:A72"/>
    <mergeCell ref="A73:A88"/>
    <mergeCell ref="A89:A103"/>
    <mergeCell ref="A104:A119"/>
    <mergeCell ref="A120:A133"/>
    <mergeCell ref="A134:A149"/>
    <mergeCell ref="A150:A165"/>
    <mergeCell ref="A166:A181"/>
    <mergeCell ref="A182:A193"/>
    <mergeCell ref="A194:A195"/>
    <mergeCell ref="A196:A211"/>
    <mergeCell ref="A212:A227"/>
    <mergeCell ref="A230:A231"/>
    <mergeCell ref="A233:A248"/>
    <mergeCell ref="A249:A264"/>
    <mergeCell ref="A265:A268"/>
    <mergeCell ref="A269:A272"/>
    <mergeCell ref="A273:A276"/>
    <mergeCell ref="A277:A280"/>
    <mergeCell ref="B2:B3"/>
    <mergeCell ref="B230:B231"/>
    <mergeCell ref="C2:C3"/>
    <mergeCell ref="C230:C231"/>
    <mergeCell ref="D2:D3"/>
    <mergeCell ref="D230:D231"/>
    <mergeCell ref="E2:E3"/>
    <mergeCell ref="E230:E231"/>
    <mergeCell ref="F2:F3"/>
    <mergeCell ref="F230:F231"/>
  </mergeCells>
  <conditionalFormatting sqref="G2:H2">
    <cfRule type="expression" dxfId="1" priority="1">
      <formula>""</formula>
    </cfRule>
  </conditionalFormatting>
  <conditionalFormatting sqref="A233">
    <cfRule type="expression" dxfId="1" priority="16">
      <formula>""</formula>
    </cfRule>
  </conditionalFormatting>
  <conditionalFormatting sqref="A249">
    <cfRule type="expression" dxfId="1" priority="14">
      <formula>""</formula>
    </cfRule>
  </conditionalFormatting>
  <conditionalFormatting sqref="A229 G233:H280">
    <cfRule type="expression" dxfId="1" priority="7">
      <formula>""</formula>
    </cfRule>
  </conditionalFormatting>
  <conditionalFormatting sqref="A230:H231">
    <cfRule type="expression" dxfId="1" priority="6">
      <formula>""</formula>
    </cfRule>
  </conditionalFormatting>
  <conditionalFormatting sqref="A265 A269 A273 A277">
    <cfRule type="expression" dxfId="1" priority="12">
      <formula>""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9"/>
  <sheetViews>
    <sheetView zoomScale="130" zoomScaleNormal="130" workbookViewId="0">
      <selection activeCell="I4" sqref="I4"/>
    </sheetView>
  </sheetViews>
  <sheetFormatPr defaultColWidth="8.88461538461539" defaultRowHeight="16.8" outlineLevelCol="7"/>
  <cols>
    <col min="1" max="1" width="12.375" style="1" customWidth="1"/>
    <col min="2" max="2" width="9" style="2"/>
    <col min="3" max="3" width="15.875" style="2" customWidth="1"/>
    <col min="4" max="4" width="21.375" style="2" customWidth="1"/>
    <col min="5" max="5" width="9" style="2"/>
    <col min="6" max="6" width="9.625" style="2"/>
    <col min="7" max="7" width="11.3365384615385" style="43"/>
    <col min="8" max="8" width="14.4423076923077" style="3"/>
  </cols>
  <sheetData>
    <row r="1" ht="17.6" spans="1:8">
      <c r="A1" s="44" t="s">
        <v>0</v>
      </c>
      <c r="B1" s="5"/>
      <c r="C1" s="5"/>
      <c r="D1" s="5"/>
      <c r="E1" s="5"/>
      <c r="F1" s="5"/>
      <c r="G1" s="45"/>
      <c r="H1" s="6"/>
    </row>
    <row r="2" spans="1:8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46" t="s">
        <v>7</v>
      </c>
      <c r="H2" s="10"/>
    </row>
    <row r="3" spans="1:8">
      <c r="A3" s="7"/>
      <c r="B3" s="8"/>
      <c r="C3" s="8"/>
      <c r="D3" s="8"/>
      <c r="E3" s="8"/>
      <c r="F3" s="9"/>
      <c r="G3" s="47" t="s">
        <v>178</v>
      </c>
      <c r="H3" s="9" t="s">
        <v>9</v>
      </c>
    </row>
    <row r="4" spans="1:8">
      <c r="A4" s="13"/>
      <c r="B4" s="14"/>
      <c r="C4" s="14"/>
      <c r="D4" s="14"/>
      <c r="E4" s="14"/>
      <c r="F4" s="14"/>
      <c r="G4" s="48"/>
      <c r="H4" s="15">
        <f t="array" ref="H4">SUM(IF(G5:G202="",H5:H202,""))</f>
        <v>24575471.7978867</v>
      </c>
    </row>
    <row r="5" ht="28" spans="1:8">
      <c r="A5" s="7" t="s">
        <v>410</v>
      </c>
      <c r="B5" s="7">
        <v>843</v>
      </c>
      <c r="C5" s="16">
        <v>220103090211</v>
      </c>
      <c r="D5" s="17" t="s">
        <v>411</v>
      </c>
      <c r="E5" s="18" t="s">
        <v>12</v>
      </c>
      <c r="F5" s="19">
        <v>16.48</v>
      </c>
      <c r="G5" s="20"/>
      <c r="H5" s="49">
        <f>H6+H8+H10+H11+H12</f>
        <v>93105.1248076799</v>
      </c>
    </row>
    <row r="6" spans="1:8">
      <c r="A6" s="7"/>
      <c r="B6" s="7">
        <v>844</v>
      </c>
      <c r="C6" s="16">
        <v>22010309021101</v>
      </c>
      <c r="D6" s="17" t="s">
        <v>13</v>
      </c>
      <c r="E6" s="18" t="s">
        <v>12</v>
      </c>
      <c r="F6" s="19">
        <v>16.48</v>
      </c>
      <c r="G6" s="50">
        <v>1564.51383312496</v>
      </c>
      <c r="H6" s="20">
        <f t="shared" ref="H6:H14" si="0">F6*G6</f>
        <v>25783.1879698994</v>
      </c>
    </row>
    <row r="7" spans="1:8">
      <c r="A7" s="7"/>
      <c r="B7" s="7">
        <v>845</v>
      </c>
      <c r="C7" s="16" t="s">
        <v>412</v>
      </c>
      <c r="D7" s="17" t="s">
        <v>18</v>
      </c>
      <c r="E7" s="18" t="s">
        <v>19</v>
      </c>
      <c r="F7" s="19">
        <v>10.82</v>
      </c>
      <c r="G7" s="20">
        <f>H6/F7</f>
        <v>2382.91940572083</v>
      </c>
      <c r="H7" s="20">
        <f t="shared" si="0"/>
        <v>25783.1879698994</v>
      </c>
    </row>
    <row r="8" spans="1:8">
      <c r="A8" s="7"/>
      <c r="B8" s="7">
        <v>846</v>
      </c>
      <c r="C8" s="16">
        <v>22010309021102</v>
      </c>
      <c r="D8" s="17" t="s">
        <v>20</v>
      </c>
      <c r="E8" s="18" t="s">
        <v>12</v>
      </c>
      <c r="F8" s="19">
        <v>16.48</v>
      </c>
      <c r="G8" s="50">
        <v>1367.16534114937</v>
      </c>
      <c r="H8" s="20">
        <f t="shared" si="0"/>
        <v>22530.8848221416</v>
      </c>
    </row>
    <row r="9" spans="1:8">
      <c r="A9" s="7"/>
      <c r="B9" s="7">
        <v>847</v>
      </c>
      <c r="C9" s="16" t="s">
        <v>413</v>
      </c>
      <c r="D9" s="17" t="s">
        <v>22</v>
      </c>
      <c r="E9" s="18" t="s">
        <v>12</v>
      </c>
      <c r="F9" s="19">
        <v>16.48</v>
      </c>
      <c r="G9" s="20">
        <v>1424.13056369726</v>
      </c>
      <c r="H9" s="20">
        <f t="shared" si="0"/>
        <v>23469.6716897308</v>
      </c>
    </row>
    <row r="10" spans="1:8">
      <c r="A10" s="7"/>
      <c r="B10" s="7">
        <v>848</v>
      </c>
      <c r="C10" s="16">
        <v>22010309021103</v>
      </c>
      <c r="D10" s="17" t="s">
        <v>23</v>
      </c>
      <c r="E10" s="18" t="s">
        <v>12</v>
      </c>
      <c r="F10" s="19">
        <v>16.48</v>
      </c>
      <c r="G10" s="50">
        <v>2089.63156344418</v>
      </c>
      <c r="H10" s="20">
        <f t="shared" si="0"/>
        <v>34437.12816556</v>
      </c>
    </row>
    <row r="11" spans="1:8">
      <c r="A11" s="7"/>
      <c r="B11" s="7">
        <v>849</v>
      </c>
      <c r="C11" s="16">
        <v>22010309021104</v>
      </c>
      <c r="D11" s="17" t="s">
        <v>24</v>
      </c>
      <c r="E11" s="18" t="s">
        <v>12</v>
      </c>
      <c r="F11" s="19">
        <v>16.48</v>
      </c>
      <c r="G11" s="50">
        <v>367.343472451479</v>
      </c>
      <c r="H11" s="20">
        <f t="shared" si="0"/>
        <v>6053.82042600038</v>
      </c>
    </row>
    <row r="12" spans="1:8">
      <c r="A12" s="7"/>
      <c r="B12" s="7">
        <v>850</v>
      </c>
      <c r="C12" s="16">
        <v>22010309021105</v>
      </c>
      <c r="D12" s="17" t="s">
        <v>25</v>
      </c>
      <c r="E12" s="18" t="s">
        <v>12</v>
      </c>
      <c r="F12" s="19">
        <v>16.48</v>
      </c>
      <c r="G12" s="50">
        <v>260.928605830008</v>
      </c>
      <c r="H12" s="20">
        <f t="shared" si="0"/>
        <v>4300.10342407853</v>
      </c>
    </row>
    <row r="13" spans="1:8">
      <c r="A13" s="7"/>
      <c r="B13" s="7">
        <v>851</v>
      </c>
      <c r="C13" s="16" t="s">
        <v>414</v>
      </c>
      <c r="D13" s="17" t="s">
        <v>27</v>
      </c>
      <c r="E13" s="18" t="s">
        <v>16</v>
      </c>
      <c r="F13" s="19">
        <f>H12/G13</f>
        <v>40.5325989638847</v>
      </c>
      <c r="G13" s="20">
        <v>106.09</v>
      </c>
      <c r="H13" s="20">
        <f t="shared" si="0"/>
        <v>4300.10342407853</v>
      </c>
    </row>
    <row r="14" ht="28" spans="1:8">
      <c r="A14" s="7"/>
      <c r="B14" s="7">
        <v>852</v>
      </c>
      <c r="C14" s="16" t="s">
        <v>415</v>
      </c>
      <c r="D14" s="17" t="s">
        <v>33</v>
      </c>
      <c r="E14" s="18" t="s">
        <v>16</v>
      </c>
      <c r="F14" s="19">
        <f>H13/G14</f>
        <v>40.5287787377807</v>
      </c>
      <c r="G14" s="20">
        <v>106.1</v>
      </c>
      <c r="H14" s="20">
        <f t="shared" si="0"/>
        <v>4300.10342407853</v>
      </c>
    </row>
    <row r="15" spans="1:8">
      <c r="A15" s="7" t="s">
        <v>34</v>
      </c>
      <c r="B15" s="7">
        <v>1222</v>
      </c>
      <c r="C15" s="16">
        <v>220403</v>
      </c>
      <c r="D15" s="17" t="s">
        <v>35</v>
      </c>
      <c r="E15" s="18" t="s">
        <v>12</v>
      </c>
      <c r="F15" s="19"/>
      <c r="G15" s="20"/>
      <c r="H15" s="20">
        <v>19509.23</v>
      </c>
    </row>
    <row r="16" spans="1:8">
      <c r="A16" s="7"/>
      <c r="B16" s="7">
        <v>1223</v>
      </c>
      <c r="C16" s="16">
        <v>22040305</v>
      </c>
      <c r="D16" s="17" t="s">
        <v>36</v>
      </c>
      <c r="E16" s="18" t="s">
        <v>12</v>
      </c>
      <c r="F16" s="19">
        <v>162</v>
      </c>
      <c r="G16" s="20">
        <v>120.43</v>
      </c>
      <c r="H16" s="20">
        <v>19509.23</v>
      </c>
    </row>
    <row r="17" ht="28" spans="1:8">
      <c r="A17" s="7" t="s">
        <v>416</v>
      </c>
      <c r="B17" s="7">
        <v>811</v>
      </c>
      <c r="C17" s="16" t="s">
        <v>417</v>
      </c>
      <c r="D17" s="17" t="s">
        <v>418</v>
      </c>
      <c r="E17" s="18" t="s">
        <v>12</v>
      </c>
      <c r="F17" s="19">
        <v>1367.7</v>
      </c>
      <c r="G17" s="20"/>
      <c r="H17" s="20">
        <f>H18+H20+H22+H23+H24</f>
        <v>2927465.4763872</v>
      </c>
    </row>
    <row r="18" spans="1:8">
      <c r="A18" s="7"/>
      <c r="B18" s="7">
        <v>812</v>
      </c>
      <c r="C18" s="16" t="s">
        <v>419</v>
      </c>
      <c r="D18" s="17" t="s">
        <v>13</v>
      </c>
      <c r="E18" s="18" t="s">
        <v>12</v>
      </c>
      <c r="F18" s="19">
        <v>1367.7</v>
      </c>
      <c r="G18" s="50">
        <v>792.231123655958</v>
      </c>
      <c r="H18" s="20">
        <f t="shared" ref="H18:H24" si="1">F18*G18</f>
        <v>1083534.50782425</v>
      </c>
    </row>
    <row r="19" spans="1:8">
      <c r="A19" s="7"/>
      <c r="B19" s="7">
        <v>813</v>
      </c>
      <c r="C19" s="16" t="s">
        <v>420</v>
      </c>
      <c r="D19" s="17" t="s">
        <v>18</v>
      </c>
      <c r="E19" s="18" t="s">
        <v>19</v>
      </c>
      <c r="F19" s="19">
        <v>357.4</v>
      </c>
      <c r="G19" s="20">
        <f>H18/F19</f>
        <v>3031.71378798057</v>
      </c>
      <c r="H19" s="20">
        <f t="shared" si="1"/>
        <v>1083534.50782425</v>
      </c>
    </row>
    <row r="20" spans="1:8">
      <c r="A20" s="7"/>
      <c r="B20" s="7">
        <v>814</v>
      </c>
      <c r="C20" s="16" t="s">
        <v>421</v>
      </c>
      <c r="D20" s="17" t="s">
        <v>20</v>
      </c>
      <c r="E20" s="18" t="s">
        <v>12</v>
      </c>
      <c r="F20" s="19">
        <v>1367.7</v>
      </c>
      <c r="G20" s="50">
        <v>605.288611486654</v>
      </c>
      <c r="H20" s="20">
        <f t="shared" si="1"/>
        <v>827853.233930297</v>
      </c>
    </row>
    <row r="21" spans="1:8">
      <c r="A21" s="7"/>
      <c r="B21" s="7">
        <v>815</v>
      </c>
      <c r="C21" s="16" t="s">
        <v>422</v>
      </c>
      <c r="D21" s="17" t="s">
        <v>22</v>
      </c>
      <c r="E21" s="18" t="s">
        <v>12</v>
      </c>
      <c r="F21" s="19">
        <v>1367.7</v>
      </c>
      <c r="G21" s="20">
        <v>630.508970298598</v>
      </c>
      <c r="H21" s="20">
        <f t="shared" si="1"/>
        <v>862347.118677392</v>
      </c>
    </row>
    <row r="22" spans="1:8">
      <c r="A22" s="7"/>
      <c r="B22" s="7">
        <v>816</v>
      </c>
      <c r="C22" s="16" t="s">
        <v>423</v>
      </c>
      <c r="D22" s="17" t="s">
        <v>23</v>
      </c>
      <c r="E22" s="18" t="s">
        <v>12</v>
      </c>
      <c r="F22" s="19">
        <v>1367.7</v>
      </c>
      <c r="G22" s="50">
        <v>205.611013728911</v>
      </c>
      <c r="H22" s="20">
        <f t="shared" si="1"/>
        <v>281214.183477032</v>
      </c>
    </row>
    <row r="23" spans="1:8">
      <c r="A23" s="7"/>
      <c r="B23" s="7">
        <v>817</v>
      </c>
      <c r="C23" s="16" t="s">
        <v>424</v>
      </c>
      <c r="D23" s="17" t="s">
        <v>24</v>
      </c>
      <c r="E23" s="18" t="s">
        <v>12</v>
      </c>
      <c r="F23" s="19">
        <v>1367.7</v>
      </c>
      <c r="G23" s="50">
        <v>432.433307678134</v>
      </c>
      <c r="H23" s="20">
        <f t="shared" si="1"/>
        <v>591439.034911384</v>
      </c>
    </row>
    <row r="24" spans="1:8">
      <c r="A24" s="7"/>
      <c r="B24" s="7">
        <v>818</v>
      </c>
      <c r="C24" s="16" t="s">
        <v>425</v>
      </c>
      <c r="D24" s="17" t="s">
        <v>25</v>
      </c>
      <c r="E24" s="18" t="s">
        <v>12</v>
      </c>
      <c r="F24" s="19">
        <v>1367.7</v>
      </c>
      <c r="G24" s="50">
        <v>104.865479450343</v>
      </c>
      <c r="H24" s="20">
        <f t="shared" si="1"/>
        <v>143424.516244235</v>
      </c>
    </row>
    <row r="25" spans="1:8">
      <c r="A25" s="7"/>
      <c r="B25" s="7">
        <v>819</v>
      </c>
      <c r="C25" s="16" t="s">
        <v>426</v>
      </c>
      <c r="D25" s="17" t="s">
        <v>27</v>
      </c>
      <c r="E25" s="18" t="s">
        <v>16</v>
      </c>
      <c r="F25" s="19">
        <f>H24/G25</f>
        <v>1351.78620399844</v>
      </c>
      <c r="G25" s="20">
        <v>106.1</v>
      </c>
      <c r="H25" s="20">
        <f t="shared" ref="H25:H36" si="2">G25*F25</f>
        <v>143424.516244235</v>
      </c>
    </row>
    <row r="26" ht="28" spans="1:8">
      <c r="A26" s="7"/>
      <c r="B26" s="7">
        <v>820</v>
      </c>
      <c r="C26" s="16" t="s">
        <v>427</v>
      </c>
      <c r="D26" s="17" t="s">
        <v>33</v>
      </c>
      <c r="E26" s="18" t="s">
        <v>16</v>
      </c>
      <c r="F26" s="19">
        <f>H25/G26</f>
        <v>1351.78620399844</v>
      </c>
      <c r="G26" s="20">
        <v>106.1</v>
      </c>
      <c r="H26" s="20">
        <f t="shared" si="2"/>
        <v>143424.516244235</v>
      </c>
    </row>
    <row r="27" ht="28" spans="1:8">
      <c r="A27" s="7" t="s">
        <v>428</v>
      </c>
      <c r="B27" s="7">
        <v>831</v>
      </c>
      <c r="C27" s="16" t="s">
        <v>429</v>
      </c>
      <c r="D27" s="17" t="s">
        <v>430</v>
      </c>
      <c r="E27" s="18" t="s">
        <v>12</v>
      </c>
      <c r="F27" s="19">
        <v>1863.8</v>
      </c>
      <c r="G27" s="20"/>
      <c r="H27" s="20">
        <f>H28+H30+H32+H33+H34</f>
        <v>4011216.8614848</v>
      </c>
    </row>
    <row r="28" spans="1:8">
      <c r="A28" s="7"/>
      <c r="B28" s="7">
        <v>832</v>
      </c>
      <c r="C28" s="16" t="s">
        <v>431</v>
      </c>
      <c r="D28" s="17" t="s">
        <v>13</v>
      </c>
      <c r="E28" s="18" t="s">
        <v>12</v>
      </c>
      <c r="F28" s="19">
        <v>1863.8</v>
      </c>
      <c r="G28" s="50">
        <v>446.530553775086</v>
      </c>
      <c r="H28" s="20">
        <f t="shared" si="2"/>
        <v>832243.646126006</v>
      </c>
    </row>
    <row r="29" spans="1:8">
      <c r="A29" s="7"/>
      <c r="B29" s="7">
        <v>833</v>
      </c>
      <c r="C29" s="16" t="s">
        <v>432</v>
      </c>
      <c r="D29" s="17" t="s">
        <v>18</v>
      </c>
      <c r="E29" s="18" t="s">
        <v>19</v>
      </c>
      <c r="F29" s="19">
        <v>592.43</v>
      </c>
      <c r="G29" s="20">
        <f>H28/F29</f>
        <v>1404.79659390309</v>
      </c>
      <c r="H29" s="20">
        <f t="shared" si="2"/>
        <v>832243.646126006</v>
      </c>
    </row>
    <row r="30" spans="1:8">
      <c r="A30" s="7"/>
      <c r="B30" s="7">
        <v>834</v>
      </c>
      <c r="C30" s="16" t="s">
        <v>433</v>
      </c>
      <c r="D30" s="17" t="s">
        <v>20</v>
      </c>
      <c r="E30" s="18" t="s">
        <v>12</v>
      </c>
      <c r="F30" s="19">
        <v>1863.8</v>
      </c>
      <c r="G30" s="50">
        <v>659.360055576815</v>
      </c>
      <c r="H30" s="20">
        <f t="shared" si="2"/>
        <v>1228915.27158407</v>
      </c>
    </row>
    <row r="31" spans="1:8">
      <c r="A31" s="7"/>
      <c r="B31" s="7">
        <v>835</v>
      </c>
      <c r="C31" s="16" t="s">
        <v>434</v>
      </c>
      <c r="D31" s="17" t="s">
        <v>22</v>
      </c>
      <c r="E31" s="18" t="s">
        <v>12</v>
      </c>
      <c r="F31" s="19">
        <v>1863.8</v>
      </c>
      <c r="G31" s="20">
        <f>H30/F31</f>
        <v>659.360055576815</v>
      </c>
      <c r="H31" s="20">
        <f t="shared" si="2"/>
        <v>1228915.27158407</v>
      </c>
    </row>
    <row r="32" spans="1:8">
      <c r="A32" s="7"/>
      <c r="B32" s="7">
        <v>836</v>
      </c>
      <c r="C32" s="16" t="s">
        <v>435</v>
      </c>
      <c r="D32" s="17" t="s">
        <v>23</v>
      </c>
      <c r="E32" s="18" t="s">
        <v>12</v>
      </c>
      <c r="F32" s="19">
        <v>1863.8</v>
      </c>
      <c r="G32" s="50">
        <v>886.987034125613</v>
      </c>
      <c r="H32" s="20">
        <f t="shared" si="2"/>
        <v>1653166.43420332</v>
      </c>
    </row>
    <row r="33" spans="1:8">
      <c r="A33" s="7"/>
      <c r="B33" s="7">
        <v>837</v>
      </c>
      <c r="C33" s="16" t="s">
        <v>436</v>
      </c>
      <c r="D33" s="17" t="s">
        <v>24</v>
      </c>
      <c r="E33" s="18" t="s">
        <v>12</v>
      </c>
      <c r="F33" s="19">
        <v>1863.8</v>
      </c>
      <c r="G33" s="50">
        <v>150.591788467441</v>
      </c>
      <c r="H33" s="20">
        <f t="shared" si="2"/>
        <v>280672.975345616</v>
      </c>
    </row>
    <row r="34" spans="1:8">
      <c r="A34" s="7"/>
      <c r="B34" s="7">
        <v>838</v>
      </c>
      <c r="C34" s="16" t="s">
        <v>437</v>
      </c>
      <c r="D34" s="17" t="s">
        <v>25</v>
      </c>
      <c r="E34" s="18" t="s">
        <v>12</v>
      </c>
      <c r="F34" s="19">
        <v>1863.8</v>
      </c>
      <c r="G34" s="50">
        <v>8.70186405504486</v>
      </c>
      <c r="H34" s="20">
        <f t="shared" si="2"/>
        <v>16218.5342257926</v>
      </c>
    </row>
    <row r="35" spans="1:8">
      <c r="A35" s="7"/>
      <c r="B35" s="7">
        <v>839</v>
      </c>
      <c r="C35" s="16" t="s">
        <v>438</v>
      </c>
      <c r="D35" s="17" t="s">
        <v>27</v>
      </c>
      <c r="E35" s="18" t="s">
        <v>16</v>
      </c>
      <c r="F35" s="19">
        <f>H34/G35</f>
        <v>152.875240133779</v>
      </c>
      <c r="G35" s="20">
        <v>106.09</v>
      </c>
      <c r="H35" s="20">
        <f t="shared" si="2"/>
        <v>16218.5342257926</v>
      </c>
    </row>
    <row r="36" ht="28" spans="1:8">
      <c r="A36" s="7"/>
      <c r="B36" s="7">
        <v>840</v>
      </c>
      <c r="C36" s="16" t="s">
        <v>439</v>
      </c>
      <c r="D36" s="17" t="s">
        <v>33</v>
      </c>
      <c r="E36" s="18" t="s">
        <v>16</v>
      </c>
      <c r="F36" s="19">
        <f>H35/G36</f>
        <v>152.875240133779</v>
      </c>
      <c r="G36" s="20">
        <v>106.09</v>
      </c>
      <c r="H36" s="20">
        <f t="shared" si="2"/>
        <v>16218.5342257926</v>
      </c>
    </row>
    <row r="37" spans="1:8">
      <c r="A37" s="7" t="s">
        <v>34</v>
      </c>
      <c r="B37" s="7">
        <v>1222</v>
      </c>
      <c r="C37" s="16">
        <v>220403</v>
      </c>
      <c r="D37" s="17" t="s">
        <v>35</v>
      </c>
      <c r="E37" s="18" t="s">
        <v>12</v>
      </c>
      <c r="F37" s="19"/>
      <c r="G37" s="20"/>
      <c r="H37" s="20">
        <v>311906.18</v>
      </c>
    </row>
    <row r="38" spans="1:8">
      <c r="A38" s="7"/>
      <c r="B38" s="7">
        <v>1223</v>
      </c>
      <c r="C38" s="16">
        <v>22040305</v>
      </c>
      <c r="D38" s="17" t="s">
        <v>36</v>
      </c>
      <c r="E38" s="18" t="s">
        <v>12</v>
      </c>
      <c r="F38" s="19">
        <v>2590</v>
      </c>
      <c r="G38" s="20">
        <v>120.43</v>
      </c>
      <c r="H38" s="20">
        <v>311906.18</v>
      </c>
    </row>
    <row r="39" spans="1:8">
      <c r="A39" s="7" t="s">
        <v>440</v>
      </c>
      <c r="B39" s="7">
        <v>1226</v>
      </c>
      <c r="C39" s="16">
        <v>220405</v>
      </c>
      <c r="D39" s="17" t="s">
        <v>441</v>
      </c>
      <c r="E39" s="18" t="s">
        <v>187</v>
      </c>
      <c r="F39" s="19"/>
      <c r="G39" s="20"/>
      <c r="H39" s="20">
        <v>362214.8604</v>
      </c>
    </row>
    <row r="40" spans="1:8">
      <c r="A40" s="7"/>
      <c r="B40" s="7">
        <v>1227</v>
      </c>
      <c r="C40" s="16">
        <v>22040501</v>
      </c>
      <c r="D40" s="17" t="s">
        <v>442</v>
      </c>
      <c r="E40" s="18" t="s">
        <v>187</v>
      </c>
      <c r="F40" s="19">
        <v>778</v>
      </c>
      <c r="G40" s="20">
        <v>465.5718</v>
      </c>
      <c r="H40" s="20">
        <f>F40*G40</f>
        <v>362214.8604</v>
      </c>
    </row>
    <row r="41" ht="28" spans="1:8">
      <c r="A41" s="7" t="s">
        <v>443</v>
      </c>
      <c r="B41" s="7">
        <v>821</v>
      </c>
      <c r="C41" s="16" t="s">
        <v>444</v>
      </c>
      <c r="D41" s="17" t="s">
        <v>445</v>
      </c>
      <c r="E41" s="18" t="s">
        <v>12</v>
      </c>
      <c r="F41" s="19">
        <v>428.22</v>
      </c>
      <c r="G41" s="20"/>
      <c r="H41" s="20">
        <f>H42+H44+H46+H47+H48</f>
        <v>1718083.05337065</v>
      </c>
    </row>
    <row r="42" spans="1:8">
      <c r="A42" s="7"/>
      <c r="B42" s="7">
        <v>822</v>
      </c>
      <c r="C42" s="16" t="s">
        <v>446</v>
      </c>
      <c r="D42" s="17" t="s">
        <v>13</v>
      </c>
      <c r="E42" s="18" t="s">
        <v>12</v>
      </c>
      <c r="F42" s="19">
        <v>428.22</v>
      </c>
      <c r="G42" s="50">
        <v>1585.71102312741</v>
      </c>
      <c r="H42" s="20">
        <f t="shared" ref="H42:H50" si="3">G42*F42</f>
        <v>679033.17432362</v>
      </c>
    </row>
    <row r="43" spans="1:8">
      <c r="A43" s="7"/>
      <c r="B43" s="7">
        <v>823</v>
      </c>
      <c r="C43" s="16" t="s">
        <v>447</v>
      </c>
      <c r="D43" s="17" t="s">
        <v>18</v>
      </c>
      <c r="E43" s="18" t="s">
        <v>19</v>
      </c>
      <c r="F43" s="19">
        <v>445.2</v>
      </c>
      <c r="G43" s="20">
        <f>H42/F43</f>
        <v>1525.23174825611</v>
      </c>
      <c r="H43" s="20">
        <f t="shared" si="3"/>
        <v>679033.17432362</v>
      </c>
    </row>
    <row r="44" spans="1:8">
      <c r="A44" s="7"/>
      <c r="B44" s="7">
        <v>824</v>
      </c>
      <c r="C44" s="16" t="s">
        <v>448</v>
      </c>
      <c r="D44" s="17" t="s">
        <v>20</v>
      </c>
      <c r="E44" s="18" t="s">
        <v>12</v>
      </c>
      <c r="F44" s="19">
        <v>428.22</v>
      </c>
      <c r="G44" s="50">
        <v>814.288087641849</v>
      </c>
      <c r="H44" s="20">
        <f t="shared" si="3"/>
        <v>348694.444889992</v>
      </c>
    </row>
    <row r="45" spans="1:8">
      <c r="A45" s="7"/>
      <c r="B45" s="7">
        <v>825</v>
      </c>
      <c r="C45" s="16" t="s">
        <v>449</v>
      </c>
      <c r="D45" s="17" t="s">
        <v>22</v>
      </c>
      <c r="E45" s="18" t="s">
        <v>12</v>
      </c>
      <c r="F45" s="19">
        <v>428.22</v>
      </c>
      <c r="G45" s="20">
        <f>H44/F45</f>
        <v>814.288087641849</v>
      </c>
      <c r="H45" s="20">
        <f t="shared" si="3"/>
        <v>348694.444889992</v>
      </c>
    </row>
    <row r="46" spans="1:8">
      <c r="A46" s="7"/>
      <c r="B46" s="7">
        <v>826</v>
      </c>
      <c r="C46" s="16" t="s">
        <v>450</v>
      </c>
      <c r="D46" s="17" t="s">
        <v>23</v>
      </c>
      <c r="E46" s="18" t="s">
        <v>12</v>
      </c>
      <c r="F46" s="19">
        <v>428.22</v>
      </c>
      <c r="G46" s="50">
        <v>974.813053355424</v>
      </c>
      <c r="H46" s="20">
        <f t="shared" si="3"/>
        <v>417434.44570786</v>
      </c>
    </row>
    <row r="47" spans="1:8">
      <c r="A47" s="7"/>
      <c r="B47" s="7">
        <v>827</v>
      </c>
      <c r="C47" s="16" t="s">
        <v>451</v>
      </c>
      <c r="D47" s="17" t="s">
        <v>24</v>
      </c>
      <c r="E47" s="18" t="s">
        <v>12</v>
      </c>
      <c r="F47" s="19">
        <v>428.22</v>
      </c>
      <c r="G47" s="50">
        <v>386.813592224084</v>
      </c>
      <c r="H47" s="20">
        <f t="shared" si="3"/>
        <v>165641.316462197</v>
      </c>
    </row>
    <row r="48" spans="1:8">
      <c r="A48" s="7"/>
      <c r="B48" s="7">
        <v>828</v>
      </c>
      <c r="C48" s="16" t="s">
        <v>452</v>
      </c>
      <c r="D48" s="17" t="s">
        <v>25</v>
      </c>
      <c r="E48" s="18" t="s">
        <v>12</v>
      </c>
      <c r="F48" s="19">
        <v>428.22</v>
      </c>
      <c r="G48" s="50">
        <v>250.524664861479</v>
      </c>
      <c r="H48" s="20">
        <f t="shared" si="3"/>
        <v>107279.671986983</v>
      </c>
    </row>
    <row r="49" spans="1:8">
      <c r="A49" s="7"/>
      <c r="B49" s="7">
        <v>829</v>
      </c>
      <c r="C49" s="16" t="s">
        <v>453</v>
      </c>
      <c r="D49" s="17" t="s">
        <v>27</v>
      </c>
      <c r="E49" s="18" t="s">
        <v>16</v>
      </c>
      <c r="F49" s="19">
        <f>H48/G49</f>
        <v>1011.118491866</v>
      </c>
      <c r="G49" s="20">
        <v>106.1</v>
      </c>
      <c r="H49" s="20">
        <f t="shared" si="3"/>
        <v>107279.671986983</v>
      </c>
    </row>
    <row r="50" ht="28" spans="1:8">
      <c r="A50" s="7"/>
      <c r="B50" s="7">
        <v>830</v>
      </c>
      <c r="C50" s="16" t="s">
        <v>454</v>
      </c>
      <c r="D50" s="17" t="s">
        <v>33</v>
      </c>
      <c r="E50" s="18" t="s">
        <v>16</v>
      </c>
      <c r="F50" s="19">
        <f>H49/G50</f>
        <v>1011.118491866</v>
      </c>
      <c r="G50" s="20">
        <v>106.1</v>
      </c>
      <c r="H50" s="20">
        <f t="shared" si="3"/>
        <v>107279.671986983</v>
      </c>
    </row>
    <row r="51" ht="28" spans="1:8">
      <c r="A51" s="7" t="s">
        <v>455</v>
      </c>
      <c r="B51" s="7">
        <v>761</v>
      </c>
      <c r="C51" s="16">
        <v>2201030706</v>
      </c>
      <c r="D51" s="17" t="s">
        <v>456</v>
      </c>
      <c r="E51" s="18" t="s">
        <v>12</v>
      </c>
      <c r="F51" s="19">
        <v>80.11</v>
      </c>
      <c r="G51" s="20"/>
      <c r="H51" s="20">
        <f>H52+H54+H56+H57+H58</f>
        <v>331562.951778241</v>
      </c>
    </row>
    <row r="52" spans="1:8">
      <c r="A52" s="7"/>
      <c r="B52" s="7">
        <v>762</v>
      </c>
      <c r="C52" s="16">
        <v>220103070601</v>
      </c>
      <c r="D52" s="17" t="s">
        <v>13</v>
      </c>
      <c r="E52" s="18" t="s">
        <v>12</v>
      </c>
      <c r="F52" s="19">
        <v>80.11</v>
      </c>
      <c r="G52" s="50">
        <v>1400.79299749618</v>
      </c>
      <c r="H52" s="20">
        <f t="shared" ref="H52:H60" si="4">G52*F52</f>
        <v>112217.527029419</v>
      </c>
    </row>
    <row r="53" spans="1:8">
      <c r="A53" s="7"/>
      <c r="B53" s="7">
        <v>763</v>
      </c>
      <c r="C53" s="16">
        <v>22010307060102</v>
      </c>
      <c r="D53" s="17" t="s">
        <v>18</v>
      </c>
      <c r="E53" s="18" t="s">
        <v>19</v>
      </c>
      <c r="F53" s="19">
        <v>59.94</v>
      </c>
      <c r="G53" s="20">
        <f>H52/F53</f>
        <v>1872.16428143842</v>
      </c>
      <c r="H53" s="20">
        <f t="shared" si="4"/>
        <v>112217.527029419</v>
      </c>
    </row>
    <row r="54" spans="1:8">
      <c r="A54" s="7"/>
      <c r="B54" s="7">
        <v>764</v>
      </c>
      <c r="C54" s="16">
        <v>220103070602</v>
      </c>
      <c r="D54" s="17" t="s">
        <v>20</v>
      </c>
      <c r="E54" s="18" t="s">
        <v>12</v>
      </c>
      <c r="F54" s="19">
        <v>80.11</v>
      </c>
      <c r="G54" s="50">
        <v>1121.73496979753</v>
      </c>
      <c r="H54" s="20">
        <f t="shared" si="4"/>
        <v>89862.1884304804</v>
      </c>
    </row>
    <row r="55" spans="1:8">
      <c r="A55" s="7"/>
      <c r="B55" s="7">
        <v>765</v>
      </c>
      <c r="C55" s="16">
        <v>22010307060202</v>
      </c>
      <c r="D55" s="17" t="s">
        <v>22</v>
      </c>
      <c r="E55" s="18" t="s">
        <v>12</v>
      </c>
      <c r="F55" s="19">
        <v>80.11</v>
      </c>
      <c r="G55" s="20">
        <f>H54/F55</f>
        <v>1121.73496979753</v>
      </c>
      <c r="H55" s="20">
        <f t="shared" si="4"/>
        <v>89862.1884304804</v>
      </c>
    </row>
    <row r="56" spans="1:8">
      <c r="A56" s="7"/>
      <c r="B56" s="7">
        <v>766</v>
      </c>
      <c r="C56" s="16">
        <v>220103070603</v>
      </c>
      <c r="D56" s="17" t="s">
        <v>23</v>
      </c>
      <c r="E56" s="18" t="s">
        <v>12</v>
      </c>
      <c r="F56" s="19">
        <v>80.11</v>
      </c>
      <c r="G56" s="50">
        <v>1141.28860712419</v>
      </c>
      <c r="H56" s="20">
        <f t="shared" si="4"/>
        <v>91428.630316719</v>
      </c>
    </row>
    <row r="57" spans="1:8">
      <c r="A57" s="7"/>
      <c r="B57" s="7">
        <v>767</v>
      </c>
      <c r="C57" s="16">
        <v>220103070604</v>
      </c>
      <c r="D57" s="17" t="s">
        <v>24</v>
      </c>
      <c r="E57" s="18" t="s">
        <v>12</v>
      </c>
      <c r="F57" s="19">
        <v>80.11</v>
      </c>
      <c r="G57" s="50">
        <v>236.981819235433</v>
      </c>
      <c r="H57" s="20">
        <f t="shared" si="4"/>
        <v>18984.6135389505</v>
      </c>
    </row>
    <row r="58" spans="1:8">
      <c r="A58" s="7"/>
      <c r="B58" s="7">
        <v>768</v>
      </c>
      <c r="C58" s="16">
        <v>220103070605</v>
      </c>
      <c r="D58" s="17" t="s">
        <v>25</v>
      </c>
      <c r="E58" s="18" t="s">
        <v>12</v>
      </c>
      <c r="F58" s="19">
        <v>80.11</v>
      </c>
      <c r="G58" s="50">
        <v>238.047590346675</v>
      </c>
      <c r="H58" s="20">
        <f t="shared" si="4"/>
        <v>19069.9924626721</v>
      </c>
    </row>
    <row r="59" spans="1:8">
      <c r="A59" s="7"/>
      <c r="B59" s="7">
        <v>769</v>
      </c>
      <c r="C59" s="16">
        <v>22010307060501</v>
      </c>
      <c r="D59" s="17" t="s">
        <v>27</v>
      </c>
      <c r="E59" s="18" t="s">
        <v>16</v>
      </c>
      <c r="F59" s="19">
        <f>H58/G59</f>
        <v>179.736026980887</v>
      </c>
      <c r="G59" s="20">
        <v>106.1</v>
      </c>
      <c r="H59" s="20">
        <f t="shared" si="4"/>
        <v>19069.9924626721</v>
      </c>
    </row>
    <row r="60" spans="1:8">
      <c r="A60" s="7"/>
      <c r="B60" s="7">
        <v>770</v>
      </c>
      <c r="C60" s="16" t="s">
        <v>457</v>
      </c>
      <c r="D60" s="17" t="s">
        <v>33</v>
      </c>
      <c r="E60" s="18" t="s">
        <v>16</v>
      </c>
      <c r="F60" s="19">
        <f>H59/G60</f>
        <v>179.736026980887</v>
      </c>
      <c r="G60" s="20">
        <v>106.1</v>
      </c>
      <c r="H60" s="20">
        <f t="shared" si="4"/>
        <v>19069.9924626721</v>
      </c>
    </row>
    <row r="61" spans="1:8">
      <c r="A61" s="7" t="s">
        <v>34</v>
      </c>
      <c r="B61" s="7">
        <v>1222</v>
      </c>
      <c r="C61" s="16">
        <v>220403</v>
      </c>
      <c r="D61" s="17" t="s">
        <v>35</v>
      </c>
      <c r="E61" s="18" t="s">
        <v>12</v>
      </c>
      <c r="F61" s="19"/>
      <c r="G61" s="20"/>
      <c r="H61" s="20">
        <v>23724.33</v>
      </c>
    </row>
    <row r="62" spans="1:8">
      <c r="A62" s="7"/>
      <c r="B62" s="7">
        <v>1223</v>
      </c>
      <c r="C62" s="16">
        <v>22040305</v>
      </c>
      <c r="D62" s="17" t="s">
        <v>36</v>
      </c>
      <c r="E62" s="18" t="s">
        <v>12</v>
      </c>
      <c r="F62" s="19">
        <v>197</v>
      </c>
      <c r="G62" s="20">
        <v>120.43</v>
      </c>
      <c r="H62" s="20">
        <v>23724.33</v>
      </c>
    </row>
    <row r="63" ht="28" spans="1:8">
      <c r="A63" s="7" t="s">
        <v>458</v>
      </c>
      <c r="B63" s="7">
        <v>1016</v>
      </c>
      <c r="C63" s="16">
        <v>2201031206</v>
      </c>
      <c r="D63" s="17" t="s">
        <v>459</v>
      </c>
      <c r="E63" s="18" t="s">
        <v>12</v>
      </c>
      <c r="F63" s="19">
        <v>547</v>
      </c>
      <c r="G63" s="20"/>
      <c r="H63" s="20">
        <f>H64+H66+H68+H69+H70</f>
        <v>1812944.610144</v>
      </c>
    </row>
    <row r="64" spans="1:8">
      <c r="A64" s="7"/>
      <c r="B64" s="7">
        <v>1017</v>
      </c>
      <c r="C64" s="16">
        <v>220103120601</v>
      </c>
      <c r="D64" s="17" t="s">
        <v>13</v>
      </c>
      <c r="E64" s="18" t="s">
        <v>12</v>
      </c>
      <c r="F64" s="19">
        <v>547</v>
      </c>
      <c r="G64" s="50">
        <v>1115.65907526865</v>
      </c>
      <c r="H64" s="20">
        <f t="shared" ref="H64:H72" si="5">G64*F64</f>
        <v>610265.514171951</v>
      </c>
    </row>
    <row r="65" spans="1:8">
      <c r="A65" s="7"/>
      <c r="B65" s="7">
        <v>1018</v>
      </c>
      <c r="C65" s="16">
        <v>22010312060102</v>
      </c>
      <c r="D65" s="17" t="s">
        <v>18</v>
      </c>
      <c r="E65" s="18" t="s">
        <v>19</v>
      </c>
      <c r="F65" s="19">
        <v>240.79</v>
      </c>
      <c r="G65" s="20">
        <f>H64/F65</f>
        <v>2534.4304754016</v>
      </c>
      <c r="H65" s="20">
        <f t="shared" si="5"/>
        <v>610265.514171951</v>
      </c>
    </row>
    <row r="66" spans="1:8">
      <c r="A66" s="7"/>
      <c r="B66" s="7">
        <v>1019</v>
      </c>
      <c r="C66" s="16">
        <v>220103120602</v>
      </c>
      <c r="D66" s="17" t="s">
        <v>20</v>
      </c>
      <c r="E66" s="18" t="s">
        <v>12</v>
      </c>
      <c r="F66" s="19">
        <v>547</v>
      </c>
      <c r="G66" s="50">
        <v>830.526247249415</v>
      </c>
      <c r="H66" s="20">
        <f t="shared" si="5"/>
        <v>454297.85724543</v>
      </c>
    </row>
    <row r="67" spans="1:8">
      <c r="A67" s="7"/>
      <c r="B67" s="7">
        <v>1020</v>
      </c>
      <c r="C67" s="16">
        <v>22010312060202</v>
      </c>
      <c r="D67" s="17" t="s">
        <v>22</v>
      </c>
      <c r="E67" s="18" t="s">
        <v>12</v>
      </c>
      <c r="F67" s="19">
        <v>547</v>
      </c>
      <c r="G67" s="20">
        <f>H66/F67</f>
        <v>830.526247249415</v>
      </c>
      <c r="H67" s="20">
        <f t="shared" si="5"/>
        <v>454297.85724543</v>
      </c>
    </row>
    <row r="68" spans="1:8">
      <c r="A68" s="7"/>
      <c r="B68" s="7">
        <v>1021</v>
      </c>
      <c r="C68" s="16">
        <v>220103120603</v>
      </c>
      <c r="D68" s="17" t="s">
        <v>23</v>
      </c>
      <c r="E68" s="18" t="s">
        <v>12</v>
      </c>
      <c r="F68" s="19">
        <v>547</v>
      </c>
      <c r="G68" s="50">
        <v>943.639545557391</v>
      </c>
      <c r="H68" s="20">
        <f t="shared" si="5"/>
        <v>516170.831419893</v>
      </c>
    </row>
    <row r="69" spans="1:8">
      <c r="A69" s="7"/>
      <c r="B69" s="7">
        <v>1022</v>
      </c>
      <c r="C69" s="16">
        <v>220103120604</v>
      </c>
      <c r="D69" s="17" t="s">
        <v>24</v>
      </c>
      <c r="E69" s="18" t="s">
        <v>12</v>
      </c>
      <c r="F69" s="19">
        <v>547</v>
      </c>
      <c r="G69" s="50">
        <v>256.65825686993</v>
      </c>
      <c r="H69" s="20">
        <f t="shared" si="5"/>
        <v>140392.066507852</v>
      </c>
    </row>
    <row r="70" spans="1:8">
      <c r="A70" s="7"/>
      <c r="B70" s="7">
        <v>1023</v>
      </c>
      <c r="C70" s="16">
        <v>220103120605</v>
      </c>
      <c r="D70" s="17" t="s">
        <v>25</v>
      </c>
      <c r="E70" s="18" t="s">
        <v>12</v>
      </c>
      <c r="F70" s="19">
        <v>547</v>
      </c>
      <c r="G70" s="50">
        <v>167.858027054617</v>
      </c>
      <c r="H70" s="20">
        <f t="shared" si="5"/>
        <v>91818.3407988755</v>
      </c>
    </row>
    <row r="71" spans="1:8">
      <c r="A71" s="7"/>
      <c r="B71" s="7">
        <v>1024</v>
      </c>
      <c r="C71" s="16">
        <v>22010312060501</v>
      </c>
      <c r="D71" s="17" t="s">
        <v>27</v>
      </c>
      <c r="E71" s="18" t="s">
        <v>16</v>
      </c>
      <c r="F71" s="19">
        <f>H70/G71</f>
        <v>865.394352487045</v>
      </c>
      <c r="G71" s="20">
        <v>106.1</v>
      </c>
      <c r="H71" s="20">
        <f t="shared" si="5"/>
        <v>91818.3407988755</v>
      </c>
    </row>
    <row r="72" spans="1:8">
      <c r="A72" s="7"/>
      <c r="B72" s="7">
        <v>1025</v>
      </c>
      <c r="C72" s="16" t="s">
        <v>460</v>
      </c>
      <c r="D72" s="17" t="s">
        <v>33</v>
      </c>
      <c r="E72" s="18" t="s">
        <v>16</v>
      </c>
      <c r="F72" s="19">
        <f>H71/G72</f>
        <v>865.394352487045</v>
      </c>
      <c r="G72" s="20">
        <v>106.1</v>
      </c>
      <c r="H72" s="20">
        <f t="shared" si="5"/>
        <v>91818.3407988755</v>
      </c>
    </row>
    <row r="73" spans="1:8">
      <c r="A73" s="7" t="s">
        <v>34</v>
      </c>
      <c r="B73" s="7">
        <v>1222</v>
      </c>
      <c r="C73" s="16">
        <v>220403</v>
      </c>
      <c r="D73" s="17" t="s">
        <v>35</v>
      </c>
      <c r="E73" s="18" t="s">
        <v>12</v>
      </c>
      <c r="F73" s="19"/>
      <c r="G73" s="20"/>
      <c r="H73" s="20">
        <v>96341.73</v>
      </c>
    </row>
    <row r="74" spans="1:8">
      <c r="A74" s="7"/>
      <c r="B74" s="7">
        <v>1223</v>
      </c>
      <c r="C74" s="16">
        <v>22040305</v>
      </c>
      <c r="D74" s="17" t="s">
        <v>36</v>
      </c>
      <c r="E74" s="18" t="s">
        <v>12</v>
      </c>
      <c r="F74" s="19">
        <v>800</v>
      </c>
      <c r="G74" s="20">
        <v>120.43</v>
      </c>
      <c r="H74" s="20">
        <v>96341.73</v>
      </c>
    </row>
    <row r="75" spans="1:8">
      <c r="A75" s="7" t="s">
        <v>461</v>
      </c>
      <c r="B75" s="7">
        <v>1224</v>
      </c>
      <c r="C75" s="16">
        <v>220404</v>
      </c>
      <c r="D75" s="17" t="s">
        <v>462</v>
      </c>
      <c r="E75" s="18" t="s">
        <v>187</v>
      </c>
      <c r="F75" s="19"/>
      <c r="G75" s="20"/>
      <c r="H75" s="20">
        <v>234638.0865</v>
      </c>
    </row>
    <row r="76" spans="1:8">
      <c r="A76" s="7"/>
      <c r="B76" s="7">
        <v>1225</v>
      </c>
      <c r="C76" s="16">
        <v>22040401</v>
      </c>
      <c r="D76" s="17" t="s">
        <v>463</v>
      </c>
      <c r="E76" s="18" t="s">
        <v>187</v>
      </c>
      <c r="F76" s="19">
        <v>145</v>
      </c>
      <c r="G76" s="20">
        <v>1618.1937</v>
      </c>
      <c r="H76" s="20">
        <f t="shared" ref="H76:H87" si="6">G76*F76</f>
        <v>234638.0865</v>
      </c>
    </row>
    <row r="77" spans="1:8">
      <c r="A77" s="7" t="s">
        <v>440</v>
      </c>
      <c r="B77" s="7">
        <v>1226</v>
      </c>
      <c r="C77" s="16">
        <v>220405</v>
      </c>
      <c r="D77" s="17" t="s">
        <v>441</v>
      </c>
      <c r="E77" s="18" t="s">
        <v>187</v>
      </c>
      <c r="F77" s="19"/>
      <c r="G77" s="20"/>
      <c r="H77" s="20">
        <v>491643.8208</v>
      </c>
    </row>
    <row r="78" spans="1:8">
      <c r="A78" s="7"/>
      <c r="B78" s="7">
        <v>1227</v>
      </c>
      <c r="C78" s="16">
        <v>22040501</v>
      </c>
      <c r="D78" s="17" t="s">
        <v>442</v>
      </c>
      <c r="E78" s="18" t="s">
        <v>187</v>
      </c>
      <c r="F78" s="19">
        <v>1056</v>
      </c>
      <c r="G78" s="20">
        <v>465.5718</v>
      </c>
      <c r="H78" s="20">
        <f t="shared" si="6"/>
        <v>491643.8208</v>
      </c>
    </row>
    <row r="79" ht="28" spans="1:8">
      <c r="A79" s="7" t="s">
        <v>464</v>
      </c>
      <c r="B79" s="7">
        <v>561</v>
      </c>
      <c r="C79" s="16">
        <v>2201030225</v>
      </c>
      <c r="D79" s="17" t="s">
        <v>465</v>
      </c>
      <c r="E79" s="18" t="s">
        <v>12</v>
      </c>
      <c r="F79" s="19">
        <v>3419.28</v>
      </c>
      <c r="G79" s="20"/>
      <c r="H79" s="20">
        <f>H80+H83+H85+H86+H87</f>
        <v>7108361.10588672</v>
      </c>
    </row>
    <row r="80" spans="1:8">
      <c r="A80" s="7"/>
      <c r="B80" s="7">
        <v>562</v>
      </c>
      <c r="C80" s="16">
        <v>220103022501</v>
      </c>
      <c r="D80" s="17" t="s">
        <v>13</v>
      </c>
      <c r="E80" s="18" t="s">
        <v>12</v>
      </c>
      <c r="F80" s="19">
        <v>3419.28</v>
      </c>
      <c r="G80" s="50">
        <v>291.907488292993</v>
      </c>
      <c r="H80" s="20">
        <f t="shared" si="6"/>
        <v>998113.436570465</v>
      </c>
    </row>
    <row r="81" spans="1:8">
      <c r="A81" s="7"/>
      <c r="B81" s="7">
        <v>563</v>
      </c>
      <c r="C81" s="16">
        <v>22010302250101</v>
      </c>
      <c r="D81" s="17" t="s">
        <v>15</v>
      </c>
      <c r="E81" s="18" t="s">
        <v>16</v>
      </c>
      <c r="F81" s="19">
        <v>58.1</v>
      </c>
      <c r="G81" s="20">
        <f t="shared" ref="G81:G84" si="7">H80/F81</f>
        <v>17179.2329874435</v>
      </c>
      <c r="H81" s="20">
        <f t="shared" si="6"/>
        <v>998113.436570465</v>
      </c>
    </row>
    <row r="82" spans="1:8">
      <c r="A82" s="7"/>
      <c r="B82" s="7">
        <v>564</v>
      </c>
      <c r="C82" s="16">
        <v>22010302250102</v>
      </c>
      <c r="D82" s="17" t="s">
        <v>18</v>
      </c>
      <c r="E82" s="18" t="s">
        <v>19</v>
      </c>
      <c r="F82" s="19">
        <v>899.39</v>
      </c>
      <c r="G82" s="20">
        <f t="shared" si="7"/>
        <v>1109.76710500502</v>
      </c>
      <c r="H82" s="20">
        <f t="shared" si="6"/>
        <v>998113.436570465</v>
      </c>
    </row>
    <row r="83" spans="1:8">
      <c r="A83" s="7"/>
      <c r="B83" s="7">
        <v>565</v>
      </c>
      <c r="C83" s="16">
        <v>220103022502</v>
      </c>
      <c r="D83" s="17" t="s">
        <v>20</v>
      </c>
      <c r="E83" s="18" t="s">
        <v>12</v>
      </c>
      <c r="F83" s="19">
        <v>3419.28</v>
      </c>
      <c r="G83" s="50">
        <v>805.027511471842</v>
      </c>
      <c r="H83" s="20">
        <f t="shared" si="6"/>
        <v>2752614.46942544</v>
      </c>
    </row>
    <row r="84" spans="1:8">
      <c r="A84" s="7"/>
      <c r="B84" s="7">
        <v>566</v>
      </c>
      <c r="C84" s="16">
        <v>22010302250202</v>
      </c>
      <c r="D84" s="17" t="s">
        <v>22</v>
      </c>
      <c r="E84" s="18" t="s">
        <v>12</v>
      </c>
      <c r="F84" s="19">
        <v>3419.28</v>
      </c>
      <c r="G84" s="20">
        <f t="shared" si="7"/>
        <v>805.027511471842</v>
      </c>
      <c r="H84" s="20">
        <f t="shared" si="6"/>
        <v>2752614.46942544</v>
      </c>
    </row>
    <row r="85" spans="1:8">
      <c r="A85" s="7"/>
      <c r="B85" s="7">
        <v>567</v>
      </c>
      <c r="C85" s="16">
        <v>220103022503</v>
      </c>
      <c r="D85" s="17" t="s">
        <v>23</v>
      </c>
      <c r="E85" s="18" t="s">
        <v>12</v>
      </c>
      <c r="F85" s="19">
        <v>3419.28</v>
      </c>
      <c r="G85" s="50">
        <v>822.7262952724</v>
      </c>
      <c r="H85" s="20">
        <f t="shared" si="6"/>
        <v>2813131.56689901</v>
      </c>
    </row>
    <row r="86" spans="1:8">
      <c r="A86" s="7"/>
      <c r="B86" s="7">
        <v>568</v>
      </c>
      <c r="C86" s="16">
        <v>220103022504</v>
      </c>
      <c r="D86" s="17" t="s">
        <v>24</v>
      </c>
      <c r="E86" s="18" t="s">
        <v>12</v>
      </c>
      <c r="F86" s="19">
        <v>3419.28</v>
      </c>
      <c r="G86" s="50">
        <v>92.4900594961287</v>
      </c>
      <c r="H86" s="20">
        <f t="shared" si="6"/>
        <v>316249.410633923</v>
      </c>
    </row>
    <row r="87" spans="1:8">
      <c r="A87" s="7"/>
      <c r="B87" s="7">
        <v>569</v>
      </c>
      <c r="C87" s="16">
        <v>220103022505</v>
      </c>
      <c r="D87" s="17" t="s">
        <v>25</v>
      </c>
      <c r="E87" s="18" t="s">
        <v>12</v>
      </c>
      <c r="F87" s="19">
        <v>3419.28</v>
      </c>
      <c r="G87" s="50">
        <v>66.7544694666367</v>
      </c>
      <c r="H87" s="20">
        <f t="shared" si="6"/>
        <v>228252.222357881</v>
      </c>
    </row>
    <row r="88" spans="1:8">
      <c r="A88" s="7"/>
      <c r="B88" s="7">
        <v>570</v>
      </c>
      <c r="C88" s="16">
        <v>22010302250501</v>
      </c>
      <c r="D88" s="17" t="s">
        <v>27</v>
      </c>
      <c r="E88" s="18" t="s">
        <v>16</v>
      </c>
      <c r="F88" s="19">
        <v>326.3</v>
      </c>
      <c r="G88" s="20">
        <v>153.04</v>
      </c>
      <c r="H88" s="20">
        <v>49939.5</v>
      </c>
    </row>
    <row r="89" spans="1:8">
      <c r="A89" s="7"/>
      <c r="B89" s="7">
        <v>571</v>
      </c>
      <c r="C89" s="16" t="s">
        <v>466</v>
      </c>
      <c r="D89" s="17" t="s">
        <v>29</v>
      </c>
      <c r="E89" s="18" t="s">
        <v>16</v>
      </c>
      <c r="F89" s="19">
        <v>186.3</v>
      </c>
      <c r="G89" s="20">
        <v>188.34</v>
      </c>
      <c r="H89" s="20">
        <v>35086.97</v>
      </c>
    </row>
    <row r="90" ht="28" spans="1:8">
      <c r="A90" s="7"/>
      <c r="B90" s="7">
        <v>572</v>
      </c>
      <c r="C90" s="16" t="s">
        <v>467</v>
      </c>
      <c r="D90" s="17" t="s">
        <v>31</v>
      </c>
      <c r="E90" s="18" t="s">
        <v>16</v>
      </c>
      <c r="F90" s="19">
        <v>186.3</v>
      </c>
      <c r="G90" s="20">
        <v>188.34</v>
      </c>
      <c r="H90" s="20">
        <v>35086.97</v>
      </c>
    </row>
    <row r="91" spans="1:8">
      <c r="A91" s="7"/>
      <c r="B91" s="7">
        <v>573</v>
      </c>
      <c r="C91" s="16" t="s">
        <v>468</v>
      </c>
      <c r="D91" s="17" t="s">
        <v>33</v>
      </c>
      <c r="E91" s="18" t="s">
        <v>16</v>
      </c>
      <c r="F91" s="19">
        <v>140</v>
      </c>
      <c r="G91" s="20">
        <v>106.09</v>
      </c>
      <c r="H91" s="20">
        <v>14852.53</v>
      </c>
    </row>
    <row r="92" spans="1:8">
      <c r="A92" s="7"/>
      <c r="B92" s="7">
        <v>576</v>
      </c>
      <c r="C92" s="16">
        <v>22010302250506</v>
      </c>
      <c r="D92" s="17" t="s">
        <v>469</v>
      </c>
      <c r="E92" s="18" t="s">
        <v>184</v>
      </c>
      <c r="F92" s="19"/>
      <c r="G92" s="20">
        <v>0</v>
      </c>
      <c r="H92" s="20">
        <v>155101.12</v>
      </c>
    </row>
    <row r="93" spans="1:8">
      <c r="A93" s="7"/>
      <c r="B93" s="7">
        <v>577</v>
      </c>
      <c r="C93" s="16" t="s">
        <v>470</v>
      </c>
      <c r="D93" s="17" t="s">
        <v>471</v>
      </c>
      <c r="E93" s="18" t="s">
        <v>472</v>
      </c>
      <c r="F93" s="19">
        <v>18.8</v>
      </c>
      <c r="G93" s="20">
        <v>8250.06</v>
      </c>
      <c r="H93" s="20">
        <v>155101.12</v>
      </c>
    </row>
    <row r="94" ht="28" spans="1:8">
      <c r="A94" s="7" t="s">
        <v>473</v>
      </c>
      <c r="B94" s="7">
        <v>964</v>
      </c>
      <c r="C94" s="16">
        <v>2201031020</v>
      </c>
      <c r="D94" s="17" t="s">
        <v>474</v>
      </c>
      <c r="E94" s="18" t="s">
        <v>12</v>
      </c>
      <c r="F94" s="19">
        <v>26.24</v>
      </c>
      <c r="G94" s="20"/>
      <c r="H94" s="20">
        <f>H95+H97+H99+H100+H101</f>
        <v>112789.24517376</v>
      </c>
    </row>
    <row r="95" spans="1:8">
      <c r="A95" s="7"/>
      <c r="B95" s="7">
        <v>965</v>
      </c>
      <c r="C95" s="16">
        <v>220103102001</v>
      </c>
      <c r="D95" s="17" t="s">
        <v>13</v>
      </c>
      <c r="E95" s="18" t="s">
        <v>12</v>
      </c>
      <c r="F95" s="19">
        <v>26.24</v>
      </c>
      <c r="G95" s="50">
        <v>998.59002578905</v>
      </c>
      <c r="H95" s="20">
        <f t="shared" ref="H95:H103" si="8">G95*F95</f>
        <v>26203.0022767047</v>
      </c>
    </row>
    <row r="96" spans="1:8">
      <c r="A96" s="7"/>
      <c r="B96" s="7">
        <v>966</v>
      </c>
      <c r="C96" s="16">
        <v>22010310200102</v>
      </c>
      <c r="D96" s="17" t="s">
        <v>18</v>
      </c>
      <c r="E96" s="18" t="s">
        <v>19</v>
      </c>
      <c r="F96" s="19">
        <v>10.82</v>
      </c>
      <c r="G96" s="20">
        <f>H95/F96</f>
        <v>2421.71924923333</v>
      </c>
      <c r="H96" s="20">
        <f t="shared" si="8"/>
        <v>26203.0022767047</v>
      </c>
    </row>
    <row r="97" spans="1:8">
      <c r="A97" s="7"/>
      <c r="B97" s="7">
        <v>967</v>
      </c>
      <c r="C97" s="16">
        <v>220103102002</v>
      </c>
      <c r="D97" s="17" t="s">
        <v>20</v>
      </c>
      <c r="E97" s="18" t="s">
        <v>12</v>
      </c>
      <c r="F97" s="19">
        <v>26.24</v>
      </c>
      <c r="G97" s="50">
        <v>1080.74785424553</v>
      </c>
      <c r="H97" s="20">
        <f t="shared" si="8"/>
        <v>28358.8236954026</v>
      </c>
    </row>
    <row r="98" spans="1:8">
      <c r="A98" s="7"/>
      <c r="B98" s="7">
        <v>968</v>
      </c>
      <c r="C98" s="16">
        <v>22010310200202</v>
      </c>
      <c r="D98" s="17" t="s">
        <v>22</v>
      </c>
      <c r="E98" s="18" t="s">
        <v>12</v>
      </c>
      <c r="F98" s="19">
        <v>26.24</v>
      </c>
      <c r="G98" s="20"/>
      <c r="H98" s="20">
        <f t="shared" si="8"/>
        <v>0</v>
      </c>
    </row>
    <row r="99" spans="1:8">
      <c r="A99" s="7"/>
      <c r="B99" s="7">
        <v>969</v>
      </c>
      <c r="C99" s="16">
        <v>220103102003</v>
      </c>
      <c r="D99" s="17" t="s">
        <v>23</v>
      </c>
      <c r="E99" s="18" t="s">
        <v>12</v>
      </c>
      <c r="F99" s="19">
        <v>26.24</v>
      </c>
      <c r="G99" s="50">
        <v>1752.42635452173</v>
      </c>
      <c r="H99" s="20">
        <f t="shared" si="8"/>
        <v>45983.6675426502</v>
      </c>
    </row>
    <row r="100" spans="1:8">
      <c r="A100" s="7"/>
      <c r="B100" s="7">
        <v>970</v>
      </c>
      <c r="C100" s="16">
        <v>220103102004</v>
      </c>
      <c r="D100" s="17" t="s">
        <v>24</v>
      </c>
      <c r="E100" s="18" t="s">
        <v>12</v>
      </c>
      <c r="F100" s="19">
        <v>26.24</v>
      </c>
      <c r="G100" s="50">
        <v>300.052478623271</v>
      </c>
      <c r="H100" s="20">
        <f t="shared" si="8"/>
        <v>7873.37703907463</v>
      </c>
    </row>
    <row r="101" spans="1:8">
      <c r="A101" s="7"/>
      <c r="B101" s="7">
        <v>971</v>
      </c>
      <c r="C101" s="16">
        <v>220103102005</v>
      </c>
      <c r="D101" s="17" t="s">
        <v>25</v>
      </c>
      <c r="E101" s="18" t="s">
        <v>12</v>
      </c>
      <c r="F101" s="19">
        <v>26.24</v>
      </c>
      <c r="G101" s="50">
        <v>166.553910820428</v>
      </c>
      <c r="H101" s="20">
        <f t="shared" si="8"/>
        <v>4370.37461992802</v>
      </c>
    </row>
    <row r="102" spans="1:8">
      <c r="A102" s="7"/>
      <c r="B102" s="7">
        <v>972</v>
      </c>
      <c r="C102" s="16">
        <v>22010310200501</v>
      </c>
      <c r="D102" s="17" t="s">
        <v>27</v>
      </c>
      <c r="E102" s="18" t="s">
        <v>16</v>
      </c>
      <c r="F102" s="19">
        <v>32.57</v>
      </c>
      <c r="G102" s="20">
        <v>106.11</v>
      </c>
      <c r="H102" s="20">
        <f t="shared" si="8"/>
        <v>3456.0027</v>
      </c>
    </row>
    <row r="103" spans="1:8">
      <c r="A103" s="7"/>
      <c r="B103" s="7">
        <v>973</v>
      </c>
      <c r="C103" s="16" t="s">
        <v>475</v>
      </c>
      <c r="D103" s="17" t="s">
        <v>33</v>
      </c>
      <c r="E103" s="18" t="s">
        <v>16</v>
      </c>
      <c r="F103" s="19">
        <v>32.57</v>
      </c>
      <c r="G103" s="20">
        <v>106.11</v>
      </c>
      <c r="H103" s="20">
        <f t="shared" si="8"/>
        <v>3456.0027</v>
      </c>
    </row>
    <row r="104" ht="41" spans="1:8">
      <c r="A104" s="7" t="s">
        <v>476</v>
      </c>
      <c r="B104" s="7">
        <v>843</v>
      </c>
      <c r="C104" s="16">
        <v>220103090211</v>
      </c>
      <c r="D104" s="17" t="s">
        <v>477</v>
      </c>
      <c r="E104" s="18" t="s">
        <v>12</v>
      </c>
      <c r="F104" s="19">
        <v>16.48</v>
      </c>
      <c r="G104" s="20"/>
      <c r="H104" s="20">
        <f>H105+H107+H109+H110+H111</f>
        <v>93105.1248076799</v>
      </c>
    </row>
    <row r="105" spans="1:8">
      <c r="A105" s="7"/>
      <c r="B105" s="7">
        <v>844</v>
      </c>
      <c r="C105" s="16">
        <v>22010309021101</v>
      </c>
      <c r="D105" s="17" t="s">
        <v>13</v>
      </c>
      <c r="E105" s="18" t="s">
        <v>12</v>
      </c>
      <c r="F105" s="19">
        <v>16.48</v>
      </c>
      <c r="G105" s="50">
        <v>1564.51383312496</v>
      </c>
      <c r="H105" s="20">
        <f t="shared" ref="H105:H113" si="9">G105*F105</f>
        <v>25783.1879698994</v>
      </c>
    </row>
    <row r="106" spans="1:8">
      <c r="A106" s="7"/>
      <c r="B106" s="7">
        <v>845</v>
      </c>
      <c r="C106" s="16" t="s">
        <v>412</v>
      </c>
      <c r="D106" s="17" t="s">
        <v>18</v>
      </c>
      <c r="E106" s="18" t="s">
        <v>19</v>
      </c>
      <c r="F106" s="19">
        <v>10.82</v>
      </c>
      <c r="G106" s="20">
        <f>H105/F106</f>
        <v>2382.91940572083</v>
      </c>
      <c r="H106" s="20">
        <f t="shared" si="9"/>
        <v>25783.1879698994</v>
      </c>
    </row>
    <row r="107" spans="1:8">
      <c r="A107" s="7"/>
      <c r="B107" s="7">
        <v>846</v>
      </c>
      <c r="C107" s="16">
        <v>22010309021102</v>
      </c>
      <c r="D107" s="17" t="s">
        <v>20</v>
      </c>
      <c r="E107" s="18" t="s">
        <v>12</v>
      </c>
      <c r="F107" s="19">
        <v>16.48</v>
      </c>
      <c r="G107" s="50">
        <v>1367.16534114937</v>
      </c>
      <c r="H107" s="20">
        <f t="shared" si="9"/>
        <v>22530.8848221416</v>
      </c>
    </row>
    <row r="108" spans="1:8">
      <c r="A108" s="7"/>
      <c r="B108" s="7">
        <v>847</v>
      </c>
      <c r="C108" s="16" t="s">
        <v>413</v>
      </c>
      <c r="D108" s="17" t="s">
        <v>22</v>
      </c>
      <c r="E108" s="18" t="s">
        <v>12</v>
      </c>
      <c r="F108" s="19">
        <v>16.48</v>
      </c>
      <c r="G108" s="20">
        <f>H107/F108</f>
        <v>1367.16534114937</v>
      </c>
      <c r="H108" s="20">
        <f t="shared" si="9"/>
        <v>22530.8848221416</v>
      </c>
    </row>
    <row r="109" spans="1:8">
      <c r="A109" s="7"/>
      <c r="B109" s="7">
        <v>848</v>
      </c>
      <c r="C109" s="16">
        <v>22010309021103</v>
      </c>
      <c r="D109" s="17" t="s">
        <v>23</v>
      </c>
      <c r="E109" s="18" t="s">
        <v>12</v>
      </c>
      <c r="F109" s="19">
        <v>16.48</v>
      </c>
      <c r="G109" s="50">
        <v>2089.63156344418</v>
      </c>
      <c r="H109" s="20">
        <f t="shared" si="9"/>
        <v>34437.12816556</v>
      </c>
    </row>
    <row r="110" spans="1:8">
      <c r="A110" s="7"/>
      <c r="B110" s="7">
        <v>849</v>
      </c>
      <c r="C110" s="16">
        <v>22010309021104</v>
      </c>
      <c r="D110" s="17" t="s">
        <v>24</v>
      </c>
      <c r="E110" s="18" t="s">
        <v>12</v>
      </c>
      <c r="F110" s="19">
        <v>16.48</v>
      </c>
      <c r="G110" s="50">
        <v>367.343472451479</v>
      </c>
      <c r="H110" s="20">
        <f t="shared" si="9"/>
        <v>6053.82042600038</v>
      </c>
    </row>
    <row r="111" spans="1:8">
      <c r="A111" s="7"/>
      <c r="B111" s="7">
        <v>850</v>
      </c>
      <c r="C111" s="16">
        <v>22010309021105</v>
      </c>
      <c r="D111" s="17" t="s">
        <v>25</v>
      </c>
      <c r="E111" s="18" t="s">
        <v>12</v>
      </c>
      <c r="F111" s="19">
        <v>16.48</v>
      </c>
      <c r="G111" s="50">
        <v>260.928605830008</v>
      </c>
      <c r="H111" s="20">
        <f t="shared" si="9"/>
        <v>4300.10342407853</v>
      </c>
    </row>
    <row r="112" spans="1:8">
      <c r="A112" s="7"/>
      <c r="B112" s="7">
        <v>851</v>
      </c>
      <c r="C112" s="16" t="s">
        <v>414</v>
      </c>
      <c r="D112" s="17" t="s">
        <v>27</v>
      </c>
      <c r="E112" s="18" t="s">
        <v>16</v>
      </c>
      <c r="F112" s="19">
        <f>H111/G112</f>
        <v>40.5325989638847</v>
      </c>
      <c r="G112" s="20">
        <v>106.09</v>
      </c>
      <c r="H112" s="20">
        <f t="shared" si="9"/>
        <v>4300.10342407853</v>
      </c>
    </row>
    <row r="113" ht="28" spans="1:8">
      <c r="A113" s="7"/>
      <c r="B113" s="7">
        <v>852</v>
      </c>
      <c r="C113" s="16" t="s">
        <v>415</v>
      </c>
      <c r="D113" s="17" t="s">
        <v>33</v>
      </c>
      <c r="E113" s="18" t="s">
        <v>16</v>
      </c>
      <c r="F113" s="19">
        <f>H112/G113</f>
        <v>40.5287787377807</v>
      </c>
      <c r="G113" s="20">
        <v>106.1</v>
      </c>
      <c r="H113" s="20">
        <f t="shared" si="9"/>
        <v>4300.10342407853</v>
      </c>
    </row>
    <row r="114" spans="1:8">
      <c r="A114" s="7" t="s">
        <v>34</v>
      </c>
      <c r="B114" s="7">
        <v>1222</v>
      </c>
      <c r="C114" s="16">
        <v>220403</v>
      </c>
      <c r="D114" s="17" t="s">
        <v>35</v>
      </c>
      <c r="E114" s="18" t="s">
        <v>12</v>
      </c>
      <c r="F114" s="19"/>
      <c r="G114" s="20"/>
      <c r="H114" s="20">
        <v>19509.23</v>
      </c>
    </row>
    <row r="115" spans="1:8">
      <c r="A115" s="7"/>
      <c r="B115" s="7">
        <v>1223</v>
      </c>
      <c r="C115" s="16">
        <v>22040305</v>
      </c>
      <c r="D115" s="17" t="s">
        <v>36</v>
      </c>
      <c r="E115" s="18" t="s">
        <v>12</v>
      </c>
      <c r="F115" s="19">
        <v>162</v>
      </c>
      <c r="G115" s="20">
        <v>120.43</v>
      </c>
      <c r="H115" s="20">
        <v>19509.23</v>
      </c>
    </row>
    <row r="116" ht="41" spans="1:8">
      <c r="A116" s="7" t="s">
        <v>478</v>
      </c>
      <c r="B116" s="7">
        <v>843</v>
      </c>
      <c r="C116" s="16">
        <v>220103090211</v>
      </c>
      <c r="D116" s="17" t="s">
        <v>479</v>
      </c>
      <c r="E116" s="18" t="s">
        <v>12</v>
      </c>
      <c r="F116" s="19">
        <v>16.48</v>
      </c>
      <c r="G116" s="20"/>
      <c r="H116" s="20">
        <f>H117+H119+H121+H122+H123</f>
        <v>93105.1248076799</v>
      </c>
    </row>
    <row r="117" spans="1:8">
      <c r="A117" s="7"/>
      <c r="B117" s="7">
        <v>844</v>
      </c>
      <c r="C117" s="16">
        <v>22010309021101</v>
      </c>
      <c r="D117" s="17" t="s">
        <v>13</v>
      </c>
      <c r="E117" s="18" t="s">
        <v>12</v>
      </c>
      <c r="F117" s="19">
        <v>16.48</v>
      </c>
      <c r="G117" s="50">
        <v>1564.51383312496</v>
      </c>
      <c r="H117" s="20">
        <f t="shared" ref="H117:H125" si="10">G117*F117</f>
        <v>25783.1879698994</v>
      </c>
    </row>
    <row r="118" spans="1:8">
      <c r="A118" s="7"/>
      <c r="B118" s="7">
        <v>845</v>
      </c>
      <c r="C118" s="16" t="s">
        <v>412</v>
      </c>
      <c r="D118" s="17" t="s">
        <v>18</v>
      </c>
      <c r="E118" s="18" t="s">
        <v>19</v>
      </c>
      <c r="F118" s="19">
        <v>10.82</v>
      </c>
      <c r="G118" s="20">
        <f>H117/F118</f>
        <v>2382.91940572083</v>
      </c>
      <c r="H118" s="20">
        <f t="shared" si="10"/>
        <v>25783.1879698994</v>
      </c>
    </row>
    <row r="119" spans="1:8">
      <c r="A119" s="7"/>
      <c r="B119" s="7">
        <v>846</v>
      </c>
      <c r="C119" s="16">
        <v>22010309021102</v>
      </c>
      <c r="D119" s="17" t="s">
        <v>20</v>
      </c>
      <c r="E119" s="18" t="s">
        <v>12</v>
      </c>
      <c r="F119" s="19">
        <v>16.48</v>
      </c>
      <c r="G119" s="50">
        <v>1367.16534114937</v>
      </c>
      <c r="H119" s="20">
        <f t="shared" si="10"/>
        <v>22530.8848221416</v>
      </c>
    </row>
    <row r="120" spans="1:8">
      <c r="A120" s="7"/>
      <c r="B120" s="7">
        <v>847</v>
      </c>
      <c r="C120" s="16" t="s">
        <v>413</v>
      </c>
      <c r="D120" s="17" t="s">
        <v>22</v>
      </c>
      <c r="E120" s="18" t="s">
        <v>12</v>
      </c>
      <c r="F120" s="19">
        <v>16.48</v>
      </c>
      <c r="G120" s="20">
        <f>H119/F120</f>
        <v>1367.16534114937</v>
      </c>
      <c r="H120" s="20">
        <f t="shared" si="10"/>
        <v>22530.8848221416</v>
      </c>
    </row>
    <row r="121" spans="1:8">
      <c r="A121" s="7"/>
      <c r="B121" s="7">
        <v>848</v>
      </c>
      <c r="C121" s="16">
        <v>22010309021103</v>
      </c>
      <c r="D121" s="17" t="s">
        <v>23</v>
      </c>
      <c r="E121" s="18" t="s">
        <v>12</v>
      </c>
      <c r="F121" s="19">
        <v>16.48</v>
      </c>
      <c r="G121" s="50">
        <v>2089.63156344418</v>
      </c>
      <c r="H121" s="20">
        <f t="shared" si="10"/>
        <v>34437.12816556</v>
      </c>
    </row>
    <row r="122" spans="1:8">
      <c r="A122" s="7"/>
      <c r="B122" s="7">
        <v>849</v>
      </c>
      <c r="C122" s="16">
        <v>22010309021104</v>
      </c>
      <c r="D122" s="17" t="s">
        <v>24</v>
      </c>
      <c r="E122" s="18" t="s">
        <v>12</v>
      </c>
      <c r="F122" s="19">
        <v>16.48</v>
      </c>
      <c r="G122" s="50">
        <v>367.343472451479</v>
      </c>
      <c r="H122" s="20">
        <f t="shared" si="10"/>
        <v>6053.82042600038</v>
      </c>
    </row>
    <row r="123" spans="1:8">
      <c r="A123" s="7"/>
      <c r="B123" s="7">
        <v>850</v>
      </c>
      <c r="C123" s="16">
        <v>22010309021105</v>
      </c>
      <c r="D123" s="17" t="s">
        <v>25</v>
      </c>
      <c r="E123" s="18" t="s">
        <v>12</v>
      </c>
      <c r="F123" s="19">
        <v>16.48</v>
      </c>
      <c r="G123" s="50">
        <v>260.928605830008</v>
      </c>
      <c r="H123" s="20">
        <f t="shared" si="10"/>
        <v>4300.10342407853</v>
      </c>
    </row>
    <row r="124" spans="1:8">
      <c r="A124" s="7"/>
      <c r="B124" s="7">
        <v>851</v>
      </c>
      <c r="C124" s="16" t="s">
        <v>414</v>
      </c>
      <c r="D124" s="17" t="s">
        <v>27</v>
      </c>
      <c r="E124" s="18" t="s">
        <v>16</v>
      </c>
      <c r="F124" s="19">
        <f>H123/G124</f>
        <v>40.5325989638847</v>
      </c>
      <c r="G124" s="20">
        <v>106.09</v>
      </c>
      <c r="H124" s="20">
        <f t="shared" si="10"/>
        <v>4300.10342407853</v>
      </c>
    </row>
    <row r="125" ht="28" spans="1:8">
      <c r="A125" s="7"/>
      <c r="B125" s="7">
        <v>852</v>
      </c>
      <c r="C125" s="16" t="s">
        <v>415</v>
      </c>
      <c r="D125" s="17" t="s">
        <v>33</v>
      </c>
      <c r="E125" s="18" t="s">
        <v>16</v>
      </c>
      <c r="F125" s="19">
        <f>H124/G125</f>
        <v>40.5287787377807</v>
      </c>
      <c r="G125" s="20">
        <v>106.1</v>
      </c>
      <c r="H125" s="20">
        <f t="shared" si="10"/>
        <v>4300.10342407853</v>
      </c>
    </row>
    <row r="126" spans="1:8">
      <c r="A126" s="7" t="s">
        <v>34</v>
      </c>
      <c r="B126" s="7">
        <v>1222</v>
      </c>
      <c r="C126" s="16">
        <v>220403</v>
      </c>
      <c r="D126" s="17" t="s">
        <v>35</v>
      </c>
      <c r="E126" s="18" t="s">
        <v>12</v>
      </c>
      <c r="F126" s="19"/>
      <c r="G126" s="20"/>
      <c r="H126" s="20">
        <v>19509.23</v>
      </c>
    </row>
    <row r="127" spans="1:8">
      <c r="A127" s="7"/>
      <c r="B127" s="7">
        <v>1223</v>
      </c>
      <c r="C127" s="16">
        <v>22040305</v>
      </c>
      <c r="D127" s="17" t="s">
        <v>36</v>
      </c>
      <c r="E127" s="18" t="s">
        <v>12</v>
      </c>
      <c r="F127" s="19">
        <v>162</v>
      </c>
      <c r="G127" s="20">
        <v>120.43</v>
      </c>
      <c r="H127" s="20">
        <v>19509.23</v>
      </c>
    </row>
    <row r="128" spans="1:8">
      <c r="A128" s="7" t="s">
        <v>480</v>
      </c>
      <c r="B128" s="7">
        <v>954</v>
      </c>
      <c r="C128" s="16">
        <v>2201031019</v>
      </c>
      <c r="D128" s="17" t="s">
        <v>481</v>
      </c>
      <c r="E128" s="18" t="s">
        <v>12</v>
      </c>
      <c r="F128" s="19">
        <v>26.63</v>
      </c>
      <c r="G128" s="20"/>
      <c r="H128" s="20">
        <f>H129+H131+H133+H134+H135</f>
        <v>121514.85278208</v>
      </c>
    </row>
    <row r="129" spans="1:8">
      <c r="A129" s="7"/>
      <c r="B129" s="7">
        <v>955</v>
      </c>
      <c r="C129" s="16">
        <v>220103101901</v>
      </c>
      <c r="D129" s="17" t="s">
        <v>13</v>
      </c>
      <c r="E129" s="18" t="s">
        <v>12</v>
      </c>
      <c r="F129" s="19">
        <v>26.63</v>
      </c>
      <c r="G129" s="50">
        <v>1185.37095124361</v>
      </c>
      <c r="H129" s="20">
        <f t="shared" ref="H129:H137" si="11">G129*F129</f>
        <v>31566.4284316174</v>
      </c>
    </row>
    <row r="130" spans="1:8">
      <c r="A130" s="7"/>
      <c r="B130" s="7">
        <v>956</v>
      </c>
      <c r="C130" s="16">
        <v>22010310190102</v>
      </c>
      <c r="D130" s="17" t="s">
        <v>18</v>
      </c>
      <c r="E130" s="18" t="s">
        <v>19</v>
      </c>
      <c r="F130" s="19">
        <v>18.07</v>
      </c>
      <c r="G130" s="20">
        <f>H129/F130</f>
        <v>1746.89698016698</v>
      </c>
      <c r="H130" s="20">
        <f t="shared" si="11"/>
        <v>31566.4284316174</v>
      </c>
    </row>
    <row r="131" spans="1:8">
      <c r="A131" s="7"/>
      <c r="B131" s="7">
        <v>957</v>
      </c>
      <c r="C131" s="16">
        <v>220103101902</v>
      </c>
      <c r="D131" s="17" t="s">
        <v>20</v>
      </c>
      <c r="E131" s="18" t="s">
        <v>12</v>
      </c>
      <c r="F131" s="19">
        <v>26.63</v>
      </c>
      <c r="G131" s="50">
        <v>1017.13375195432</v>
      </c>
      <c r="H131" s="20">
        <f t="shared" si="11"/>
        <v>27086.2718145436</v>
      </c>
    </row>
    <row r="132" spans="1:8">
      <c r="A132" s="7"/>
      <c r="B132" s="7">
        <v>958</v>
      </c>
      <c r="C132" s="16">
        <v>22010310190202</v>
      </c>
      <c r="D132" s="17" t="s">
        <v>22</v>
      </c>
      <c r="E132" s="18" t="s">
        <v>12</v>
      </c>
      <c r="F132" s="19">
        <v>26.63</v>
      </c>
      <c r="G132" s="20">
        <f>H131/F132</f>
        <v>1017.13375195432</v>
      </c>
      <c r="H132" s="20">
        <f t="shared" si="11"/>
        <v>27086.2718145436</v>
      </c>
    </row>
    <row r="133" spans="1:8">
      <c r="A133" s="7"/>
      <c r="B133" s="7">
        <v>959</v>
      </c>
      <c r="C133" s="16">
        <v>220103101903</v>
      </c>
      <c r="D133" s="17" t="s">
        <v>23</v>
      </c>
      <c r="E133" s="18" t="s">
        <v>12</v>
      </c>
      <c r="F133" s="19">
        <v>26.63</v>
      </c>
      <c r="G133" s="50">
        <v>1937.14477543806</v>
      </c>
      <c r="H133" s="20">
        <f t="shared" si="11"/>
        <v>51586.1653699155</v>
      </c>
    </row>
    <row r="134" spans="1:8">
      <c r="A134" s="7"/>
      <c r="B134" s="7">
        <v>960</v>
      </c>
      <c r="C134" s="16">
        <v>220103101904</v>
      </c>
      <c r="D134" s="17" t="s">
        <v>24</v>
      </c>
      <c r="E134" s="18" t="s">
        <v>12</v>
      </c>
      <c r="F134" s="19">
        <v>26.63</v>
      </c>
      <c r="G134" s="50">
        <v>252.837032807316</v>
      </c>
      <c r="H134" s="20">
        <f t="shared" si="11"/>
        <v>6733.05018365884</v>
      </c>
    </row>
    <row r="135" spans="1:8">
      <c r="A135" s="7"/>
      <c r="B135" s="7">
        <v>961</v>
      </c>
      <c r="C135" s="16">
        <v>220103101905</v>
      </c>
      <c r="D135" s="17" t="s">
        <v>25</v>
      </c>
      <c r="E135" s="18" t="s">
        <v>12</v>
      </c>
      <c r="F135" s="19">
        <v>26.63</v>
      </c>
      <c r="G135" s="50">
        <v>170.59470455669</v>
      </c>
      <c r="H135" s="20">
        <f t="shared" si="11"/>
        <v>4542.93698234465</v>
      </c>
    </row>
    <row r="136" spans="1:8">
      <c r="A136" s="7"/>
      <c r="B136" s="7">
        <v>962</v>
      </c>
      <c r="C136" s="16">
        <v>22010310190501</v>
      </c>
      <c r="D136" s="17" t="s">
        <v>27</v>
      </c>
      <c r="E136" s="18" t="s">
        <v>16</v>
      </c>
      <c r="F136" s="19">
        <f>H135/G136</f>
        <v>42.8134669903369</v>
      </c>
      <c r="G136" s="20">
        <v>106.11</v>
      </c>
      <c r="H136" s="20">
        <f t="shared" si="11"/>
        <v>4542.93698234465</v>
      </c>
    </row>
    <row r="137" spans="1:8">
      <c r="A137" s="7"/>
      <c r="B137" s="7">
        <v>963</v>
      </c>
      <c r="C137" s="16" t="s">
        <v>482</v>
      </c>
      <c r="D137" s="17" t="s">
        <v>33</v>
      </c>
      <c r="E137" s="18" t="s">
        <v>16</v>
      </c>
      <c r="F137" s="19">
        <f>H136/G137</f>
        <v>42.8134669903369</v>
      </c>
      <c r="G137" s="20">
        <v>106.11</v>
      </c>
      <c r="H137" s="20">
        <f t="shared" si="11"/>
        <v>4542.93698234465</v>
      </c>
    </row>
    <row r="138" ht="28" spans="1:8">
      <c r="A138" s="7" t="s">
        <v>483</v>
      </c>
      <c r="B138" s="7">
        <v>944</v>
      </c>
      <c r="C138" s="16">
        <v>2201031018</v>
      </c>
      <c r="D138" s="17" t="s">
        <v>484</v>
      </c>
      <c r="E138" s="18" t="s">
        <v>12</v>
      </c>
      <c r="F138" s="19">
        <v>32.58</v>
      </c>
      <c r="G138" s="20"/>
      <c r="H138" s="20">
        <f>H139+H141+H143+H144+H145</f>
        <v>128512.33023744</v>
      </c>
    </row>
    <row r="139" spans="1:8">
      <c r="A139" s="7"/>
      <c r="B139" s="7">
        <v>945</v>
      </c>
      <c r="C139" s="16">
        <v>220103101801</v>
      </c>
      <c r="D139" s="17" t="s">
        <v>13</v>
      </c>
      <c r="E139" s="18" t="s">
        <v>12</v>
      </c>
      <c r="F139" s="19">
        <v>32.58</v>
      </c>
      <c r="G139" s="50">
        <v>1060.25232634539</v>
      </c>
      <c r="H139" s="20">
        <f t="shared" ref="H139:H147" si="12">G139*F139</f>
        <v>34543.0207923328</v>
      </c>
    </row>
    <row r="140" spans="1:8">
      <c r="A140" s="7"/>
      <c r="B140" s="7">
        <v>946</v>
      </c>
      <c r="C140" s="16">
        <v>22010310180102</v>
      </c>
      <c r="D140" s="17" t="s">
        <v>18</v>
      </c>
      <c r="E140" s="18" t="s">
        <v>19</v>
      </c>
      <c r="F140" s="19">
        <v>19.35</v>
      </c>
      <c r="G140" s="20">
        <f>H139/F140</f>
        <v>1785.16903319549</v>
      </c>
      <c r="H140" s="20">
        <f t="shared" si="12"/>
        <v>34543.0207923328</v>
      </c>
    </row>
    <row r="141" spans="1:8">
      <c r="A141" s="7"/>
      <c r="B141" s="7">
        <v>947</v>
      </c>
      <c r="C141" s="16">
        <v>220103101802</v>
      </c>
      <c r="D141" s="17" t="s">
        <v>20</v>
      </c>
      <c r="E141" s="18" t="s">
        <v>12</v>
      </c>
      <c r="F141" s="19">
        <v>32.58</v>
      </c>
      <c r="G141" s="50">
        <v>796.563745741343</v>
      </c>
      <c r="H141" s="20">
        <f t="shared" si="12"/>
        <v>25952.046836253</v>
      </c>
    </row>
    <row r="142" spans="1:8">
      <c r="A142" s="7"/>
      <c r="B142" s="7">
        <v>948</v>
      </c>
      <c r="C142" s="16">
        <v>22010310180202</v>
      </c>
      <c r="D142" s="17" t="s">
        <v>22</v>
      </c>
      <c r="E142" s="18" t="s">
        <v>12</v>
      </c>
      <c r="F142" s="19">
        <v>32.58</v>
      </c>
      <c r="G142" s="20">
        <f>H141/F142</f>
        <v>796.563745741343</v>
      </c>
      <c r="H142" s="20">
        <f t="shared" si="12"/>
        <v>25952.046836253</v>
      </c>
    </row>
    <row r="143" spans="1:8">
      <c r="A143" s="7"/>
      <c r="B143" s="7">
        <v>949</v>
      </c>
      <c r="C143" s="16">
        <v>220103101803</v>
      </c>
      <c r="D143" s="17" t="s">
        <v>23</v>
      </c>
      <c r="E143" s="18" t="s">
        <v>12</v>
      </c>
      <c r="F143" s="19">
        <v>32.58</v>
      </c>
      <c r="G143" s="50">
        <v>1634.67515254761</v>
      </c>
      <c r="H143" s="20">
        <f t="shared" si="12"/>
        <v>53257.716470001</v>
      </c>
    </row>
    <row r="144" spans="1:8">
      <c r="A144" s="7"/>
      <c r="B144" s="7">
        <v>950</v>
      </c>
      <c r="C144" s="16">
        <v>220103101804</v>
      </c>
      <c r="D144" s="17" t="s">
        <v>24</v>
      </c>
      <c r="E144" s="18" t="s">
        <v>12</v>
      </c>
      <c r="F144" s="19">
        <v>32.58</v>
      </c>
      <c r="G144" s="50">
        <v>274.770831661326</v>
      </c>
      <c r="H144" s="20">
        <f t="shared" si="12"/>
        <v>8952.03369552599</v>
      </c>
    </row>
    <row r="145" spans="1:8">
      <c r="A145" s="7"/>
      <c r="B145" s="7">
        <v>951</v>
      </c>
      <c r="C145" s="16">
        <v>220103101805</v>
      </c>
      <c r="D145" s="17" t="s">
        <v>25</v>
      </c>
      <c r="E145" s="18" t="s">
        <v>12</v>
      </c>
      <c r="F145" s="19">
        <v>32.58</v>
      </c>
      <c r="G145" s="50">
        <v>178.253911704332</v>
      </c>
      <c r="H145" s="20">
        <f t="shared" si="12"/>
        <v>5807.51244332714</v>
      </c>
    </row>
    <row r="146" spans="1:8">
      <c r="A146" s="7"/>
      <c r="B146" s="7">
        <v>952</v>
      </c>
      <c r="C146" s="16">
        <v>22010310180501</v>
      </c>
      <c r="D146" s="17" t="s">
        <v>27</v>
      </c>
      <c r="E146" s="18" t="s">
        <v>16</v>
      </c>
      <c r="F146" s="19">
        <f>H145/G146</f>
        <v>54.7413747132354</v>
      </c>
      <c r="G146" s="20">
        <v>106.09</v>
      </c>
      <c r="H146" s="20">
        <f t="shared" si="12"/>
        <v>5807.51244332714</v>
      </c>
    </row>
    <row r="147" spans="1:8">
      <c r="A147" s="7"/>
      <c r="B147" s="7">
        <v>953</v>
      </c>
      <c r="C147" s="16" t="s">
        <v>485</v>
      </c>
      <c r="D147" s="17" t="s">
        <v>33</v>
      </c>
      <c r="E147" s="18" t="s">
        <v>16</v>
      </c>
      <c r="F147" s="19">
        <f>H146/G147</f>
        <v>54.7413747132354</v>
      </c>
      <c r="G147" s="20">
        <v>106.09</v>
      </c>
      <c r="H147" s="20">
        <f t="shared" si="12"/>
        <v>5807.51244332714</v>
      </c>
    </row>
    <row r="148" ht="28" spans="1:8">
      <c r="A148" s="7" t="s">
        <v>270</v>
      </c>
      <c r="B148" s="7">
        <v>1169</v>
      </c>
      <c r="C148" s="16">
        <v>22030321</v>
      </c>
      <c r="D148" s="17" t="s">
        <v>486</v>
      </c>
      <c r="E148" s="18" t="s">
        <v>12</v>
      </c>
      <c r="F148" s="19">
        <v>10678.6</v>
      </c>
      <c r="G148" s="20"/>
      <c r="H148" s="20">
        <f>H149+H150+H151+H152+H153+H154+H155+H156+H157+H158</f>
        <v>50482.68</v>
      </c>
    </row>
    <row r="149" spans="1:8">
      <c r="A149" s="7"/>
      <c r="B149" s="7">
        <v>1170</v>
      </c>
      <c r="C149" s="16">
        <v>2203032102</v>
      </c>
      <c r="D149" s="17" t="s">
        <v>44</v>
      </c>
      <c r="E149" s="18" t="s">
        <v>12</v>
      </c>
      <c r="F149" s="19">
        <v>3419.28</v>
      </c>
      <c r="G149" s="20">
        <v>6.15</v>
      </c>
      <c r="H149" s="20">
        <v>21041.65</v>
      </c>
    </row>
    <row r="150" spans="1:8">
      <c r="A150" s="7"/>
      <c r="B150" s="7">
        <v>1171</v>
      </c>
      <c r="C150" s="16">
        <v>2203032103</v>
      </c>
      <c r="D150" s="17" t="s">
        <v>487</v>
      </c>
      <c r="E150" s="18" t="s">
        <v>12</v>
      </c>
      <c r="F150" s="19">
        <v>547</v>
      </c>
      <c r="G150" s="20">
        <v>15.65</v>
      </c>
      <c r="H150" s="20">
        <v>8563.36</v>
      </c>
    </row>
    <row r="151" spans="1:8">
      <c r="A151" s="7"/>
      <c r="B151" s="7">
        <v>1173</v>
      </c>
      <c r="C151" s="16">
        <v>2203032105</v>
      </c>
      <c r="D151" s="17" t="s">
        <v>145</v>
      </c>
      <c r="E151" s="18" t="s">
        <v>12</v>
      </c>
      <c r="F151" s="19">
        <v>858</v>
      </c>
      <c r="G151" s="20">
        <v>9.04</v>
      </c>
      <c r="H151" s="20">
        <v>7758.41</v>
      </c>
    </row>
    <row r="152" ht="28" spans="1:8">
      <c r="A152" s="7"/>
      <c r="B152" s="7">
        <v>1174</v>
      </c>
      <c r="C152" s="16">
        <v>2203032106</v>
      </c>
      <c r="D152" s="17" t="s">
        <v>146</v>
      </c>
      <c r="E152" s="18" t="s">
        <v>12</v>
      </c>
      <c r="F152" s="19">
        <v>1539.6</v>
      </c>
      <c r="G152" s="20">
        <v>4.6</v>
      </c>
      <c r="H152" s="20">
        <v>7088.11</v>
      </c>
    </row>
    <row r="153" spans="1:8">
      <c r="A153" s="7"/>
      <c r="B153" s="7">
        <v>1175</v>
      </c>
      <c r="C153" s="16">
        <v>2203032107</v>
      </c>
      <c r="D153" s="17" t="s">
        <v>150</v>
      </c>
      <c r="E153" s="18" t="s">
        <v>12</v>
      </c>
      <c r="F153" s="19">
        <v>32.58</v>
      </c>
      <c r="G153" s="20">
        <v>10.67</v>
      </c>
      <c r="H153" s="20">
        <v>347.56</v>
      </c>
    </row>
    <row r="154" spans="1:8">
      <c r="A154" s="7"/>
      <c r="B154" s="7">
        <v>1176</v>
      </c>
      <c r="C154" s="16" t="s">
        <v>488</v>
      </c>
      <c r="D154" s="17" t="s">
        <v>147</v>
      </c>
      <c r="E154" s="18" t="s">
        <v>12</v>
      </c>
      <c r="F154" s="19">
        <v>26.63</v>
      </c>
      <c r="G154" s="20">
        <v>8.08</v>
      </c>
      <c r="H154" s="20">
        <v>215.16</v>
      </c>
    </row>
    <row r="155" spans="1:8">
      <c r="A155" s="7"/>
      <c r="B155" s="7">
        <v>1177</v>
      </c>
      <c r="C155" s="16">
        <v>2203032109</v>
      </c>
      <c r="D155" s="17" t="s">
        <v>489</v>
      </c>
      <c r="E155" s="18" t="s">
        <v>12</v>
      </c>
      <c r="F155" s="19">
        <v>26.24</v>
      </c>
      <c r="G155" s="20">
        <v>24.4</v>
      </c>
      <c r="H155" s="20">
        <v>640.2</v>
      </c>
    </row>
    <row r="156" ht="28" spans="1:8">
      <c r="A156" s="7"/>
      <c r="B156" s="7">
        <v>1178</v>
      </c>
      <c r="C156" s="16">
        <v>2203032110</v>
      </c>
      <c r="D156" s="17" t="s">
        <v>490</v>
      </c>
      <c r="E156" s="18" t="s">
        <v>12</v>
      </c>
      <c r="F156" s="19">
        <v>49.44</v>
      </c>
      <c r="G156" s="20">
        <v>21.04</v>
      </c>
      <c r="H156" s="20">
        <v>1040.42</v>
      </c>
    </row>
    <row r="157" spans="1:8">
      <c r="A157" s="7"/>
      <c r="B157" s="7">
        <v>1179</v>
      </c>
      <c r="C157" s="16">
        <v>2203032112</v>
      </c>
      <c r="D157" s="17" t="s">
        <v>491</v>
      </c>
      <c r="E157" s="18" t="s">
        <v>12</v>
      </c>
      <c r="F157" s="19">
        <v>428.22</v>
      </c>
      <c r="G157" s="20">
        <v>7.4</v>
      </c>
      <c r="H157" s="20">
        <v>3166.41</v>
      </c>
    </row>
    <row r="158" spans="1:8">
      <c r="A158" s="7"/>
      <c r="B158" s="7">
        <v>1180</v>
      </c>
      <c r="C158" s="16">
        <v>2203032113</v>
      </c>
      <c r="D158" s="17" t="s">
        <v>492</v>
      </c>
      <c r="E158" s="18" t="s">
        <v>12</v>
      </c>
      <c r="F158" s="19">
        <v>80.11</v>
      </c>
      <c r="G158" s="20">
        <v>7.76</v>
      </c>
      <c r="H158" s="20">
        <v>621.4</v>
      </c>
    </row>
    <row r="159" ht="28" spans="1:8">
      <c r="A159" s="7" t="s">
        <v>493</v>
      </c>
      <c r="B159" s="7">
        <v>1088</v>
      </c>
      <c r="C159" s="16">
        <v>22030121</v>
      </c>
      <c r="D159" s="17" t="s">
        <v>494</v>
      </c>
      <c r="E159" s="18" t="s">
        <v>12</v>
      </c>
      <c r="F159" s="19">
        <v>11857.93</v>
      </c>
      <c r="G159" s="20"/>
      <c r="H159" s="20">
        <f>H160+H161+H162+H163+H164+H165+H166</f>
        <v>500539.29</v>
      </c>
    </row>
    <row r="160" spans="1:8">
      <c r="A160" s="7"/>
      <c r="B160" s="7">
        <v>1089</v>
      </c>
      <c r="C160" s="16">
        <v>2203012102</v>
      </c>
      <c r="D160" s="17" t="s">
        <v>44</v>
      </c>
      <c r="E160" s="18" t="s">
        <v>12</v>
      </c>
      <c r="F160" s="19">
        <v>3419.28</v>
      </c>
      <c r="G160" s="20">
        <v>95.82</v>
      </c>
      <c r="H160" s="20">
        <v>327634.39</v>
      </c>
    </row>
    <row r="161" spans="1:8">
      <c r="A161" s="7"/>
      <c r="B161" s="7">
        <v>1090</v>
      </c>
      <c r="C161" s="16">
        <v>2203012103</v>
      </c>
      <c r="D161" s="17" t="s">
        <v>487</v>
      </c>
      <c r="E161" s="18" t="s">
        <v>12</v>
      </c>
      <c r="F161" s="19">
        <v>547</v>
      </c>
      <c r="G161" s="20">
        <v>17.89</v>
      </c>
      <c r="H161" s="20">
        <v>9785.83</v>
      </c>
    </row>
    <row r="162" spans="1:8">
      <c r="A162" s="7"/>
      <c r="B162" s="7">
        <v>1092</v>
      </c>
      <c r="C162" s="16">
        <v>2203012105</v>
      </c>
      <c r="D162" s="17" t="s">
        <v>145</v>
      </c>
      <c r="E162" s="18" t="s">
        <v>12</v>
      </c>
      <c r="F162" s="19">
        <v>858</v>
      </c>
      <c r="G162" s="20">
        <v>28.93</v>
      </c>
      <c r="H162" s="20">
        <v>24818.17</v>
      </c>
    </row>
    <row r="163" ht="28" spans="1:8">
      <c r="A163" s="7"/>
      <c r="B163" s="7">
        <v>1093</v>
      </c>
      <c r="C163" s="16">
        <v>2203012106</v>
      </c>
      <c r="D163" s="17" t="s">
        <v>146</v>
      </c>
      <c r="E163" s="18" t="s">
        <v>12</v>
      </c>
      <c r="F163" s="19">
        <v>1539.6</v>
      </c>
      <c r="G163" s="20">
        <v>48.4</v>
      </c>
      <c r="H163" s="20">
        <v>74508.66</v>
      </c>
    </row>
    <row r="164" spans="1:8">
      <c r="A164" s="7"/>
      <c r="B164" s="7">
        <v>1094</v>
      </c>
      <c r="C164" s="16" t="s">
        <v>495</v>
      </c>
      <c r="D164" s="17" t="s">
        <v>147</v>
      </c>
      <c r="E164" s="18" t="s">
        <v>12</v>
      </c>
      <c r="F164" s="19">
        <v>26.63</v>
      </c>
      <c r="G164" s="20">
        <v>119.38</v>
      </c>
      <c r="H164" s="20">
        <v>3179.19</v>
      </c>
    </row>
    <row r="165" spans="1:8">
      <c r="A165" s="7"/>
      <c r="B165" s="7">
        <v>1095</v>
      </c>
      <c r="C165" s="16">
        <v>2203012111</v>
      </c>
      <c r="D165" s="17" t="s">
        <v>496</v>
      </c>
      <c r="E165" s="18" t="s">
        <v>12</v>
      </c>
      <c r="F165" s="19">
        <v>1367.7</v>
      </c>
      <c r="G165" s="20">
        <v>43.89</v>
      </c>
      <c r="H165" s="20">
        <v>60027.01</v>
      </c>
    </row>
    <row r="166" spans="1:8">
      <c r="A166" s="7"/>
      <c r="B166" s="7">
        <v>1096</v>
      </c>
      <c r="C166" s="16">
        <v>2203012112</v>
      </c>
      <c r="D166" s="17" t="s">
        <v>491</v>
      </c>
      <c r="E166" s="18" t="s">
        <v>12</v>
      </c>
      <c r="F166" s="19">
        <v>428.22</v>
      </c>
      <c r="G166" s="20">
        <v>1.37</v>
      </c>
      <c r="H166" s="20">
        <v>586.04</v>
      </c>
    </row>
    <row r="167" spans="1:8">
      <c r="A167" s="7" t="s">
        <v>268</v>
      </c>
      <c r="B167" s="7">
        <v>1129</v>
      </c>
      <c r="C167" s="16">
        <v>22030221</v>
      </c>
      <c r="D167" s="17" t="s">
        <v>497</v>
      </c>
      <c r="E167" s="18" t="s">
        <v>12</v>
      </c>
      <c r="F167" s="19">
        <v>9052.59</v>
      </c>
      <c r="G167" s="20"/>
      <c r="H167" s="20">
        <f>H168+H169+H170+H171+H172+H173</f>
        <v>1371427.89</v>
      </c>
    </row>
    <row r="168" spans="1:8">
      <c r="A168" s="7"/>
      <c r="B168" s="7">
        <v>1130</v>
      </c>
      <c r="C168" s="16">
        <v>2203022102</v>
      </c>
      <c r="D168" s="17" t="s">
        <v>44</v>
      </c>
      <c r="E168" s="18" t="s">
        <v>12</v>
      </c>
      <c r="F168" s="19">
        <v>3419.28</v>
      </c>
      <c r="G168" s="20">
        <v>186.144273929127</v>
      </c>
      <c r="H168" s="20">
        <f t="shared" ref="H168:H173" si="13">G168*F168</f>
        <v>636479.392960385</v>
      </c>
    </row>
    <row r="169" spans="1:8">
      <c r="A169" s="7"/>
      <c r="B169" s="7">
        <v>1131</v>
      </c>
      <c r="C169" s="16">
        <v>2203022103</v>
      </c>
      <c r="D169" s="17" t="s">
        <v>487</v>
      </c>
      <c r="E169" s="18" t="s">
        <v>12</v>
      </c>
      <c r="F169" s="19">
        <v>547</v>
      </c>
      <c r="G169" s="20">
        <v>274.868330563789</v>
      </c>
      <c r="H169" s="20">
        <f t="shared" si="13"/>
        <v>150352.976818393</v>
      </c>
    </row>
    <row r="170" spans="1:8">
      <c r="A170" s="7"/>
      <c r="B170" s="7">
        <v>1132</v>
      </c>
      <c r="C170" s="16">
        <v>2203022105</v>
      </c>
      <c r="D170" s="17" t="s">
        <v>145</v>
      </c>
      <c r="E170" s="18" t="s">
        <v>12</v>
      </c>
      <c r="F170" s="19">
        <v>858</v>
      </c>
      <c r="G170" s="20">
        <v>315.341359848186</v>
      </c>
      <c r="H170" s="20">
        <f t="shared" si="13"/>
        <v>270562.886749744</v>
      </c>
    </row>
    <row r="171" ht="28" spans="1:8">
      <c r="A171" s="7"/>
      <c r="B171" s="7">
        <v>1133</v>
      </c>
      <c r="C171" s="16">
        <v>2203022106</v>
      </c>
      <c r="D171" s="17" t="s">
        <v>146</v>
      </c>
      <c r="E171" s="18" t="s">
        <v>12</v>
      </c>
      <c r="F171" s="19">
        <v>1539.6</v>
      </c>
      <c r="G171" s="20">
        <v>189.700834781497</v>
      </c>
      <c r="H171" s="20">
        <f t="shared" si="13"/>
        <v>292063.405229593</v>
      </c>
    </row>
    <row r="172" spans="1:8">
      <c r="A172" s="7"/>
      <c r="B172" s="7">
        <v>1134</v>
      </c>
      <c r="C172" s="16">
        <v>2203022107</v>
      </c>
      <c r="D172" s="17" t="s">
        <v>150</v>
      </c>
      <c r="E172" s="18" t="s">
        <v>12</v>
      </c>
      <c r="F172" s="19">
        <v>32.58</v>
      </c>
      <c r="G172" s="20">
        <v>336.427438729601</v>
      </c>
      <c r="H172" s="20">
        <f t="shared" si="13"/>
        <v>10960.8059538104</v>
      </c>
    </row>
    <row r="173" spans="1:8">
      <c r="A173" s="7"/>
      <c r="B173" s="7">
        <v>1135</v>
      </c>
      <c r="C173" s="16" t="s">
        <v>498</v>
      </c>
      <c r="D173" s="17" t="s">
        <v>147</v>
      </c>
      <c r="E173" s="18" t="s">
        <v>12</v>
      </c>
      <c r="F173" s="19">
        <v>26.63</v>
      </c>
      <c r="G173" s="20">
        <v>413.384239131641</v>
      </c>
      <c r="H173" s="20">
        <f t="shared" si="13"/>
        <v>11008.4222880756</v>
      </c>
    </row>
    <row r="174" spans="1:8">
      <c r="A174" s="7" t="s">
        <v>499</v>
      </c>
      <c r="B174" s="7">
        <v>709</v>
      </c>
      <c r="C174" s="16">
        <v>2201030611</v>
      </c>
      <c r="D174" s="17" t="s">
        <v>500</v>
      </c>
      <c r="E174" s="18" t="s">
        <v>12</v>
      </c>
      <c r="F174" s="19">
        <v>756.88</v>
      </c>
      <c r="G174" s="20"/>
      <c r="H174" s="20">
        <f>H175+H177+H179+H180+H181</f>
        <v>2226684.33326592</v>
      </c>
    </row>
    <row r="175" spans="1:8">
      <c r="A175" s="7"/>
      <c r="B175" s="7">
        <v>710</v>
      </c>
      <c r="C175" s="16">
        <v>220103061101</v>
      </c>
      <c r="D175" s="17" t="s">
        <v>13</v>
      </c>
      <c r="E175" s="18" t="s">
        <v>12</v>
      </c>
      <c r="F175" s="19">
        <v>756.88</v>
      </c>
      <c r="G175" s="50">
        <v>1095.22669800916</v>
      </c>
      <c r="H175" s="20">
        <f t="shared" ref="H175:H183" si="14">G175*F175</f>
        <v>828955.183189172</v>
      </c>
    </row>
    <row r="176" spans="1:8">
      <c r="A176" s="7"/>
      <c r="B176" s="7">
        <v>711</v>
      </c>
      <c r="C176" s="16">
        <v>22010306110102</v>
      </c>
      <c r="D176" s="17" t="s">
        <v>18</v>
      </c>
      <c r="E176" s="18" t="s">
        <v>19</v>
      </c>
      <c r="F176" s="19">
        <v>521.91</v>
      </c>
      <c r="G176" s="20">
        <f>H175/F176</f>
        <v>1588.31059605904</v>
      </c>
      <c r="H176" s="20">
        <f t="shared" si="14"/>
        <v>828955.183189172</v>
      </c>
    </row>
    <row r="177" spans="1:8">
      <c r="A177" s="7"/>
      <c r="B177" s="7">
        <v>712</v>
      </c>
      <c r="C177" s="16">
        <v>220103061102</v>
      </c>
      <c r="D177" s="17" t="s">
        <v>20</v>
      </c>
      <c r="E177" s="18" t="s">
        <v>12</v>
      </c>
      <c r="F177" s="19">
        <v>756.88</v>
      </c>
      <c r="G177" s="50">
        <v>660.376411483777</v>
      </c>
      <c r="H177" s="20">
        <f t="shared" si="14"/>
        <v>499825.698323841</v>
      </c>
    </row>
    <row r="178" spans="1:8">
      <c r="A178" s="7"/>
      <c r="B178" s="7">
        <v>713</v>
      </c>
      <c r="C178" s="16">
        <v>22010306110202</v>
      </c>
      <c r="D178" s="17" t="s">
        <v>22</v>
      </c>
      <c r="E178" s="18" t="s">
        <v>12</v>
      </c>
      <c r="F178" s="19">
        <v>756.88</v>
      </c>
      <c r="G178" s="20">
        <f>H177/F178</f>
        <v>660.376411483777</v>
      </c>
      <c r="H178" s="20">
        <f t="shared" si="14"/>
        <v>499825.698323841</v>
      </c>
    </row>
    <row r="179" spans="1:8">
      <c r="A179" s="7"/>
      <c r="B179" s="7">
        <v>714</v>
      </c>
      <c r="C179" s="16">
        <v>220103061103</v>
      </c>
      <c r="D179" s="17" t="s">
        <v>23</v>
      </c>
      <c r="E179" s="18" t="s">
        <v>12</v>
      </c>
      <c r="F179" s="19">
        <v>756.88</v>
      </c>
      <c r="G179" s="50">
        <v>674.008183895429</v>
      </c>
      <c r="H179" s="20">
        <f t="shared" si="14"/>
        <v>510143.314226772</v>
      </c>
    </row>
    <row r="180" spans="1:8">
      <c r="A180" s="7"/>
      <c r="B180" s="7">
        <v>715</v>
      </c>
      <c r="C180" s="16">
        <v>220103061104</v>
      </c>
      <c r="D180" s="17" t="s">
        <v>24</v>
      </c>
      <c r="E180" s="18" t="s">
        <v>12</v>
      </c>
      <c r="F180" s="19">
        <v>756.88</v>
      </c>
      <c r="G180" s="50">
        <v>255.652667328778</v>
      </c>
      <c r="H180" s="20">
        <f t="shared" si="14"/>
        <v>193498.390847805</v>
      </c>
    </row>
    <row r="181" spans="1:8">
      <c r="A181" s="7"/>
      <c r="B181" s="7">
        <v>716</v>
      </c>
      <c r="C181" s="16">
        <v>220103061105</v>
      </c>
      <c r="D181" s="17" t="s">
        <v>25</v>
      </c>
      <c r="E181" s="18" t="s">
        <v>12</v>
      </c>
      <c r="F181" s="19">
        <v>756.88</v>
      </c>
      <c r="G181" s="50">
        <v>256.661223282861</v>
      </c>
      <c r="H181" s="20">
        <f t="shared" si="14"/>
        <v>194261.746678332</v>
      </c>
    </row>
    <row r="182" spans="1:8">
      <c r="A182" s="7"/>
      <c r="B182" s="7">
        <v>717</v>
      </c>
      <c r="C182" s="16">
        <v>22010306110501</v>
      </c>
      <c r="D182" s="17" t="s">
        <v>27</v>
      </c>
      <c r="E182" s="18" t="s">
        <v>16</v>
      </c>
      <c r="F182" s="19">
        <f>H181/G182</f>
        <v>1830.93069442349</v>
      </c>
      <c r="G182" s="20">
        <v>106.1</v>
      </c>
      <c r="H182" s="20">
        <f t="shared" si="14"/>
        <v>194261.746678332</v>
      </c>
    </row>
    <row r="183" spans="1:8">
      <c r="A183" s="7"/>
      <c r="B183" s="7">
        <v>718</v>
      </c>
      <c r="C183" s="17" t="s">
        <v>501</v>
      </c>
      <c r="D183" s="17" t="s">
        <v>33</v>
      </c>
      <c r="E183" s="18" t="s">
        <v>16</v>
      </c>
      <c r="F183" s="19">
        <f>H182/G183</f>
        <v>1830.93069442349</v>
      </c>
      <c r="G183" s="20">
        <v>106.1</v>
      </c>
      <c r="H183" s="20">
        <f t="shared" si="14"/>
        <v>194261.746678332</v>
      </c>
    </row>
    <row r="184" spans="1:8">
      <c r="A184" s="7" t="s">
        <v>502</v>
      </c>
      <c r="B184" s="7">
        <v>794</v>
      </c>
      <c r="C184" s="16">
        <v>2201030713</v>
      </c>
      <c r="D184" s="17" t="s">
        <v>503</v>
      </c>
      <c r="E184" s="18" t="s">
        <v>12</v>
      </c>
      <c r="F184" s="19">
        <v>54.17</v>
      </c>
      <c r="G184" s="20"/>
      <c r="H184" s="20">
        <f>H185+H188+H190+H191+H192</f>
        <v>275572.3152528</v>
      </c>
    </row>
    <row r="185" spans="1:8">
      <c r="A185" s="7"/>
      <c r="B185" s="7">
        <v>795</v>
      </c>
      <c r="C185" s="16">
        <v>220103071301</v>
      </c>
      <c r="D185" s="17" t="s">
        <v>13</v>
      </c>
      <c r="E185" s="18" t="s">
        <v>12</v>
      </c>
      <c r="F185" s="19">
        <v>54.17</v>
      </c>
      <c r="G185" s="50">
        <v>863.496633574642</v>
      </c>
      <c r="H185" s="20">
        <f t="shared" ref="H185:H195" si="15">G185*F185</f>
        <v>46775.6126407383</v>
      </c>
    </row>
    <row r="186" spans="1:8">
      <c r="A186" s="7"/>
      <c r="B186" s="7">
        <v>796</v>
      </c>
      <c r="C186" s="16">
        <v>22010307130101</v>
      </c>
      <c r="D186" s="17" t="s">
        <v>15</v>
      </c>
      <c r="E186" s="18" t="s">
        <v>16</v>
      </c>
      <c r="F186" s="19">
        <v>0.84</v>
      </c>
      <c r="G186" s="20">
        <f>H186/F186</f>
        <v>-777.937332454366</v>
      </c>
      <c r="H186" s="20">
        <f>H185-H187</f>
        <v>-653.467359261667</v>
      </c>
    </row>
    <row r="187" spans="1:8">
      <c r="A187" s="7"/>
      <c r="B187" s="7">
        <v>797</v>
      </c>
      <c r="C187" s="16">
        <v>22010307130102</v>
      </c>
      <c r="D187" s="17" t="s">
        <v>18</v>
      </c>
      <c r="E187" s="18" t="s">
        <v>19</v>
      </c>
      <c r="F187" s="19">
        <v>33.59</v>
      </c>
      <c r="G187" s="20">
        <v>1412</v>
      </c>
      <c r="H187" s="20">
        <f t="shared" si="15"/>
        <v>47429.08</v>
      </c>
    </row>
    <row r="188" spans="1:8">
      <c r="A188" s="7"/>
      <c r="B188" s="7">
        <v>798</v>
      </c>
      <c r="C188" s="16">
        <v>220103071302</v>
      </c>
      <c r="D188" s="17" t="s">
        <v>20</v>
      </c>
      <c r="E188" s="18" t="s">
        <v>12</v>
      </c>
      <c r="F188" s="19">
        <v>54.17</v>
      </c>
      <c r="G188" s="50">
        <v>1291.39399850255</v>
      </c>
      <c r="H188" s="20">
        <f t="shared" si="15"/>
        <v>69954.8128988831</v>
      </c>
    </row>
    <row r="189" spans="1:8">
      <c r="A189" s="7"/>
      <c r="B189" s="7">
        <v>799</v>
      </c>
      <c r="C189" s="16">
        <v>22010307130202</v>
      </c>
      <c r="D189" s="17" t="s">
        <v>22</v>
      </c>
      <c r="E189" s="18" t="s">
        <v>12</v>
      </c>
      <c r="F189" s="19">
        <v>54.17</v>
      </c>
      <c r="G189" s="20">
        <f>H188/F189</f>
        <v>1291.39399850255</v>
      </c>
      <c r="H189" s="20">
        <f t="shared" si="15"/>
        <v>69954.8128988831</v>
      </c>
    </row>
    <row r="190" spans="1:8">
      <c r="A190" s="7"/>
      <c r="B190" s="7">
        <v>800</v>
      </c>
      <c r="C190" s="16">
        <v>220103071303</v>
      </c>
      <c r="D190" s="17" t="s">
        <v>23</v>
      </c>
      <c r="E190" s="18" t="s">
        <v>12</v>
      </c>
      <c r="F190" s="19">
        <v>54.17</v>
      </c>
      <c r="G190" s="50">
        <v>1693.69715349569</v>
      </c>
      <c r="H190" s="20">
        <f t="shared" si="15"/>
        <v>91747.5748048617</v>
      </c>
    </row>
    <row r="191" spans="1:8">
      <c r="A191" s="7"/>
      <c r="B191" s="7">
        <v>801</v>
      </c>
      <c r="C191" s="16">
        <v>220103071304</v>
      </c>
      <c r="D191" s="17" t="s">
        <v>24</v>
      </c>
      <c r="E191" s="18" t="s">
        <v>12</v>
      </c>
      <c r="F191" s="19">
        <v>54.17</v>
      </c>
      <c r="G191" s="50">
        <v>246.747096361888</v>
      </c>
      <c r="H191" s="20">
        <f t="shared" si="15"/>
        <v>13366.2902099235</v>
      </c>
    </row>
    <row r="192" spans="1:8">
      <c r="A192" s="7"/>
      <c r="B192" s="7">
        <v>802</v>
      </c>
      <c r="C192" s="16">
        <v>220103071305</v>
      </c>
      <c r="D192" s="17" t="s">
        <v>25</v>
      </c>
      <c r="E192" s="18" t="s">
        <v>12</v>
      </c>
      <c r="F192" s="19">
        <v>54.17</v>
      </c>
      <c r="G192" s="50">
        <v>991.840958065229</v>
      </c>
      <c r="H192" s="20">
        <f t="shared" si="15"/>
        <v>53728.0246983934</v>
      </c>
    </row>
    <row r="193" spans="1:8">
      <c r="A193" s="7"/>
      <c r="B193" s="7">
        <v>803</v>
      </c>
      <c r="C193" s="16">
        <v>22010307130501</v>
      </c>
      <c r="D193" s="17" t="s">
        <v>27</v>
      </c>
      <c r="E193" s="18" t="s">
        <v>16</v>
      </c>
      <c r="F193" s="19">
        <v>392.59</v>
      </c>
      <c r="G193" s="20">
        <v>109.99</v>
      </c>
      <c r="H193" s="20">
        <f t="shared" si="15"/>
        <v>43180.9741</v>
      </c>
    </row>
    <row r="194" spans="1:8">
      <c r="A194" s="7"/>
      <c r="B194" s="7">
        <v>804</v>
      </c>
      <c r="C194" s="16" t="s">
        <v>504</v>
      </c>
      <c r="D194" s="17" t="s">
        <v>29</v>
      </c>
      <c r="E194" s="18" t="s">
        <v>16</v>
      </c>
      <c r="F194" s="19">
        <v>18.59</v>
      </c>
      <c r="G194" s="20">
        <v>188.34</v>
      </c>
      <c r="H194" s="20">
        <f t="shared" si="15"/>
        <v>3501.2406</v>
      </c>
    </row>
    <row r="195" ht="28" spans="1:8">
      <c r="A195" s="7"/>
      <c r="B195" s="7">
        <v>805</v>
      </c>
      <c r="C195" s="16" t="s">
        <v>505</v>
      </c>
      <c r="D195" s="17" t="s">
        <v>31</v>
      </c>
      <c r="E195" s="18" t="s">
        <v>16</v>
      </c>
      <c r="F195" s="19">
        <v>18.59</v>
      </c>
      <c r="G195" s="20">
        <v>188.34</v>
      </c>
      <c r="H195" s="20">
        <f t="shared" si="15"/>
        <v>3501.2406</v>
      </c>
    </row>
    <row r="196" spans="1:8">
      <c r="A196" s="7"/>
      <c r="B196" s="7">
        <v>806</v>
      </c>
      <c r="C196" s="16" t="s">
        <v>506</v>
      </c>
      <c r="D196" s="17" t="s">
        <v>33</v>
      </c>
      <c r="E196" s="18" t="s">
        <v>16</v>
      </c>
      <c r="F196" s="19">
        <f>H196/G196</f>
        <v>373.984293119698</v>
      </c>
      <c r="G196" s="20">
        <v>106.1</v>
      </c>
      <c r="H196" s="20">
        <f>H193-H195</f>
        <v>39679.7335</v>
      </c>
    </row>
    <row r="197" spans="1:8">
      <c r="A197" s="7" t="s">
        <v>167</v>
      </c>
      <c r="B197" s="7">
        <v>1099</v>
      </c>
      <c r="C197" s="16">
        <v>22030123</v>
      </c>
      <c r="D197" s="17" t="s">
        <v>168</v>
      </c>
      <c r="E197" s="18" t="s">
        <v>12</v>
      </c>
      <c r="F197" s="19">
        <f>F198+F199</f>
        <v>811.05</v>
      </c>
      <c r="G197" s="20"/>
      <c r="H197" s="20">
        <v>7593.65</v>
      </c>
    </row>
    <row r="198" spans="1:8">
      <c r="A198" s="7"/>
      <c r="B198" s="7">
        <v>1100</v>
      </c>
      <c r="C198" s="16">
        <v>2203012302</v>
      </c>
      <c r="D198" s="17" t="s">
        <v>169</v>
      </c>
      <c r="E198" s="18" t="s">
        <v>12</v>
      </c>
      <c r="F198" s="19">
        <v>756.88</v>
      </c>
      <c r="G198" s="20">
        <v>9.71</v>
      </c>
      <c r="H198" s="20">
        <v>7350.66</v>
      </c>
    </row>
    <row r="199" spans="1:8">
      <c r="A199" s="7"/>
      <c r="B199" s="7">
        <v>1101</v>
      </c>
      <c r="C199" s="16">
        <v>2203012304</v>
      </c>
      <c r="D199" s="17" t="s">
        <v>170</v>
      </c>
      <c r="E199" s="18" t="s">
        <v>12</v>
      </c>
      <c r="F199" s="19">
        <v>54.17</v>
      </c>
      <c r="G199" s="20">
        <v>4.49</v>
      </c>
      <c r="H199" s="20">
        <v>242.99</v>
      </c>
    </row>
    <row r="200" spans="1:8">
      <c r="A200" s="7" t="s">
        <v>171</v>
      </c>
      <c r="B200" s="7">
        <v>1183</v>
      </c>
      <c r="C200" s="16">
        <v>22030323</v>
      </c>
      <c r="D200" s="17" t="s">
        <v>59</v>
      </c>
      <c r="E200" s="18" t="s">
        <v>12</v>
      </c>
      <c r="F200" s="37">
        <f>F201+F202</f>
        <v>811.05</v>
      </c>
      <c r="G200" s="20"/>
      <c r="H200" s="20">
        <v>12409.08</v>
      </c>
    </row>
    <row r="201" spans="1:8">
      <c r="A201" s="7"/>
      <c r="B201" s="7">
        <v>1184</v>
      </c>
      <c r="C201" s="16">
        <v>2203032302</v>
      </c>
      <c r="D201" s="17" t="s">
        <v>169</v>
      </c>
      <c r="E201" s="18" t="s">
        <v>12</v>
      </c>
      <c r="F201" s="19">
        <v>756.88</v>
      </c>
      <c r="G201" s="20">
        <v>15.9</v>
      </c>
      <c r="H201" s="20">
        <v>12031.43</v>
      </c>
    </row>
    <row r="202" spans="1:8">
      <c r="A202" s="7"/>
      <c r="B202" s="7">
        <v>1186</v>
      </c>
      <c r="C202" s="16">
        <v>2203032304</v>
      </c>
      <c r="D202" s="17" t="s">
        <v>170</v>
      </c>
      <c r="E202" s="18" t="s">
        <v>12</v>
      </c>
      <c r="F202" s="19">
        <v>54.17</v>
      </c>
      <c r="G202" s="20">
        <v>6.97</v>
      </c>
      <c r="H202" s="20">
        <v>377.65</v>
      </c>
    </row>
    <row r="203" spans="1:8">
      <c r="A203" s="51" t="s">
        <v>507</v>
      </c>
      <c r="B203" s="52"/>
      <c r="C203" s="52"/>
      <c r="D203" s="52"/>
      <c r="E203" s="52"/>
      <c r="F203" s="52"/>
      <c r="G203" s="53"/>
      <c r="H203" s="54"/>
    </row>
    <row r="204" spans="1:8">
      <c r="A204" s="52"/>
      <c r="B204" s="52"/>
      <c r="C204" s="52"/>
      <c r="D204" s="52"/>
      <c r="E204" s="52"/>
      <c r="F204" s="52"/>
      <c r="G204" s="53"/>
      <c r="H204" s="54"/>
    </row>
    <row r="205" spans="1:8">
      <c r="A205" s="52"/>
      <c r="B205" s="52"/>
      <c r="C205" s="52"/>
      <c r="D205" s="52"/>
      <c r="E205" s="52"/>
      <c r="F205" s="52"/>
      <c r="G205" s="53"/>
      <c r="H205" s="54"/>
    </row>
    <row r="206" spans="1:8">
      <c r="A206" s="52"/>
      <c r="B206" s="52"/>
      <c r="C206" s="52"/>
      <c r="D206" s="52"/>
      <c r="E206" s="52"/>
      <c r="F206" s="52"/>
      <c r="G206" s="53"/>
      <c r="H206" s="54"/>
    </row>
    <row r="207" spans="1:8">
      <c r="A207" s="52"/>
      <c r="B207" s="52"/>
      <c r="C207" s="52"/>
      <c r="D207" s="52"/>
      <c r="E207" s="52"/>
      <c r="F207" s="52"/>
      <c r="G207" s="53"/>
      <c r="H207" s="54"/>
    </row>
    <row r="208" spans="1:8">
      <c r="A208" s="52"/>
      <c r="B208" s="52"/>
      <c r="C208" s="52"/>
      <c r="D208" s="52"/>
      <c r="E208" s="52"/>
      <c r="F208" s="52"/>
      <c r="G208" s="53"/>
      <c r="H208" s="54"/>
    </row>
    <row r="209" spans="1:8">
      <c r="A209" s="52"/>
      <c r="B209" s="52"/>
      <c r="C209" s="52"/>
      <c r="D209" s="52"/>
      <c r="E209" s="52"/>
      <c r="F209" s="52"/>
      <c r="G209" s="53"/>
      <c r="H209" s="54"/>
    </row>
    <row r="210" spans="1:8">
      <c r="A210" s="52"/>
      <c r="B210" s="52"/>
      <c r="C210" s="52"/>
      <c r="D210" s="52"/>
      <c r="E210" s="52"/>
      <c r="F210" s="52"/>
      <c r="G210" s="53"/>
      <c r="H210" s="54"/>
    </row>
    <row r="211" spans="1:8">
      <c r="A211" s="55" t="s">
        <v>172</v>
      </c>
      <c r="B211" s="56"/>
      <c r="C211" s="56"/>
      <c r="D211" s="56"/>
      <c r="E211" s="56"/>
      <c r="F211" s="56"/>
      <c r="G211" s="57"/>
      <c r="H211" s="58"/>
    </row>
    <row r="212" spans="1:8">
      <c r="A212" s="31" t="s">
        <v>1</v>
      </c>
      <c r="B212" s="31" t="s">
        <v>173</v>
      </c>
      <c r="C212" s="31" t="s">
        <v>174</v>
      </c>
      <c r="D212" s="31" t="s">
        <v>175</v>
      </c>
      <c r="E212" s="31" t="s">
        <v>176</v>
      </c>
      <c r="F212" s="33" t="s">
        <v>177</v>
      </c>
      <c r="G212" s="34" t="s">
        <v>7</v>
      </c>
      <c r="H212" s="34"/>
    </row>
    <row r="213" ht="17" spans="1:8">
      <c r="A213" s="31"/>
      <c r="B213" s="31"/>
      <c r="C213" s="31"/>
      <c r="D213" s="31"/>
      <c r="E213" s="31"/>
      <c r="F213" s="33"/>
      <c r="G213" s="32" t="s">
        <v>178</v>
      </c>
      <c r="H213" s="32" t="s">
        <v>179</v>
      </c>
    </row>
    <row r="214" spans="1:8">
      <c r="A214" s="7"/>
      <c r="B214" s="7"/>
      <c r="C214" s="16"/>
      <c r="D214" s="17"/>
      <c r="E214" s="18"/>
      <c r="F214" s="19"/>
      <c r="G214" s="20"/>
      <c r="H214" s="33">
        <v>6603948.4788</v>
      </c>
    </row>
    <row r="215" spans="1:8">
      <c r="A215" s="7" t="s">
        <v>508</v>
      </c>
      <c r="B215" s="7">
        <v>1230</v>
      </c>
      <c r="C215" s="16">
        <v>23</v>
      </c>
      <c r="D215" s="17" t="s">
        <v>181</v>
      </c>
      <c r="E215" s="38" t="s">
        <v>182</v>
      </c>
      <c r="F215" s="39"/>
      <c r="G215" s="20"/>
      <c r="H215" s="20">
        <v>846888.6312</v>
      </c>
    </row>
    <row r="216" spans="1:8">
      <c r="A216" s="7"/>
      <c r="B216" s="7">
        <v>1231</v>
      </c>
      <c r="C216" s="16">
        <v>2301</v>
      </c>
      <c r="D216" s="17" t="s">
        <v>183</v>
      </c>
      <c r="E216" s="18" t="s">
        <v>184</v>
      </c>
      <c r="F216" s="40"/>
      <c r="G216" s="20"/>
      <c r="H216" s="20">
        <v>724439.1384</v>
      </c>
    </row>
    <row r="217" spans="1:8">
      <c r="A217" s="7"/>
      <c r="B217" s="7">
        <v>1232</v>
      </c>
      <c r="C217" s="41"/>
      <c r="D217" s="17" t="s">
        <v>185</v>
      </c>
      <c r="E217" s="18" t="s">
        <v>184</v>
      </c>
      <c r="F217" s="40"/>
      <c r="G217" s="20"/>
      <c r="H217" s="20">
        <v>712380.7008</v>
      </c>
    </row>
    <row r="218" spans="1:8">
      <c r="A218" s="7"/>
      <c r="B218" s="7">
        <v>1236</v>
      </c>
      <c r="C218" s="16">
        <v>230102</v>
      </c>
      <c r="D218" s="17" t="s">
        <v>186</v>
      </c>
      <c r="E218" s="18" t="s">
        <v>187</v>
      </c>
      <c r="F218" s="37"/>
      <c r="G218" s="20"/>
      <c r="H218" s="20">
        <v>712380.7008</v>
      </c>
    </row>
    <row r="219" spans="1:8">
      <c r="A219" s="7"/>
      <c r="B219" s="7">
        <v>1238</v>
      </c>
      <c r="C219" s="16">
        <v>23010202</v>
      </c>
      <c r="D219" s="17" t="s">
        <v>207</v>
      </c>
      <c r="E219" s="18" t="s">
        <v>187</v>
      </c>
      <c r="F219" s="37">
        <v>992</v>
      </c>
      <c r="G219" s="20"/>
      <c r="H219" s="20">
        <v>570591.27</v>
      </c>
    </row>
    <row r="220" spans="1:8">
      <c r="A220" s="7"/>
      <c r="B220" s="7">
        <v>1239</v>
      </c>
      <c r="C220" s="16">
        <v>23010204</v>
      </c>
      <c r="D220" s="17" t="s">
        <v>188</v>
      </c>
      <c r="E220" s="18" t="s">
        <v>187</v>
      </c>
      <c r="F220" s="37">
        <v>247</v>
      </c>
      <c r="G220" s="20"/>
      <c r="H220" s="20">
        <v>141789.4308</v>
      </c>
    </row>
    <row r="221" spans="1:8">
      <c r="A221" s="7"/>
      <c r="B221" s="7">
        <v>1240</v>
      </c>
      <c r="C221" s="16">
        <v>23010207</v>
      </c>
      <c r="D221" s="17" t="s">
        <v>509</v>
      </c>
      <c r="E221" s="18" t="s">
        <v>187</v>
      </c>
      <c r="F221" s="37"/>
      <c r="G221" s="20">
        <v>295.88</v>
      </c>
      <c r="H221" s="20">
        <v>0</v>
      </c>
    </row>
    <row r="222" spans="1:8">
      <c r="A222" s="7"/>
      <c r="B222" s="7">
        <v>1243</v>
      </c>
      <c r="C222" s="41"/>
      <c r="D222" s="17" t="s">
        <v>189</v>
      </c>
      <c r="E222" s="18" t="s">
        <v>184</v>
      </c>
      <c r="F222" s="40"/>
      <c r="G222" s="20"/>
      <c r="H222" s="20">
        <v>12058.4376</v>
      </c>
    </row>
    <row r="223" spans="1:8">
      <c r="A223" s="7"/>
      <c r="B223" s="7">
        <v>1244</v>
      </c>
      <c r="C223" s="16">
        <v>230104</v>
      </c>
      <c r="D223" s="17" t="s">
        <v>190</v>
      </c>
      <c r="E223" s="18" t="s">
        <v>184</v>
      </c>
      <c r="F223" s="42">
        <v>0.155477475216464</v>
      </c>
      <c r="G223" s="20"/>
      <c r="H223" s="20">
        <v>12058.4376</v>
      </c>
    </row>
    <row r="224" spans="1:8">
      <c r="A224" s="7"/>
      <c r="B224" s="7">
        <v>1245</v>
      </c>
      <c r="C224" s="16">
        <v>2302</v>
      </c>
      <c r="D224" s="17" t="s">
        <v>191</v>
      </c>
      <c r="E224" s="18" t="s">
        <v>184</v>
      </c>
      <c r="F224" s="40"/>
      <c r="G224" s="20">
        <v>0</v>
      </c>
      <c r="H224" s="20">
        <v>122449.5036</v>
      </c>
    </row>
    <row r="225" spans="1:8">
      <c r="A225" s="7"/>
      <c r="B225" s="7">
        <v>1246</v>
      </c>
      <c r="C225" s="41"/>
      <c r="D225" s="17" t="s">
        <v>185</v>
      </c>
      <c r="E225" s="18" t="s">
        <v>184</v>
      </c>
      <c r="F225" s="40"/>
      <c r="G225" s="20">
        <v>0</v>
      </c>
      <c r="H225" s="20">
        <v>119244.8196</v>
      </c>
    </row>
    <row r="226" spans="1:8">
      <c r="A226" s="7"/>
      <c r="B226" s="7">
        <v>1247</v>
      </c>
      <c r="C226" s="16">
        <v>230201</v>
      </c>
      <c r="D226" s="17" t="s">
        <v>192</v>
      </c>
      <c r="E226" s="18" t="s">
        <v>187</v>
      </c>
      <c r="F226" s="37"/>
      <c r="G226" s="20"/>
      <c r="H226" s="20">
        <v>95045.1948</v>
      </c>
    </row>
    <row r="227" spans="1:8">
      <c r="A227" s="7"/>
      <c r="B227" s="7">
        <v>1249</v>
      </c>
      <c r="C227" s="16">
        <v>23020104</v>
      </c>
      <c r="D227" s="17" t="s">
        <v>193</v>
      </c>
      <c r="E227" s="18" t="s">
        <v>187</v>
      </c>
      <c r="F227" s="37">
        <v>97</v>
      </c>
      <c r="G227" s="20">
        <f>H227/F227</f>
        <v>979.847369072165</v>
      </c>
      <c r="H227" s="20">
        <v>95045.1948</v>
      </c>
    </row>
    <row r="228" spans="1:8">
      <c r="A228" s="7"/>
      <c r="B228" s="7">
        <v>1251</v>
      </c>
      <c r="C228" s="16">
        <v>230203</v>
      </c>
      <c r="D228" s="17" t="s">
        <v>194</v>
      </c>
      <c r="E228" s="18" t="s">
        <v>195</v>
      </c>
      <c r="F228" s="37"/>
      <c r="G228" s="20"/>
      <c r="H228" s="20">
        <v>24199.6356</v>
      </c>
    </row>
    <row r="229" spans="1:8">
      <c r="A229" s="7"/>
      <c r="B229" s="7">
        <v>1255</v>
      </c>
      <c r="C229" s="16">
        <v>23020302</v>
      </c>
      <c r="D229" s="17" t="s">
        <v>510</v>
      </c>
      <c r="E229" s="18" t="s">
        <v>195</v>
      </c>
      <c r="F229" s="37">
        <v>1</v>
      </c>
      <c r="G229" s="20">
        <f>H229/F229</f>
        <v>24199.6356</v>
      </c>
      <c r="H229" s="20">
        <v>24199.6356</v>
      </c>
    </row>
    <row r="230" spans="1:8">
      <c r="A230" s="7"/>
      <c r="B230" s="7">
        <v>1260</v>
      </c>
      <c r="C230" s="41"/>
      <c r="D230" s="17" t="s">
        <v>189</v>
      </c>
      <c r="E230" s="18" t="s">
        <v>184</v>
      </c>
      <c r="F230" s="40"/>
      <c r="G230" s="20"/>
      <c r="H230" s="20">
        <v>3204.6732</v>
      </c>
    </row>
    <row r="231" spans="1:8">
      <c r="A231" s="7"/>
      <c r="B231" s="7">
        <v>1261</v>
      </c>
      <c r="C231" s="16">
        <v>230204</v>
      </c>
      <c r="D231" s="17" t="s">
        <v>190</v>
      </c>
      <c r="E231" s="18"/>
      <c r="F231" s="40">
        <v>0.265289912629071</v>
      </c>
      <c r="G231" s="20"/>
      <c r="H231" s="20">
        <v>3204.6732</v>
      </c>
    </row>
    <row r="232" spans="1:8">
      <c r="A232" s="7" t="s">
        <v>511</v>
      </c>
      <c r="B232" s="7">
        <v>1230</v>
      </c>
      <c r="C232" s="16">
        <v>23</v>
      </c>
      <c r="D232" s="17" t="s">
        <v>181</v>
      </c>
      <c r="E232" s="38" t="s">
        <v>182</v>
      </c>
      <c r="F232" s="39"/>
      <c r="G232" s="20"/>
      <c r="H232" s="20">
        <v>771335.8704</v>
      </c>
    </row>
    <row r="233" spans="1:8">
      <c r="A233" s="7"/>
      <c r="B233" s="7">
        <v>1231</v>
      </c>
      <c r="C233" s="16">
        <v>2301</v>
      </c>
      <c r="D233" s="17" t="s">
        <v>183</v>
      </c>
      <c r="E233" s="18" t="s">
        <v>184</v>
      </c>
      <c r="F233" s="40"/>
      <c r="G233" s="20">
        <v>0</v>
      </c>
      <c r="H233" s="20">
        <v>27491.7888</v>
      </c>
    </row>
    <row r="234" spans="1:8">
      <c r="A234" s="7"/>
      <c r="B234" s="7">
        <v>1232</v>
      </c>
      <c r="C234" s="41"/>
      <c r="D234" s="17" t="s">
        <v>185</v>
      </c>
      <c r="E234" s="18" t="s">
        <v>184</v>
      </c>
      <c r="F234" s="40"/>
      <c r="G234" s="20">
        <v>0</v>
      </c>
      <c r="H234" s="20">
        <v>27034.3656</v>
      </c>
    </row>
    <row r="235" spans="1:8">
      <c r="A235" s="7"/>
      <c r="B235" s="7">
        <v>1236</v>
      </c>
      <c r="C235" s="16">
        <v>230102</v>
      </c>
      <c r="D235" s="17" t="s">
        <v>186</v>
      </c>
      <c r="E235" s="18" t="s">
        <v>187</v>
      </c>
      <c r="F235" s="37"/>
      <c r="G235" s="20"/>
      <c r="H235" s="20">
        <v>27034.3656</v>
      </c>
    </row>
    <row r="236" spans="1:8">
      <c r="A236" s="7"/>
      <c r="B236" s="7">
        <v>1238</v>
      </c>
      <c r="C236" s="16">
        <v>23010202</v>
      </c>
      <c r="D236" s="17" t="s">
        <v>207</v>
      </c>
      <c r="E236" s="18" t="s">
        <v>187</v>
      </c>
      <c r="F236" s="37">
        <v>47</v>
      </c>
      <c r="G236" s="20">
        <f>H236/F236</f>
        <v>575.199268085106</v>
      </c>
      <c r="H236" s="20">
        <v>27034.3656</v>
      </c>
    </row>
    <row r="237" spans="1:8">
      <c r="A237" s="7"/>
      <c r="B237" s="7">
        <v>1243</v>
      </c>
      <c r="C237" s="41"/>
      <c r="D237" s="17" t="s">
        <v>189</v>
      </c>
      <c r="E237" s="18" t="s">
        <v>184</v>
      </c>
      <c r="F237" s="40"/>
      <c r="G237" s="20"/>
      <c r="H237" s="20">
        <v>457.4232</v>
      </c>
    </row>
    <row r="238" spans="1:8">
      <c r="A238" s="7"/>
      <c r="B238" s="7">
        <v>1244</v>
      </c>
      <c r="C238" s="16">
        <v>230104</v>
      </c>
      <c r="D238" s="17" t="s">
        <v>190</v>
      </c>
      <c r="E238" s="18" t="s">
        <v>184</v>
      </c>
      <c r="F238" s="42">
        <v>0.00589785418496675</v>
      </c>
      <c r="G238" s="20"/>
      <c r="H238" s="20">
        <v>457.4232</v>
      </c>
    </row>
    <row r="239" spans="1:8">
      <c r="A239" s="7"/>
      <c r="B239" s="7">
        <v>1245</v>
      </c>
      <c r="C239" s="16">
        <v>2302</v>
      </c>
      <c r="D239" s="17" t="s">
        <v>191</v>
      </c>
      <c r="E239" s="18" t="s">
        <v>184</v>
      </c>
      <c r="F239" s="40"/>
      <c r="G239" s="20">
        <v>0</v>
      </c>
      <c r="H239" s="20">
        <v>743844.0816</v>
      </c>
    </row>
    <row r="240" spans="1:8">
      <c r="A240" s="7"/>
      <c r="B240" s="7">
        <v>1246</v>
      </c>
      <c r="C240" s="41"/>
      <c r="D240" s="17" t="s">
        <v>185</v>
      </c>
      <c r="E240" s="18" t="s">
        <v>184</v>
      </c>
      <c r="F240" s="40"/>
      <c r="G240" s="20">
        <v>0</v>
      </c>
      <c r="H240" s="20">
        <v>741893.9364</v>
      </c>
    </row>
    <row r="241" spans="1:8">
      <c r="A241" s="7"/>
      <c r="B241" s="7">
        <v>1247</v>
      </c>
      <c r="C241" s="16">
        <v>230201</v>
      </c>
      <c r="D241" s="17" t="s">
        <v>192</v>
      </c>
      <c r="E241" s="18" t="s">
        <v>187</v>
      </c>
      <c r="F241" s="37"/>
      <c r="G241" s="20"/>
      <c r="H241" s="20">
        <v>631543.2948</v>
      </c>
    </row>
    <row r="242" spans="1:8">
      <c r="A242" s="7"/>
      <c r="B242" s="7">
        <v>1250</v>
      </c>
      <c r="C242" s="16">
        <v>23020108</v>
      </c>
      <c r="D242" s="17" t="s">
        <v>512</v>
      </c>
      <c r="E242" s="18" t="s">
        <v>187</v>
      </c>
      <c r="F242" s="37">
        <v>766</v>
      </c>
      <c r="G242" s="20">
        <f>H242/F242</f>
        <v>824.469053263708</v>
      </c>
      <c r="H242" s="20">
        <v>631543.2948</v>
      </c>
    </row>
    <row r="243" spans="1:8">
      <c r="A243" s="7"/>
      <c r="B243" s="7">
        <v>1251</v>
      </c>
      <c r="C243" s="16">
        <v>230203</v>
      </c>
      <c r="D243" s="17" t="s">
        <v>194</v>
      </c>
      <c r="E243" s="18" t="s">
        <v>195</v>
      </c>
      <c r="F243" s="37"/>
      <c r="G243" s="20"/>
      <c r="H243" s="20">
        <v>110350.6308</v>
      </c>
    </row>
    <row r="244" spans="1:8">
      <c r="A244" s="7"/>
      <c r="B244" s="7">
        <v>1255</v>
      </c>
      <c r="C244" s="16">
        <v>23020302</v>
      </c>
      <c r="D244" s="17" t="s">
        <v>510</v>
      </c>
      <c r="E244" s="18" t="s">
        <v>195</v>
      </c>
      <c r="F244" s="37">
        <v>1</v>
      </c>
      <c r="G244" s="20">
        <f>H244/F244</f>
        <v>24199.6356</v>
      </c>
      <c r="H244" s="20">
        <v>24199.6356</v>
      </c>
    </row>
    <row r="245" spans="1:8">
      <c r="A245" s="7"/>
      <c r="B245" s="7">
        <v>1259</v>
      </c>
      <c r="C245" s="16">
        <v>23020306</v>
      </c>
      <c r="D245" s="17" t="s">
        <v>513</v>
      </c>
      <c r="E245" s="18" t="s">
        <v>195</v>
      </c>
      <c r="F245" s="37">
        <v>1</v>
      </c>
      <c r="G245" s="20">
        <f>H245/F245</f>
        <v>86151.006</v>
      </c>
      <c r="H245" s="20">
        <v>86151.006</v>
      </c>
    </row>
    <row r="246" spans="1:8">
      <c r="A246" s="7"/>
      <c r="B246" s="7">
        <v>1260</v>
      </c>
      <c r="C246" s="41"/>
      <c r="D246" s="17" t="s">
        <v>189</v>
      </c>
      <c r="E246" s="18" t="s">
        <v>184</v>
      </c>
      <c r="F246" s="40"/>
      <c r="G246" s="20"/>
      <c r="H246" s="20">
        <v>1950.156</v>
      </c>
    </row>
    <row r="247" spans="1:8">
      <c r="A247" s="7"/>
      <c r="B247" s="7">
        <v>1261</v>
      </c>
      <c r="C247" s="16">
        <v>230204</v>
      </c>
      <c r="D247" s="17" t="s">
        <v>190</v>
      </c>
      <c r="E247" s="18"/>
      <c r="F247" s="40">
        <v>0.16143764892772</v>
      </c>
      <c r="G247" s="20"/>
      <c r="H247" s="20">
        <v>1950.156</v>
      </c>
    </row>
    <row r="248" spans="1:8">
      <c r="A248" s="7" t="s">
        <v>514</v>
      </c>
      <c r="B248" s="7">
        <v>1230</v>
      </c>
      <c r="C248" s="16">
        <v>23</v>
      </c>
      <c r="D248" s="17" t="s">
        <v>181</v>
      </c>
      <c r="E248" s="38" t="s">
        <v>182</v>
      </c>
      <c r="F248" s="39"/>
      <c r="G248" s="20"/>
      <c r="H248" s="20">
        <v>548597.4804</v>
      </c>
    </row>
    <row r="249" spans="1:8">
      <c r="A249" s="7"/>
      <c r="B249" s="7">
        <v>1231</v>
      </c>
      <c r="C249" s="16">
        <v>2301</v>
      </c>
      <c r="D249" s="17" t="s">
        <v>183</v>
      </c>
      <c r="E249" s="18" t="s">
        <v>184</v>
      </c>
      <c r="F249" s="40"/>
      <c r="G249" s="20">
        <v>0</v>
      </c>
      <c r="H249" s="20">
        <v>344911.4676</v>
      </c>
    </row>
    <row r="250" spans="1:8">
      <c r="A250" s="7"/>
      <c r="B250" s="7">
        <v>1232</v>
      </c>
      <c r="C250" s="41"/>
      <c r="D250" s="17" t="s">
        <v>185</v>
      </c>
      <c r="E250" s="18" t="s">
        <v>184</v>
      </c>
      <c r="F250" s="40"/>
      <c r="G250" s="20">
        <v>0</v>
      </c>
      <c r="H250" s="20">
        <v>339169.3668</v>
      </c>
    </row>
    <row r="251" spans="1:8">
      <c r="A251" s="7"/>
      <c r="B251" s="7">
        <v>1236</v>
      </c>
      <c r="C251" s="16">
        <v>230102</v>
      </c>
      <c r="D251" s="17" t="s">
        <v>186</v>
      </c>
      <c r="E251" s="18" t="s">
        <v>187</v>
      </c>
      <c r="F251" s="37"/>
      <c r="G251" s="20"/>
      <c r="H251" s="20">
        <v>339169.3668</v>
      </c>
    </row>
    <row r="252" spans="1:8">
      <c r="A252" s="7"/>
      <c r="B252" s="7">
        <v>1238</v>
      </c>
      <c r="C252" s="16">
        <v>23010202</v>
      </c>
      <c r="D252" s="17" t="s">
        <v>207</v>
      </c>
      <c r="E252" s="18" t="s">
        <v>187</v>
      </c>
      <c r="F252" s="37">
        <v>420</v>
      </c>
      <c r="G252" s="20">
        <f>H252/F252</f>
        <v>575.193137142857</v>
      </c>
      <c r="H252" s="20">
        <v>241581.1176</v>
      </c>
    </row>
    <row r="253" spans="1:8">
      <c r="A253" s="7"/>
      <c r="B253" s="7">
        <v>1239</v>
      </c>
      <c r="C253" s="16">
        <v>23010204</v>
      </c>
      <c r="D253" s="17" t="s">
        <v>188</v>
      </c>
      <c r="E253" s="18" t="s">
        <v>187</v>
      </c>
      <c r="F253" s="37">
        <v>170</v>
      </c>
      <c r="G253" s="20">
        <f>H253/F253</f>
        <v>574.048524705882</v>
      </c>
      <c r="H253" s="20">
        <v>97588.2492</v>
      </c>
    </row>
    <row r="254" spans="1:8">
      <c r="A254" s="7"/>
      <c r="B254" s="7">
        <v>1243</v>
      </c>
      <c r="C254" s="41"/>
      <c r="D254" s="17" t="s">
        <v>189</v>
      </c>
      <c r="E254" s="18" t="s">
        <v>184</v>
      </c>
      <c r="F254" s="40"/>
      <c r="G254" s="20"/>
      <c r="H254" s="20">
        <v>5742.1116</v>
      </c>
    </row>
    <row r="255" spans="1:8">
      <c r="A255" s="7"/>
      <c r="B255" s="7">
        <v>1244</v>
      </c>
      <c r="C255" s="16">
        <v>230104</v>
      </c>
      <c r="D255" s="17" t="s">
        <v>190</v>
      </c>
      <c r="E255" s="18" t="s">
        <v>184</v>
      </c>
      <c r="F255" s="42">
        <v>0.0740368929602209</v>
      </c>
      <c r="G255" s="20"/>
      <c r="H255" s="20">
        <v>5742.1116</v>
      </c>
    </row>
    <row r="256" spans="1:8">
      <c r="A256" s="7"/>
      <c r="B256" s="7">
        <v>1245</v>
      </c>
      <c r="C256" s="16">
        <v>2302</v>
      </c>
      <c r="D256" s="17" t="s">
        <v>191</v>
      </c>
      <c r="E256" s="18" t="s">
        <v>184</v>
      </c>
      <c r="F256" s="40"/>
      <c r="G256" s="20">
        <v>0</v>
      </c>
      <c r="H256" s="20">
        <v>203686.002</v>
      </c>
    </row>
    <row r="257" spans="1:8">
      <c r="A257" s="7"/>
      <c r="B257" s="7">
        <v>1246</v>
      </c>
      <c r="C257" s="41"/>
      <c r="D257" s="17" t="s">
        <v>185</v>
      </c>
      <c r="E257" s="18" t="s">
        <v>184</v>
      </c>
      <c r="F257" s="40"/>
      <c r="G257" s="20">
        <v>0</v>
      </c>
      <c r="H257" s="20">
        <v>201750.2424</v>
      </c>
    </row>
    <row r="258" spans="1:8">
      <c r="A258" s="7"/>
      <c r="B258" s="7">
        <v>1247</v>
      </c>
      <c r="C258" s="16">
        <v>230201</v>
      </c>
      <c r="D258" s="17" t="s">
        <v>192</v>
      </c>
      <c r="E258" s="18" t="s">
        <v>187</v>
      </c>
      <c r="F258" s="37"/>
      <c r="G258" s="20"/>
      <c r="H258" s="20">
        <v>201750.2424</v>
      </c>
    </row>
    <row r="259" spans="1:8">
      <c r="A259" s="7"/>
      <c r="B259" s="7">
        <v>1249</v>
      </c>
      <c r="C259" s="16">
        <v>23020104</v>
      </c>
      <c r="D259" s="17" t="s">
        <v>193</v>
      </c>
      <c r="E259" s="18" t="s">
        <v>187</v>
      </c>
      <c r="F259" s="37">
        <v>147</v>
      </c>
      <c r="G259" s="20">
        <f>H259/F259</f>
        <v>979.84733877551</v>
      </c>
      <c r="H259" s="20">
        <v>144037.5588</v>
      </c>
    </row>
    <row r="260" spans="1:8">
      <c r="A260" s="7"/>
      <c r="B260" s="7">
        <v>1250</v>
      </c>
      <c r="C260" s="16">
        <v>23020108</v>
      </c>
      <c r="D260" s="17" t="s">
        <v>512</v>
      </c>
      <c r="E260" s="18" t="s">
        <v>187</v>
      </c>
      <c r="F260" s="37">
        <v>70</v>
      </c>
      <c r="G260" s="20">
        <f>H260/F260</f>
        <v>824.466908571429</v>
      </c>
      <c r="H260" s="20">
        <v>57712.6836</v>
      </c>
    </row>
    <row r="261" spans="1:8">
      <c r="A261" s="7"/>
      <c r="B261" s="7">
        <v>1260</v>
      </c>
      <c r="C261" s="41"/>
      <c r="D261" s="17" t="s">
        <v>189</v>
      </c>
      <c r="E261" s="18" t="s">
        <v>184</v>
      </c>
      <c r="F261" s="40"/>
      <c r="G261" s="20"/>
      <c r="H261" s="20">
        <v>1935.7596</v>
      </c>
    </row>
    <row r="262" spans="1:8">
      <c r="A262" s="7"/>
      <c r="B262" s="7">
        <v>1261</v>
      </c>
      <c r="C262" s="16">
        <v>230204</v>
      </c>
      <c r="D262" s="17" t="s">
        <v>190</v>
      </c>
      <c r="E262" s="18"/>
      <c r="F262" s="40">
        <v>0.160246227164416</v>
      </c>
      <c r="G262" s="20"/>
      <c r="H262" s="20">
        <v>1935.7596</v>
      </c>
    </row>
    <row r="263" spans="1:8">
      <c r="A263" s="7" t="s">
        <v>515</v>
      </c>
      <c r="B263" s="7">
        <v>1230</v>
      </c>
      <c r="C263" s="16">
        <v>23</v>
      </c>
      <c r="D263" s="17" t="s">
        <v>181</v>
      </c>
      <c r="E263" s="38" t="s">
        <v>182</v>
      </c>
      <c r="F263" s="39"/>
      <c r="G263" s="20"/>
      <c r="H263" s="20">
        <v>1986962.022</v>
      </c>
    </row>
    <row r="264" spans="1:8">
      <c r="A264" s="7"/>
      <c r="B264" s="7">
        <v>1231</v>
      </c>
      <c r="C264" s="16">
        <v>2301</v>
      </c>
      <c r="D264" s="17" t="s">
        <v>183</v>
      </c>
      <c r="E264" s="18" t="s">
        <v>184</v>
      </c>
      <c r="F264" s="40"/>
      <c r="G264" s="20">
        <v>0</v>
      </c>
      <c r="H264" s="20">
        <v>740552.0256</v>
      </c>
    </row>
    <row r="265" spans="1:8">
      <c r="A265" s="7"/>
      <c r="B265" s="7">
        <v>1232</v>
      </c>
      <c r="C265" s="41"/>
      <c r="D265" s="17" t="s">
        <v>185</v>
      </c>
      <c r="E265" s="18" t="s">
        <v>184</v>
      </c>
      <c r="F265" s="40"/>
      <c r="G265" s="20">
        <v>0</v>
      </c>
      <c r="H265" s="20">
        <v>727948.5768</v>
      </c>
    </row>
    <row r="266" spans="1:8">
      <c r="A266" s="7"/>
      <c r="B266" s="7">
        <v>1236</v>
      </c>
      <c r="C266" s="16">
        <v>230102</v>
      </c>
      <c r="D266" s="17" t="s">
        <v>186</v>
      </c>
      <c r="E266" s="18" t="s">
        <v>187</v>
      </c>
      <c r="F266" s="37"/>
      <c r="G266" s="20"/>
      <c r="H266" s="20">
        <v>727948.5768</v>
      </c>
    </row>
    <row r="267" spans="1:8">
      <c r="A267" s="7"/>
      <c r="B267" s="7">
        <v>1237</v>
      </c>
      <c r="C267" s="16">
        <v>23010201</v>
      </c>
      <c r="D267" s="17" t="s">
        <v>210</v>
      </c>
      <c r="E267" s="18" t="s">
        <v>187</v>
      </c>
      <c r="F267" s="37">
        <v>75</v>
      </c>
      <c r="G267" s="20">
        <f t="shared" ref="G267:G269" si="16">H267/F267</f>
        <v>350.329248</v>
      </c>
      <c r="H267" s="20">
        <v>26274.6936</v>
      </c>
    </row>
    <row r="268" spans="1:8">
      <c r="A268" s="7"/>
      <c r="B268" s="7">
        <v>1238</v>
      </c>
      <c r="C268" s="16">
        <v>23010202</v>
      </c>
      <c r="D268" s="17" t="s">
        <v>207</v>
      </c>
      <c r="E268" s="18" t="s">
        <v>187</v>
      </c>
      <c r="F268" s="37">
        <v>1166</v>
      </c>
      <c r="G268" s="20">
        <f t="shared" si="16"/>
        <v>575.193346826758</v>
      </c>
      <c r="H268" s="20">
        <v>670675.4424</v>
      </c>
    </row>
    <row r="269" spans="1:8">
      <c r="A269" s="7"/>
      <c r="B269" s="7">
        <v>1239</v>
      </c>
      <c r="C269" s="16">
        <v>23010204</v>
      </c>
      <c r="D269" s="17" t="s">
        <v>188</v>
      </c>
      <c r="E269" s="18" t="s">
        <v>187</v>
      </c>
      <c r="F269" s="37">
        <v>54</v>
      </c>
      <c r="G269" s="20">
        <f t="shared" si="16"/>
        <v>574.0452</v>
      </c>
      <c r="H269" s="20">
        <v>30998.4408</v>
      </c>
    </row>
    <row r="270" spans="1:8">
      <c r="A270" s="7"/>
      <c r="B270" s="7">
        <v>1243</v>
      </c>
      <c r="C270" s="41"/>
      <c r="D270" s="17" t="s">
        <v>189</v>
      </c>
      <c r="E270" s="18" t="s">
        <v>184</v>
      </c>
      <c r="F270" s="40"/>
      <c r="G270" s="20"/>
      <c r="H270" s="20">
        <v>12603.4488</v>
      </c>
    </row>
    <row r="271" spans="1:8">
      <c r="A271" s="7"/>
      <c r="B271" s="7">
        <v>1244</v>
      </c>
      <c r="C271" s="16">
        <v>230104</v>
      </c>
      <c r="D271" s="17" t="s">
        <v>190</v>
      </c>
      <c r="E271" s="18" t="s">
        <v>184</v>
      </c>
      <c r="F271" s="42">
        <v>0.162504705734722</v>
      </c>
      <c r="G271" s="20"/>
      <c r="H271" s="20">
        <v>12603.4488</v>
      </c>
    </row>
    <row r="272" spans="1:8">
      <c r="A272" s="7"/>
      <c r="B272" s="7">
        <v>1245</v>
      </c>
      <c r="C272" s="16">
        <v>2302</v>
      </c>
      <c r="D272" s="17" t="s">
        <v>191</v>
      </c>
      <c r="E272" s="18" t="s">
        <v>184</v>
      </c>
      <c r="F272" s="40"/>
      <c r="G272" s="20">
        <v>0</v>
      </c>
      <c r="H272" s="20">
        <v>1246409.9964</v>
      </c>
    </row>
    <row r="273" spans="1:8">
      <c r="A273" s="7"/>
      <c r="B273" s="7">
        <v>1246</v>
      </c>
      <c r="C273" s="41"/>
      <c r="D273" s="17" t="s">
        <v>185</v>
      </c>
      <c r="E273" s="18" t="s">
        <v>184</v>
      </c>
      <c r="F273" s="40"/>
      <c r="G273" s="20">
        <v>0</v>
      </c>
      <c r="H273" s="20">
        <v>1240086.996</v>
      </c>
    </row>
    <row r="274" spans="1:8">
      <c r="A274" s="7"/>
      <c r="B274" s="7">
        <v>1247</v>
      </c>
      <c r="C274" s="16">
        <v>230201</v>
      </c>
      <c r="D274" s="17" t="s">
        <v>192</v>
      </c>
      <c r="E274" s="18" t="s">
        <v>187</v>
      </c>
      <c r="F274" s="37"/>
      <c r="G274" s="20"/>
      <c r="H274" s="20">
        <v>1153935.99</v>
      </c>
    </row>
    <row r="275" spans="1:8">
      <c r="A275" s="7"/>
      <c r="B275" s="7">
        <v>1249</v>
      </c>
      <c r="C275" s="16">
        <v>23020104</v>
      </c>
      <c r="D275" s="17" t="s">
        <v>193</v>
      </c>
      <c r="E275" s="18" t="s">
        <v>187</v>
      </c>
      <c r="F275" s="37">
        <v>311</v>
      </c>
      <c r="G275" s="20">
        <f t="shared" ref="G275:G278" si="17">H275/F275</f>
        <v>979.847363344052</v>
      </c>
      <c r="H275" s="20">
        <v>304732.53</v>
      </c>
    </row>
    <row r="276" spans="1:8">
      <c r="A276" s="7"/>
      <c r="B276" s="7">
        <v>1250</v>
      </c>
      <c r="C276" s="16">
        <v>23020108</v>
      </c>
      <c r="D276" s="17" t="s">
        <v>512</v>
      </c>
      <c r="E276" s="18" t="s">
        <v>187</v>
      </c>
      <c r="F276" s="37">
        <v>1030</v>
      </c>
      <c r="G276" s="20">
        <f t="shared" si="17"/>
        <v>824.469378640777</v>
      </c>
      <c r="H276" s="20">
        <v>849203.46</v>
      </c>
    </row>
    <row r="277" spans="1:8">
      <c r="A277" s="7"/>
      <c r="B277" s="7">
        <v>1251</v>
      </c>
      <c r="C277" s="16">
        <v>230203</v>
      </c>
      <c r="D277" s="17" t="s">
        <v>194</v>
      </c>
      <c r="E277" s="18" t="s">
        <v>195</v>
      </c>
      <c r="F277" s="37"/>
      <c r="G277" s="20"/>
      <c r="H277" s="20">
        <v>86151.006</v>
      </c>
    </row>
    <row r="278" spans="1:8">
      <c r="A278" s="7"/>
      <c r="B278" s="7">
        <v>1259</v>
      </c>
      <c r="C278" s="16">
        <v>23020306</v>
      </c>
      <c r="D278" s="17" t="s">
        <v>513</v>
      </c>
      <c r="E278" s="18" t="s">
        <v>195</v>
      </c>
      <c r="F278" s="37">
        <v>1</v>
      </c>
      <c r="G278" s="20">
        <f t="shared" si="17"/>
        <v>86151.006</v>
      </c>
      <c r="H278" s="20">
        <v>86151.006</v>
      </c>
    </row>
    <row r="279" spans="1:8">
      <c r="A279" s="7"/>
      <c r="B279" s="7">
        <v>1260</v>
      </c>
      <c r="C279" s="41"/>
      <c r="D279" s="17" t="s">
        <v>189</v>
      </c>
      <c r="E279" s="18" t="s">
        <v>184</v>
      </c>
      <c r="F279" s="40"/>
      <c r="G279" s="20"/>
      <c r="H279" s="20">
        <v>6323.0004</v>
      </c>
    </row>
    <row r="280" spans="1:8">
      <c r="A280" s="7"/>
      <c r="B280" s="7">
        <v>1261</v>
      </c>
      <c r="C280" s="16">
        <v>230204</v>
      </c>
      <c r="D280" s="17" t="s">
        <v>190</v>
      </c>
      <c r="E280" s="18"/>
      <c r="F280" s="40">
        <v>0.523431294678316</v>
      </c>
      <c r="G280" s="20"/>
      <c r="H280" s="20">
        <v>6323.0004</v>
      </c>
    </row>
    <row r="281" spans="1:8">
      <c r="A281" s="7"/>
      <c r="B281" s="7">
        <v>1262</v>
      </c>
      <c r="C281" s="16">
        <v>24</v>
      </c>
      <c r="D281" s="17" t="s">
        <v>516</v>
      </c>
      <c r="E281" s="18" t="s">
        <v>182</v>
      </c>
      <c r="F281" s="39"/>
      <c r="G281" s="20"/>
      <c r="H281" s="20">
        <v>919983.2148</v>
      </c>
    </row>
    <row r="282" spans="1:8">
      <c r="A282" s="7"/>
      <c r="B282" s="7">
        <v>1263</v>
      </c>
      <c r="C282" s="16">
        <v>2401</v>
      </c>
      <c r="D282" s="17" t="s">
        <v>517</v>
      </c>
      <c r="E282" s="18" t="s">
        <v>202</v>
      </c>
      <c r="F282" s="37"/>
      <c r="G282" s="20"/>
      <c r="H282" s="20">
        <v>527378.8608</v>
      </c>
    </row>
    <row r="283" spans="1:8">
      <c r="A283" s="7"/>
      <c r="B283" s="7">
        <v>1264</v>
      </c>
      <c r="C283" s="16">
        <v>240101</v>
      </c>
      <c r="D283" s="17" t="s">
        <v>518</v>
      </c>
      <c r="E283" s="18" t="s">
        <v>202</v>
      </c>
      <c r="F283" s="39"/>
      <c r="G283" s="20"/>
      <c r="H283" s="20">
        <v>126255.6828</v>
      </c>
    </row>
    <row r="284" spans="1:8">
      <c r="A284" s="7"/>
      <c r="B284" s="7">
        <v>1265</v>
      </c>
      <c r="C284" s="41"/>
      <c r="D284" s="17" t="s">
        <v>185</v>
      </c>
      <c r="E284" s="18" t="s">
        <v>202</v>
      </c>
      <c r="F284" s="37"/>
      <c r="G284" s="20"/>
      <c r="H284" s="20">
        <v>51238.0512</v>
      </c>
    </row>
    <row r="285" spans="1:8">
      <c r="A285" s="7"/>
      <c r="B285" s="7">
        <v>1266</v>
      </c>
      <c r="C285" s="16">
        <v>24010102</v>
      </c>
      <c r="D285" s="17" t="s">
        <v>519</v>
      </c>
      <c r="E285" s="18" t="s">
        <v>202</v>
      </c>
      <c r="F285" s="37"/>
      <c r="G285" s="20"/>
      <c r="H285" s="20">
        <v>44855.2296</v>
      </c>
    </row>
    <row r="286" spans="1:8">
      <c r="A286" s="7"/>
      <c r="B286" s="7">
        <v>1267</v>
      </c>
      <c r="C286" s="16">
        <v>2401010201</v>
      </c>
      <c r="D286" s="17" t="s">
        <v>520</v>
      </c>
      <c r="E286" s="18" t="s">
        <v>202</v>
      </c>
      <c r="F286" s="37">
        <v>1</v>
      </c>
      <c r="G286" s="20">
        <f t="shared" ref="G286:G289" si="18">H286/F286</f>
        <v>9656.2908</v>
      </c>
      <c r="H286" s="20">
        <v>9656.2908</v>
      </c>
    </row>
    <row r="287" spans="1:8">
      <c r="A287" s="7"/>
      <c r="B287" s="7">
        <v>1268</v>
      </c>
      <c r="C287" s="16">
        <v>2401010202</v>
      </c>
      <c r="D287" s="17" t="s">
        <v>521</v>
      </c>
      <c r="E287" s="18" t="s">
        <v>202</v>
      </c>
      <c r="F287" s="37">
        <v>1</v>
      </c>
      <c r="G287" s="20">
        <f t="shared" si="18"/>
        <v>35198.9388</v>
      </c>
      <c r="H287" s="20">
        <v>35198.9388</v>
      </c>
    </row>
    <row r="288" spans="1:8">
      <c r="A288" s="7"/>
      <c r="B288" s="7">
        <v>1269</v>
      </c>
      <c r="C288" s="16">
        <v>24010105</v>
      </c>
      <c r="D288" s="17" t="s">
        <v>522</v>
      </c>
      <c r="E288" s="18" t="s">
        <v>202</v>
      </c>
      <c r="F288" s="39">
        <v>1</v>
      </c>
      <c r="G288" s="20">
        <f t="shared" si="18"/>
        <v>6382.8216</v>
      </c>
      <c r="H288" s="20">
        <v>6382.8216</v>
      </c>
    </row>
    <row r="289" spans="1:8">
      <c r="A289" s="7"/>
      <c r="B289" s="7">
        <v>1270</v>
      </c>
      <c r="C289" s="41"/>
      <c r="D289" s="17" t="s">
        <v>189</v>
      </c>
      <c r="E289" s="18" t="s">
        <v>202</v>
      </c>
      <c r="F289" s="37"/>
      <c r="G289" s="20"/>
      <c r="H289" s="20">
        <v>75017.6316</v>
      </c>
    </row>
    <row r="290" spans="1:8">
      <c r="A290" s="7"/>
      <c r="B290" s="7">
        <v>1271</v>
      </c>
      <c r="C290" s="16">
        <v>24010106</v>
      </c>
      <c r="D290" s="17" t="s">
        <v>523</v>
      </c>
      <c r="E290" s="18" t="s">
        <v>202</v>
      </c>
      <c r="F290" s="39"/>
      <c r="G290" s="20"/>
      <c r="H290" s="20">
        <v>73747.7244</v>
      </c>
    </row>
    <row r="291" spans="1:8">
      <c r="A291" s="7"/>
      <c r="B291" s="7">
        <v>1272</v>
      </c>
      <c r="C291" s="16">
        <v>2401010601</v>
      </c>
      <c r="D291" s="17" t="s">
        <v>520</v>
      </c>
      <c r="E291" s="18" t="s">
        <v>202</v>
      </c>
      <c r="F291" s="39">
        <v>1</v>
      </c>
      <c r="G291" s="20">
        <f t="shared" ref="G291:G296" si="19">H291/F291</f>
        <v>66694.6116</v>
      </c>
      <c r="H291" s="20">
        <v>66694.6116</v>
      </c>
    </row>
    <row r="292" spans="1:8">
      <c r="A292" s="7"/>
      <c r="B292" s="7">
        <v>1273</v>
      </c>
      <c r="C292" s="16">
        <v>2401010609</v>
      </c>
      <c r="D292" s="17" t="s">
        <v>521</v>
      </c>
      <c r="E292" s="18" t="s">
        <v>202</v>
      </c>
      <c r="F292" s="39">
        <v>1</v>
      </c>
      <c r="G292" s="20">
        <f t="shared" si="19"/>
        <v>7053.1128</v>
      </c>
      <c r="H292" s="20">
        <v>7053.1128</v>
      </c>
    </row>
    <row r="293" spans="1:8">
      <c r="A293" s="7"/>
      <c r="B293" s="7">
        <v>1274</v>
      </c>
      <c r="C293" s="16">
        <v>24010107</v>
      </c>
      <c r="D293" s="17" t="s">
        <v>522</v>
      </c>
      <c r="E293" s="18" t="s">
        <v>202</v>
      </c>
      <c r="F293" s="39">
        <v>1</v>
      </c>
      <c r="G293" s="20">
        <f t="shared" si="19"/>
        <v>1269.8964</v>
      </c>
      <c r="H293" s="20">
        <v>1269.8964</v>
      </c>
    </row>
    <row r="294" spans="1:8">
      <c r="A294" s="7"/>
      <c r="B294" s="7">
        <v>1275</v>
      </c>
      <c r="C294" s="16">
        <v>240103</v>
      </c>
      <c r="D294" s="17" t="s">
        <v>524</v>
      </c>
      <c r="E294" s="18" t="s">
        <v>202</v>
      </c>
      <c r="F294" s="39">
        <v>1</v>
      </c>
      <c r="G294" s="20">
        <f t="shared" si="19"/>
        <v>401123.178</v>
      </c>
      <c r="H294" s="20">
        <v>401123.178</v>
      </c>
    </row>
    <row r="295" spans="1:8">
      <c r="A295" s="7"/>
      <c r="B295" s="7">
        <v>1276</v>
      </c>
      <c r="C295" s="41"/>
      <c r="D295" s="17" t="s">
        <v>185</v>
      </c>
      <c r="E295" s="18" t="s">
        <v>184</v>
      </c>
      <c r="F295" s="40"/>
      <c r="G295" s="20">
        <v>0</v>
      </c>
      <c r="H295" s="20">
        <v>401123.178</v>
      </c>
    </row>
    <row r="296" spans="1:8">
      <c r="A296" s="7"/>
      <c r="B296" s="7">
        <v>1277</v>
      </c>
      <c r="C296" s="16">
        <v>24010301</v>
      </c>
      <c r="D296" s="17" t="s">
        <v>525</v>
      </c>
      <c r="E296" s="18" t="s">
        <v>202</v>
      </c>
      <c r="F296" s="37">
        <v>1</v>
      </c>
      <c r="G296" s="20">
        <f t="shared" si="19"/>
        <v>401123.178</v>
      </c>
      <c r="H296" s="20">
        <v>401123.178</v>
      </c>
    </row>
    <row r="297" spans="1:8">
      <c r="A297" s="7"/>
      <c r="B297" s="7">
        <v>1278</v>
      </c>
      <c r="C297" s="16">
        <v>2403</v>
      </c>
      <c r="D297" s="17" t="s">
        <v>526</v>
      </c>
      <c r="E297" s="38" t="s">
        <v>184</v>
      </c>
      <c r="F297" s="40"/>
      <c r="G297" s="20">
        <v>0</v>
      </c>
      <c r="H297" s="20">
        <v>392604.354</v>
      </c>
    </row>
    <row r="298" spans="1:8">
      <c r="A298" s="7"/>
      <c r="B298" s="7">
        <v>1279</v>
      </c>
      <c r="C298" s="41"/>
      <c r="D298" s="17" t="s">
        <v>185</v>
      </c>
      <c r="E298" s="38" t="s">
        <v>184</v>
      </c>
      <c r="F298" s="40"/>
      <c r="G298" s="20">
        <v>0</v>
      </c>
      <c r="H298" s="20">
        <v>392604.354</v>
      </c>
    </row>
    <row r="299" spans="1:8">
      <c r="A299" s="7"/>
      <c r="B299" s="7">
        <v>1280</v>
      </c>
      <c r="C299" s="16">
        <v>240303</v>
      </c>
      <c r="D299" s="17" t="s">
        <v>527</v>
      </c>
      <c r="E299" s="18" t="s">
        <v>187</v>
      </c>
      <c r="F299" s="37">
        <v>108</v>
      </c>
      <c r="G299" s="20">
        <f>H299/F299</f>
        <v>3635.2255</v>
      </c>
      <c r="H299" s="20">
        <v>392604.354</v>
      </c>
    </row>
    <row r="300" spans="1:8">
      <c r="A300" s="7" t="s">
        <v>528</v>
      </c>
      <c r="B300" s="7">
        <v>1230</v>
      </c>
      <c r="C300" s="16">
        <v>23</v>
      </c>
      <c r="D300" s="17" t="s">
        <v>181</v>
      </c>
      <c r="E300" s="38" t="s">
        <v>182</v>
      </c>
      <c r="F300" s="39"/>
      <c r="G300" s="20"/>
      <c r="H300" s="20">
        <v>724533.0012</v>
      </c>
    </row>
    <row r="301" spans="1:8">
      <c r="A301" s="7"/>
      <c r="B301" s="7">
        <v>1231</v>
      </c>
      <c r="C301" s="16">
        <v>2301</v>
      </c>
      <c r="D301" s="17" t="s">
        <v>183</v>
      </c>
      <c r="E301" s="18" t="s">
        <v>184</v>
      </c>
      <c r="F301" s="40"/>
      <c r="G301" s="20">
        <v>0</v>
      </c>
      <c r="H301" s="20">
        <v>284300.8524</v>
      </c>
    </row>
    <row r="302" spans="1:8">
      <c r="A302" s="7"/>
      <c r="B302" s="7">
        <v>1232</v>
      </c>
      <c r="C302" s="41"/>
      <c r="D302" s="17" t="s">
        <v>185</v>
      </c>
      <c r="E302" s="18" t="s">
        <v>184</v>
      </c>
      <c r="F302" s="40"/>
      <c r="G302" s="20">
        <v>0</v>
      </c>
      <c r="H302" s="20">
        <v>279561.1644</v>
      </c>
    </row>
    <row r="303" spans="1:8">
      <c r="A303" s="7"/>
      <c r="B303" s="7">
        <v>1236</v>
      </c>
      <c r="C303" s="16">
        <v>230102</v>
      </c>
      <c r="D303" s="17" t="s">
        <v>186</v>
      </c>
      <c r="E303" s="18" t="s">
        <v>187</v>
      </c>
      <c r="F303" s="37"/>
      <c r="G303" s="20"/>
      <c r="H303" s="20">
        <v>279561.1644</v>
      </c>
    </row>
    <row r="304" spans="1:8">
      <c r="A304" s="7"/>
      <c r="B304" s="7">
        <v>1239</v>
      </c>
      <c r="C304" s="16">
        <v>23010204</v>
      </c>
      <c r="D304" s="17" t="s">
        <v>188</v>
      </c>
      <c r="E304" s="18" t="s">
        <v>187</v>
      </c>
      <c r="F304" s="37">
        <v>487</v>
      </c>
      <c r="G304" s="20">
        <f>H304/F304</f>
        <v>574.04756550308</v>
      </c>
      <c r="H304" s="20">
        <v>279561.1644</v>
      </c>
    </row>
    <row r="305" spans="1:8">
      <c r="A305" s="7"/>
      <c r="B305" s="7">
        <v>1243</v>
      </c>
      <c r="C305" s="41"/>
      <c r="D305" s="17" t="s">
        <v>189</v>
      </c>
      <c r="E305" s="18" t="s">
        <v>184</v>
      </c>
      <c r="F305" s="40"/>
      <c r="G305" s="20"/>
      <c r="H305" s="20">
        <v>4739.6772</v>
      </c>
    </row>
    <row r="306" spans="1:8">
      <c r="A306" s="7"/>
      <c r="B306" s="7">
        <v>1244</v>
      </c>
      <c r="C306" s="16">
        <v>230104</v>
      </c>
      <c r="D306" s="17" t="s">
        <v>190</v>
      </c>
      <c r="E306" s="18" t="s">
        <v>184</v>
      </c>
      <c r="F306" s="42">
        <v>0.0611118082569959</v>
      </c>
      <c r="G306" s="20"/>
      <c r="H306" s="20">
        <v>4739.6772</v>
      </c>
    </row>
    <row r="307" spans="1:8">
      <c r="A307" s="7"/>
      <c r="B307" s="7">
        <v>1245</v>
      </c>
      <c r="C307" s="16">
        <v>2302</v>
      </c>
      <c r="D307" s="17" t="s">
        <v>191</v>
      </c>
      <c r="E307" s="18" t="s">
        <v>184</v>
      </c>
      <c r="F307" s="40"/>
      <c r="G307" s="20">
        <v>0</v>
      </c>
      <c r="H307" s="20">
        <v>440232.1596</v>
      </c>
    </row>
    <row r="308" spans="1:8">
      <c r="A308" s="7"/>
      <c r="B308" s="7">
        <v>1246</v>
      </c>
      <c r="C308" s="41"/>
      <c r="D308" s="17" t="s">
        <v>185</v>
      </c>
      <c r="E308" s="18" t="s">
        <v>184</v>
      </c>
      <c r="F308" s="40"/>
      <c r="G308" s="20">
        <v>0</v>
      </c>
      <c r="H308" s="20">
        <v>437991.7536</v>
      </c>
    </row>
    <row r="309" spans="1:8">
      <c r="A309" s="7"/>
      <c r="B309" s="7">
        <v>1247</v>
      </c>
      <c r="C309" s="16">
        <v>230201</v>
      </c>
      <c r="D309" s="17" t="s">
        <v>192</v>
      </c>
      <c r="E309" s="18" t="s">
        <v>187</v>
      </c>
      <c r="F309" s="37"/>
      <c r="G309" s="20"/>
      <c r="H309" s="20">
        <v>437991.7536</v>
      </c>
    </row>
    <row r="310" spans="1:8">
      <c r="A310" s="7"/>
      <c r="B310" s="7">
        <v>1249</v>
      </c>
      <c r="C310" s="16">
        <v>23020104</v>
      </c>
      <c r="D310" s="17" t="s">
        <v>193</v>
      </c>
      <c r="E310" s="18" t="s">
        <v>187</v>
      </c>
      <c r="F310" s="37">
        <v>447</v>
      </c>
      <c r="G310" s="20">
        <f>H310/F310</f>
        <v>979.847323489933</v>
      </c>
      <c r="H310" s="20">
        <v>437991.7536</v>
      </c>
    </row>
    <row r="311" spans="1:8">
      <c r="A311" s="7"/>
      <c r="B311" s="7">
        <v>1260</v>
      </c>
      <c r="C311" s="41"/>
      <c r="D311" s="17" t="s">
        <v>189</v>
      </c>
      <c r="E311" s="18" t="s">
        <v>184</v>
      </c>
      <c r="F311" s="40"/>
      <c r="G311" s="20"/>
      <c r="H311" s="20">
        <v>2240.3952</v>
      </c>
    </row>
    <row r="312" spans="1:8">
      <c r="A312" s="7"/>
      <c r="B312" s="7">
        <v>1261</v>
      </c>
      <c r="C312" s="16">
        <v>230204</v>
      </c>
      <c r="D312" s="17" t="s">
        <v>190</v>
      </c>
      <c r="E312" s="18"/>
      <c r="F312" s="40">
        <v>0.185464654487689</v>
      </c>
      <c r="G312" s="20"/>
      <c r="H312" s="20">
        <v>2240.3952</v>
      </c>
    </row>
    <row r="313" spans="1:8">
      <c r="A313" s="7" t="s">
        <v>529</v>
      </c>
      <c r="B313" s="7">
        <v>1230</v>
      </c>
      <c r="C313" s="16">
        <v>23</v>
      </c>
      <c r="D313" s="17" t="s">
        <v>181</v>
      </c>
      <c r="E313" s="38" t="s">
        <v>182</v>
      </c>
      <c r="F313" s="39"/>
      <c r="G313" s="20"/>
      <c r="H313" s="20">
        <v>611387.8596</v>
      </c>
    </row>
    <row r="314" spans="1:8">
      <c r="A314" s="7"/>
      <c r="B314" s="7">
        <v>1231</v>
      </c>
      <c r="C314" s="16">
        <v>2301</v>
      </c>
      <c r="D314" s="17" t="s">
        <v>183</v>
      </c>
      <c r="E314" s="18" t="s">
        <v>184</v>
      </c>
      <c r="F314" s="40"/>
      <c r="G314" s="20">
        <v>0</v>
      </c>
      <c r="H314" s="20">
        <v>518374.2312</v>
      </c>
    </row>
    <row r="315" spans="1:8">
      <c r="A315" s="7"/>
      <c r="B315" s="7">
        <v>1232</v>
      </c>
      <c r="C315" s="41"/>
      <c r="D315" s="17" t="s">
        <v>185</v>
      </c>
      <c r="E315" s="18" t="s">
        <v>184</v>
      </c>
      <c r="F315" s="40"/>
      <c r="G315" s="20">
        <v>0</v>
      </c>
      <c r="H315" s="20">
        <v>516573.7308</v>
      </c>
    </row>
    <row r="316" spans="1:8">
      <c r="A316" s="7"/>
      <c r="B316" s="7">
        <v>1233</v>
      </c>
      <c r="C316" s="16">
        <v>230101</v>
      </c>
      <c r="D316" s="17" t="s">
        <v>201</v>
      </c>
      <c r="E316" s="18" t="s">
        <v>202</v>
      </c>
      <c r="F316" s="37">
        <v>1</v>
      </c>
      <c r="G316" s="20"/>
      <c r="H316" s="20">
        <v>152538.5088</v>
      </c>
    </row>
    <row r="317" spans="1:8">
      <c r="A317" s="7"/>
      <c r="B317" s="7">
        <v>1235</v>
      </c>
      <c r="C317" s="16">
        <v>23010102</v>
      </c>
      <c r="D317" s="17" t="s">
        <v>530</v>
      </c>
      <c r="E317" s="18" t="s">
        <v>195</v>
      </c>
      <c r="F317" s="37">
        <v>1</v>
      </c>
      <c r="G317" s="20"/>
      <c r="H317" s="20">
        <v>152538.5088</v>
      </c>
    </row>
    <row r="318" spans="1:8">
      <c r="A318" s="7"/>
      <c r="B318" s="7">
        <v>1236</v>
      </c>
      <c r="C318" s="16">
        <v>230102</v>
      </c>
      <c r="D318" s="17" t="s">
        <v>186</v>
      </c>
      <c r="E318" s="18" t="s">
        <v>187</v>
      </c>
      <c r="F318" s="37"/>
      <c r="G318" s="20"/>
      <c r="H318" s="20">
        <v>106198.8732</v>
      </c>
    </row>
    <row r="319" spans="1:8">
      <c r="A319" s="7"/>
      <c r="B319" s="7">
        <v>1239</v>
      </c>
      <c r="C319" s="16">
        <v>23010204</v>
      </c>
      <c r="D319" s="17" t="s">
        <v>188</v>
      </c>
      <c r="E319" s="18" t="s">
        <v>187</v>
      </c>
      <c r="F319" s="37">
        <v>185</v>
      </c>
      <c r="G319" s="20">
        <f>H319/F319</f>
        <v>574.047963243243</v>
      </c>
      <c r="H319" s="20">
        <v>106198.8732</v>
      </c>
    </row>
    <row r="320" spans="1:8">
      <c r="A320" s="7"/>
      <c r="B320" s="7">
        <v>1241</v>
      </c>
      <c r="C320" s="16">
        <v>230103</v>
      </c>
      <c r="D320" s="17" t="s">
        <v>204</v>
      </c>
      <c r="E320" s="18" t="s">
        <v>195</v>
      </c>
      <c r="F320" s="37"/>
      <c r="G320" s="20"/>
      <c r="H320" s="20">
        <v>257836.3488</v>
      </c>
    </row>
    <row r="321" spans="1:8">
      <c r="A321" s="7"/>
      <c r="B321" s="7">
        <v>1242</v>
      </c>
      <c r="C321" s="16">
        <v>23010302</v>
      </c>
      <c r="D321" s="17" t="s">
        <v>205</v>
      </c>
      <c r="E321" s="18" t="s">
        <v>195</v>
      </c>
      <c r="F321" s="37">
        <v>1</v>
      </c>
      <c r="G321" s="20">
        <f>H321/F321</f>
        <v>257836.3488</v>
      </c>
      <c r="H321" s="20">
        <v>257836.3488</v>
      </c>
    </row>
    <row r="322" spans="1:8">
      <c r="A322" s="7"/>
      <c r="B322" s="7">
        <v>1243</v>
      </c>
      <c r="C322" s="41"/>
      <c r="D322" s="17" t="s">
        <v>189</v>
      </c>
      <c r="E322" s="18" t="s">
        <v>184</v>
      </c>
      <c r="F322" s="40"/>
      <c r="G322" s="20"/>
      <c r="H322" s="20">
        <v>1800.5004</v>
      </c>
    </row>
    <row r="323" spans="1:8">
      <c r="A323" s="7"/>
      <c r="B323" s="7">
        <v>1244</v>
      </c>
      <c r="C323" s="16">
        <v>230104</v>
      </c>
      <c r="D323" s="17" t="s">
        <v>190</v>
      </c>
      <c r="E323" s="18" t="s">
        <v>184</v>
      </c>
      <c r="F323" s="42">
        <v>0.0232149579621031</v>
      </c>
      <c r="G323" s="20"/>
      <c r="H323" s="20">
        <v>1800.5004</v>
      </c>
    </row>
    <row r="324" spans="1:8">
      <c r="A324" s="7"/>
      <c r="B324" s="7">
        <v>1245</v>
      </c>
      <c r="C324" s="16">
        <v>2302</v>
      </c>
      <c r="D324" s="17" t="s">
        <v>191</v>
      </c>
      <c r="E324" s="18" t="s">
        <v>184</v>
      </c>
      <c r="F324" s="40"/>
      <c r="G324" s="20">
        <v>0</v>
      </c>
      <c r="H324" s="20">
        <v>93013.65</v>
      </c>
    </row>
    <row r="325" spans="1:8">
      <c r="A325" s="7"/>
      <c r="B325" s="7">
        <v>1246</v>
      </c>
      <c r="C325" s="41"/>
      <c r="D325" s="17" t="s">
        <v>185</v>
      </c>
      <c r="E325" s="18" t="s">
        <v>184</v>
      </c>
      <c r="F325" s="40"/>
      <c r="G325" s="20">
        <v>0</v>
      </c>
      <c r="H325" s="20">
        <v>92538.6984</v>
      </c>
    </row>
    <row r="326" spans="1:8">
      <c r="A326" s="7"/>
      <c r="B326" s="7">
        <v>1247</v>
      </c>
      <c r="C326" s="16">
        <v>230201</v>
      </c>
      <c r="D326" s="17" t="s">
        <v>192</v>
      </c>
      <c r="E326" s="18" t="s">
        <v>187</v>
      </c>
      <c r="F326" s="37"/>
      <c r="G326" s="20"/>
      <c r="H326" s="20">
        <v>12271.6512</v>
      </c>
    </row>
    <row r="327" spans="1:8">
      <c r="A327" s="7"/>
      <c r="B327" s="7">
        <v>1249</v>
      </c>
      <c r="C327" s="16">
        <v>23020104</v>
      </c>
      <c r="D327" s="17" t="s">
        <v>193</v>
      </c>
      <c r="E327" s="18" t="s">
        <v>187</v>
      </c>
      <c r="F327" s="37">
        <v>10</v>
      </c>
      <c r="G327" s="20">
        <f t="shared" ref="G327:G331" si="20">H327/F327</f>
        <v>979.84728</v>
      </c>
      <c r="H327" s="20">
        <v>9798.4728</v>
      </c>
    </row>
    <row r="328" spans="1:8">
      <c r="A328" s="7"/>
      <c r="B328" s="7">
        <v>1250</v>
      </c>
      <c r="C328" s="16">
        <v>23020108</v>
      </c>
      <c r="D328" s="17" t="s">
        <v>512</v>
      </c>
      <c r="E328" s="18" t="s">
        <v>187</v>
      </c>
      <c r="F328" s="37">
        <v>3</v>
      </c>
      <c r="G328" s="20">
        <f t="shared" si="20"/>
        <v>824.3928</v>
      </c>
      <c r="H328" s="20">
        <v>2473.1784</v>
      </c>
    </row>
    <row r="329" spans="1:8">
      <c r="A329" s="7"/>
      <c r="B329" s="7">
        <v>1251</v>
      </c>
      <c r="C329" s="16">
        <v>230203</v>
      </c>
      <c r="D329" s="17" t="s">
        <v>194</v>
      </c>
      <c r="E329" s="18" t="s">
        <v>195</v>
      </c>
      <c r="F329" s="37"/>
      <c r="G329" s="20"/>
      <c r="H329" s="20">
        <v>80267.0472</v>
      </c>
    </row>
    <row r="330" spans="1:8">
      <c r="A330" s="7"/>
      <c r="B330" s="7">
        <v>1252</v>
      </c>
      <c r="C330" s="16">
        <v>23020301</v>
      </c>
      <c r="D330" s="17" t="s">
        <v>196</v>
      </c>
      <c r="E330" s="18" t="s">
        <v>195</v>
      </c>
      <c r="F330" s="37"/>
      <c r="G330" s="20"/>
      <c r="H330" s="20">
        <v>80267.0472</v>
      </c>
    </row>
    <row r="331" spans="1:8">
      <c r="A331" s="7"/>
      <c r="B331" s="7">
        <v>1254</v>
      </c>
      <c r="C331" s="16">
        <v>2302030102</v>
      </c>
      <c r="D331" s="17" t="s">
        <v>197</v>
      </c>
      <c r="E331" s="18" t="s">
        <v>195</v>
      </c>
      <c r="F331" s="37">
        <v>1</v>
      </c>
      <c r="G331" s="20">
        <f t="shared" si="20"/>
        <v>80267.0472</v>
      </c>
      <c r="H331" s="20">
        <v>80267.0472</v>
      </c>
    </row>
    <row r="332" spans="1:8">
      <c r="A332" s="7"/>
      <c r="B332" s="7">
        <v>1260</v>
      </c>
      <c r="C332" s="41"/>
      <c r="D332" s="17" t="s">
        <v>189</v>
      </c>
      <c r="E332" s="18" t="s">
        <v>184</v>
      </c>
      <c r="F332" s="40"/>
      <c r="G332" s="20"/>
      <c r="H332" s="20">
        <v>474.9516</v>
      </c>
    </row>
    <row r="333" spans="1:8">
      <c r="A333" s="7"/>
      <c r="B333" s="7">
        <v>1261</v>
      </c>
      <c r="C333" s="16">
        <v>230204</v>
      </c>
      <c r="D333" s="17" t="s">
        <v>190</v>
      </c>
      <c r="E333" s="18"/>
      <c r="F333" s="40">
        <v>0.0393169181890389</v>
      </c>
      <c r="G333" s="20"/>
      <c r="H333" s="20">
        <v>474.9516</v>
      </c>
    </row>
    <row r="334" spans="1:8">
      <c r="A334" s="7" t="s">
        <v>531</v>
      </c>
      <c r="B334" s="7">
        <v>1230</v>
      </c>
      <c r="C334" s="16">
        <v>23</v>
      </c>
      <c r="D334" s="17" t="s">
        <v>181</v>
      </c>
      <c r="E334" s="38" t="s">
        <v>182</v>
      </c>
      <c r="F334" s="39"/>
      <c r="G334" s="20"/>
      <c r="H334" s="20">
        <v>25924.0824</v>
      </c>
    </row>
    <row r="335" spans="1:8">
      <c r="A335" s="7"/>
      <c r="B335" s="7">
        <v>1231</v>
      </c>
      <c r="C335" s="16">
        <v>2301</v>
      </c>
      <c r="D335" s="17" t="s">
        <v>183</v>
      </c>
      <c r="E335" s="18" t="s">
        <v>184</v>
      </c>
      <c r="F335" s="40"/>
      <c r="G335" s="20"/>
      <c r="H335" s="20">
        <v>25924.0824</v>
      </c>
    </row>
    <row r="336" spans="1:8">
      <c r="A336" s="7"/>
      <c r="B336" s="7">
        <v>1232</v>
      </c>
      <c r="C336" s="41"/>
      <c r="D336" s="17" t="s">
        <v>185</v>
      </c>
      <c r="E336" s="18" t="s">
        <v>184</v>
      </c>
      <c r="F336" s="40"/>
      <c r="G336" s="20"/>
      <c r="H336" s="20">
        <v>25223.346</v>
      </c>
    </row>
    <row r="337" spans="1:8">
      <c r="A337" s="7"/>
      <c r="B337" s="7">
        <v>1236</v>
      </c>
      <c r="C337" s="16">
        <v>230102</v>
      </c>
      <c r="D337" s="17" t="s">
        <v>186</v>
      </c>
      <c r="E337" s="18" t="s">
        <v>187</v>
      </c>
      <c r="F337" s="37"/>
      <c r="G337" s="20"/>
      <c r="H337" s="20">
        <v>25223.346</v>
      </c>
    </row>
    <row r="338" spans="1:8">
      <c r="A338" s="7"/>
      <c r="B338" s="7">
        <v>1237</v>
      </c>
      <c r="C338" s="16">
        <v>23010201</v>
      </c>
      <c r="D338" s="17" t="s">
        <v>210</v>
      </c>
      <c r="E338" s="18" t="s">
        <v>187</v>
      </c>
      <c r="F338" s="37">
        <v>72</v>
      </c>
      <c r="G338" s="20">
        <f>H338/F338</f>
        <v>350.32425</v>
      </c>
      <c r="H338" s="20">
        <v>25223.346</v>
      </c>
    </row>
    <row r="339" spans="1:8">
      <c r="A339" s="7"/>
      <c r="B339" s="7">
        <v>1243</v>
      </c>
      <c r="C339" s="41"/>
      <c r="D339" s="17" t="s">
        <v>189</v>
      </c>
      <c r="E339" s="18" t="s">
        <v>184</v>
      </c>
      <c r="F339" s="40"/>
      <c r="G339" s="20"/>
      <c r="H339" s="20">
        <v>700.7364</v>
      </c>
    </row>
    <row r="340" spans="1:8">
      <c r="A340" s="7"/>
      <c r="B340" s="7">
        <v>1244</v>
      </c>
      <c r="C340" s="16">
        <v>230104</v>
      </c>
      <c r="D340" s="17" t="s">
        <v>190</v>
      </c>
      <c r="E340" s="18" t="s">
        <v>184</v>
      </c>
      <c r="F340" s="42">
        <v>0.00903501066633204</v>
      </c>
      <c r="G340" s="20"/>
      <c r="H340" s="20">
        <v>700.7364</v>
      </c>
    </row>
    <row r="341" ht="28" spans="1:8">
      <c r="A341" s="7" t="s">
        <v>532</v>
      </c>
      <c r="B341" s="7">
        <v>1289</v>
      </c>
      <c r="C341" s="16">
        <v>2508</v>
      </c>
      <c r="D341" s="17" t="s">
        <v>212</v>
      </c>
      <c r="E341" s="18" t="s">
        <v>202</v>
      </c>
      <c r="F341" s="37"/>
      <c r="G341" s="20"/>
      <c r="H341" s="20">
        <v>31771.1052</v>
      </c>
    </row>
    <row r="342" ht="28" spans="1:8">
      <c r="A342" s="7"/>
      <c r="B342" s="7">
        <v>1290</v>
      </c>
      <c r="C342" s="16">
        <v>250801</v>
      </c>
      <c r="D342" s="17" t="s">
        <v>213</v>
      </c>
      <c r="E342" s="18" t="s">
        <v>202</v>
      </c>
      <c r="F342" s="37">
        <v>1</v>
      </c>
      <c r="G342" s="20">
        <f>H342/F342</f>
        <v>15869.304</v>
      </c>
      <c r="H342" s="20">
        <v>15869.304</v>
      </c>
    </row>
    <row r="343" spans="1:8">
      <c r="A343" s="7"/>
      <c r="B343" s="7">
        <v>1291</v>
      </c>
      <c r="C343" s="41"/>
      <c r="D343" s="17" t="s">
        <v>185</v>
      </c>
      <c r="E343" s="18" t="s">
        <v>202</v>
      </c>
      <c r="F343" s="37">
        <v>1</v>
      </c>
      <c r="G343" s="20">
        <f>H343/F343</f>
        <v>15869.304</v>
      </c>
      <c r="H343" s="20">
        <v>15869.304</v>
      </c>
    </row>
    <row r="344" spans="1:8">
      <c r="A344" s="7"/>
      <c r="B344" s="7">
        <v>1292</v>
      </c>
      <c r="C344" s="16">
        <v>25080101</v>
      </c>
      <c r="D344" s="17" t="s">
        <v>214</v>
      </c>
      <c r="E344" s="18" t="s">
        <v>202</v>
      </c>
      <c r="F344" s="37">
        <v>1</v>
      </c>
      <c r="G344" s="20">
        <f t="shared" ref="G344:G350" si="21">H344/F344</f>
        <v>15869.304</v>
      </c>
      <c r="H344" s="20">
        <v>15869.304</v>
      </c>
    </row>
    <row r="345" ht="28" spans="1:8">
      <c r="A345" s="7"/>
      <c r="B345" s="7">
        <v>1295</v>
      </c>
      <c r="C345" s="16">
        <v>250802</v>
      </c>
      <c r="D345" s="17" t="s">
        <v>533</v>
      </c>
      <c r="E345" s="18" t="s">
        <v>202</v>
      </c>
      <c r="F345" s="37">
        <v>1</v>
      </c>
      <c r="G345" s="20">
        <f t="shared" si="21"/>
        <v>15901.8012</v>
      </c>
      <c r="H345" s="20">
        <v>15901.8012</v>
      </c>
    </row>
    <row r="346" spans="1:8">
      <c r="A346" s="7"/>
      <c r="B346" s="7">
        <v>1296</v>
      </c>
      <c r="C346" s="41"/>
      <c r="D346" s="17" t="s">
        <v>185</v>
      </c>
      <c r="E346" s="18" t="s">
        <v>202</v>
      </c>
      <c r="F346" s="37">
        <v>1</v>
      </c>
      <c r="G346" s="20">
        <f t="shared" si="21"/>
        <v>15901.8012</v>
      </c>
      <c r="H346" s="20">
        <v>15901.8012</v>
      </c>
    </row>
    <row r="347" spans="1:8">
      <c r="A347" s="7"/>
      <c r="B347" s="7">
        <v>1297</v>
      </c>
      <c r="C347" s="16">
        <v>25080201</v>
      </c>
      <c r="D347" s="17" t="s">
        <v>214</v>
      </c>
      <c r="E347" s="18" t="s">
        <v>202</v>
      </c>
      <c r="F347" s="37">
        <v>1</v>
      </c>
      <c r="G347" s="20">
        <f t="shared" si="21"/>
        <v>15901.8012</v>
      </c>
      <c r="H347" s="20">
        <v>15901.8012</v>
      </c>
    </row>
    <row r="348" ht="28" spans="1:8">
      <c r="A348" s="7" t="s">
        <v>534</v>
      </c>
      <c r="B348" s="7">
        <v>1289</v>
      </c>
      <c r="C348" s="16">
        <v>2508</v>
      </c>
      <c r="D348" s="17" t="s">
        <v>212</v>
      </c>
      <c r="E348" s="18" t="s">
        <v>202</v>
      </c>
      <c r="F348" s="37"/>
      <c r="G348" s="20"/>
      <c r="H348" s="20">
        <v>31771.1052</v>
      </c>
    </row>
    <row r="349" ht="28" spans="1:8">
      <c r="A349" s="7"/>
      <c r="B349" s="7">
        <v>1290</v>
      </c>
      <c r="C349" s="16">
        <v>250801</v>
      </c>
      <c r="D349" s="17" t="s">
        <v>213</v>
      </c>
      <c r="E349" s="18" t="s">
        <v>202</v>
      </c>
      <c r="F349" s="37">
        <v>1</v>
      </c>
      <c r="G349" s="20">
        <f t="shared" si="21"/>
        <v>15869.304</v>
      </c>
      <c r="H349" s="20">
        <v>15869.304</v>
      </c>
    </row>
    <row r="350" spans="1:8">
      <c r="A350" s="7"/>
      <c r="B350" s="7">
        <v>1291</v>
      </c>
      <c r="C350" s="41"/>
      <c r="D350" s="17" t="s">
        <v>185</v>
      </c>
      <c r="E350" s="18" t="s">
        <v>202</v>
      </c>
      <c r="F350" s="37">
        <v>1</v>
      </c>
      <c r="G350" s="20">
        <f t="shared" si="21"/>
        <v>15869.304</v>
      </c>
      <c r="H350" s="20">
        <v>15869.304</v>
      </c>
    </row>
    <row r="351" spans="1:8">
      <c r="A351" s="7"/>
      <c r="B351" s="7">
        <v>1292</v>
      </c>
      <c r="C351" s="16">
        <v>25080101</v>
      </c>
      <c r="D351" s="17" t="s">
        <v>214</v>
      </c>
      <c r="E351" s="18" t="s">
        <v>202</v>
      </c>
      <c r="F351" s="37">
        <v>1</v>
      </c>
      <c r="G351" s="20">
        <f t="shared" ref="G351:G357" si="22">H351/F351</f>
        <v>15869.304</v>
      </c>
      <c r="H351" s="20">
        <v>15869.304</v>
      </c>
    </row>
    <row r="352" ht="28" spans="1:8">
      <c r="A352" s="7"/>
      <c r="B352" s="7">
        <v>1295</v>
      </c>
      <c r="C352" s="16">
        <v>250802</v>
      </c>
      <c r="D352" s="17" t="s">
        <v>533</v>
      </c>
      <c r="E352" s="18" t="s">
        <v>202</v>
      </c>
      <c r="F352" s="37">
        <v>1</v>
      </c>
      <c r="G352" s="20">
        <f t="shared" si="22"/>
        <v>15901.8012</v>
      </c>
      <c r="H352" s="20">
        <v>15901.8012</v>
      </c>
    </row>
    <row r="353" spans="1:8">
      <c r="A353" s="7"/>
      <c r="B353" s="7">
        <v>1296</v>
      </c>
      <c r="C353" s="41"/>
      <c r="D353" s="17" t="s">
        <v>185</v>
      </c>
      <c r="E353" s="18" t="s">
        <v>202</v>
      </c>
      <c r="F353" s="37">
        <v>1</v>
      </c>
      <c r="G353" s="20">
        <f t="shared" si="22"/>
        <v>15901.8012</v>
      </c>
      <c r="H353" s="20">
        <v>15901.8012</v>
      </c>
    </row>
    <row r="354" spans="1:8">
      <c r="A354" s="7"/>
      <c r="B354" s="7">
        <v>1297</v>
      </c>
      <c r="C354" s="16">
        <v>25080201</v>
      </c>
      <c r="D354" s="17" t="s">
        <v>214</v>
      </c>
      <c r="E354" s="18" t="s">
        <v>202</v>
      </c>
      <c r="F354" s="37">
        <v>1</v>
      </c>
      <c r="G354" s="20">
        <f t="shared" si="22"/>
        <v>15901.8012</v>
      </c>
      <c r="H354" s="20">
        <v>15901.8012</v>
      </c>
    </row>
    <row r="355" ht="28" spans="1:8">
      <c r="A355" s="7" t="s">
        <v>535</v>
      </c>
      <c r="B355" s="7">
        <v>1289</v>
      </c>
      <c r="C355" s="16">
        <v>2508</v>
      </c>
      <c r="D355" s="17" t="s">
        <v>212</v>
      </c>
      <c r="E355" s="18" t="s">
        <v>202</v>
      </c>
      <c r="F355" s="37"/>
      <c r="G355" s="20"/>
      <c r="H355" s="20">
        <v>31771.1052</v>
      </c>
    </row>
    <row r="356" ht="28" spans="1:8">
      <c r="A356" s="7"/>
      <c r="B356" s="7">
        <v>1290</v>
      </c>
      <c r="C356" s="16">
        <v>250801</v>
      </c>
      <c r="D356" s="17" t="s">
        <v>213</v>
      </c>
      <c r="E356" s="18" t="s">
        <v>202</v>
      </c>
      <c r="F356" s="37">
        <v>1</v>
      </c>
      <c r="G356" s="20">
        <f t="shared" si="22"/>
        <v>15869.304</v>
      </c>
      <c r="H356" s="20">
        <v>15869.304</v>
      </c>
    </row>
    <row r="357" spans="1:8">
      <c r="A357" s="7"/>
      <c r="B357" s="7">
        <v>1291</v>
      </c>
      <c r="C357" s="41"/>
      <c r="D357" s="17" t="s">
        <v>185</v>
      </c>
      <c r="E357" s="18" t="s">
        <v>202</v>
      </c>
      <c r="F357" s="37">
        <v>1</v>
      </c>
      <c r="G357" s="20">
        <f t="shared" si="22"/>
        <v>15869.304</v>
      </c>
      <c r="H357" s="20">
        <v>15869.304</v>
      </c>
    </row>
    <row r="358" spans="1:8">
      <c r="A358" s="7"/>
      <c r="B358" s="7">
        <v>1292</v>
      </c>
      <c r="C358" s="16">
        <v>25080101</v>
      </c>
      <c r="D358" s="17" t="s">
        <v>214</v>
      </c>
      <c r="E358" s="18" t="s">
        <v>202</v>
      </c>
      <c r="F358" s="37">
        <v>1</v>
      </c>
      <c r="G358" s="20">
        <f t="shared" ref="G358:G363" si="23">H358/F358</f>
        <v>15869.304</v>
      </c>
      <c r="H358" s="20">
        <v>15869.304</v>
      </c>
    </row>
    <row r="359" ht="28" spans="1:8">
      <c r="A359" s="7"/>
      <c r="B359" s="7">
        <v>1295</v>
      </c>
      <c r="C359" s="16">
        <v>250802</v>
      </c>
      <c r="D359" s="17" t="s">
        <v>533</v>
      </c>
      <c r="E359" s="18" t="s">
        <v>202</v>
      </c>
      <c r="F359" s="37">
        <v>1</v>
      </c>
      <c r="G359" s="20">
        <f t="shared" si="23"/>
        <v>15901.8012</v>
      </c>
      <c r="H359" s="20">
        <v>15901.8012</v>
      </c>
    </row>
    <row r="360" spans="1:8">
      <c r="A360" s="7"/>
      <c r="B360" s="7">
        <v>1296</v>
      </c>
      <c r="C360" s="41"/>
      <c r="D360" s="17" t="s">
        <v>185</v>
      </c>
      <c r="E360" s="18" t="s">
        <v>202</v>
      </c>
      <c r="F360" s="37">
        <v>1</v>
      </c>
      <c r="G360" s="20">
        <f t="shared" si="23"/>
        <v>15901.8012</v>
      </c>
      <c r="H360" s="20">
        <v>15901.8012</v>
      </c>
    </row>
    <row r="361" spans="1:8">
      <c r="A361" s="7"/>
      <c r="B361" s="7">
        <v>1297</v>
      </c>
      <c r="C361" s="16">
        <v>25080201</v>
      </c>
      <c r="D361" s="17" t="s">
        <v>214</v>
      </c>
      <c r="E361" s="18" t="s">
        <v>202</v>
      </c>
      <c r="F361" s="37">
        <v>1</v>
      </c>
      <c r="G361" s="20">
        <f t="shared" si="23"/>
        <v>15901.8012</v>
      </c>
      <c r="H361" s="20">
        <v>15901.8012</v>
      </c>
    </row>
    <row r="362" spans="1:8">
      <c r="A362" s="7" t="s">
        <v>536</v>
      </c>
      <c r="B362" s="7">
        <v>1281</v>
      </c>
      <c r="C362" s="16">
        <v>25</v>
      </c>
      <c r="D362" s="17" t="s">
        <v>537</v>
      </c>
      <c r="E362" s="18" t="s">
        <v>182</v>
      </c>
      <c r="F362" s="39"/>
      <c r="G362" s="20"/>
      <c r="H362" s="20">
        <v>73023.0012</v>
      </c>
    </row>
    <row r="363" spans="1:8">
      <c r="A363" s="7"/>
      <c r="B363" s="7">
        <v>1282</v>
      </c>
      <c r="C363" s="16">
        <v>2503</v>
      </c>
      <c r="D363" s="17" t="s">
        <v>538</v>
      </c>
      <c r="E363" s="18" t="s">
        <v>202</v>
      </c>
      <c r="F363" s="37">
        <v>1</v>
      </c>
      <c r="G363" s="20">
        <f t="shared" si="23"/>
        <v>73023.0012</v>
      </c>
      <c r="H363" s="20">
        <v>73023.0012</v>
      </c>
    </row>
    <row r="364" spans="1:8">
      <c r="A364" s="7"/>
      <c r="B364" s="7">
        <v>1283</v>
      </c>
      <c r="C364" s="41"/>
      <c r="D364" s="17" t="s">
        <v>185</v>
      </c>
      <c r="E364" s="18" t="s">
        <v>202</v>
      </c>
      <c r="F364" s="37">
        <v>1</v>
      </c>
      <c r="G364" s="20">
        <f t="shared" ref="G364:G369" si="24">H364/F364</f>
        <v>29538.4212</v>
      </c>
      <c r="H364" s="20">
        <v>29538.4212</v>
      </c>
    </row>
    <row r="365" spans="1:8">
      <c r="A365" s="7"/>
      <c r="B365" s="7">
        <v>1284</v>
      </c>
      <c r="C365" s="16">
        <v>250302</v>
      </c>
      <c r="D365" s="17" t="s">
        <v>539</v>
      </c>
      <c r="E365" s="18" t="s">
        <v>202</v>
      </c>
      <c r="F365" s="39">
        <v>1</v>
      </c>
      <c r="G365" s="20">
        <f t="shared" si="24"/>
        <v>29538.4212</v>
      </c>
      <c r="H365" s="20">
        <v>29538.4212</v>
      </c>
    </row>
    <row r="366" spans="1:8">
      <c r="A366" s="7"/>
      <c r="B366" s="7">
        <v>1285</v>
      </c>
      <c r="C366" s="16">
        <v>25030207</v>
      </c>
      <c r="D366" s="17" t="s">
        <v>540</v>
      </c>
      <c r="E366" s="18" t="s">
        <v>202</v>
      </c>
      <c r="F366" s="37">
        <v>1</v>
      </c>
      <c r="G366" s="20">
        <f t="shared" si="24"/>
        <v>29538.4212</v>
      </c>
      <c r="H366" s="20">
        <v>29538.4212</v>
      </c>
    </row>
    <row r="367" spans="1:8">
      <c r="A367" s="7"/>
      <c r="B367" s="7">
        <v>1286</v>
      </c>
      <c r="C367" s="41"/>
      <c r="D367" s="17" t="s">
        <v>189</v>
      </c>
      <c r="E367" s="18" t="s">
        <v>202</v>
      </c>
      <c r="F367" s="37">
        <v>1</v>
      </c>
      <c r="G367" s="20">
        <f t="shared" si="24"/>
        <v>43484.58</v>
      </c>
      <c r="H367" s="20">
        <v>43484.58</v>
      </c>
    </row>
    <row r="368" spans="1:8">
      <c r="A368" s="7"/>
      <c r="B368" s="7">
        <v>1287</v>
      </c>
      <c r="C368" s="16">
        <v>250304</v>
      </c>
      <c r="D368" s="17" t="s">
        <v>541</v>
      </c>
      <c r="E368" s="18" t="s">
        <v>202</v>
      </c>
      <c r="F368" s="37">
        <v>1</v>
      </c>
      <c r="G368" s="20">
        <f t="shared" si="24"/>
        <v>43484.58</v>
      </c>
      <c r="H368" s="20">
        <v>43484.58</v>
      </c>
    </row>
    <row r="369" spans="1:8">
      <c r="A369" s="7"/>
      <c r="B369" s="7">
        <v>1288</v>
      </c>
      <c r="C369" s="16">
        <v>25030407</v>
      </c>
      <c r="D369" s="17" t="s">
        <v>540</v>
      </c>
      <c r="E369" s="18" t="s">
        <v>202</v>
      </c>
      <c r="F369" s="37">
        <v>1</v>
      </c>
      <c r="G369" s="20">
        <f t="shared" si="24"/>
        <v>43484.58</v>
      </c>
      <c r="H369" s="20">
        <v>43484.58</v>
      </c>
    </row>
  </sheetData>
  <mergeCells count="56">
    <mergeCell ref="A1:H1"/>
    <mergeCell ref="G2:H2"/>
    <mergeCell ref="A211:H211"/>
    <mergeCell ref="G212:H212"/>
    <mergeCell ref="A2:A3"/>
    <mergeCell ref="A5:A14"/>
    <mergeCell ref="A15:A16"/>
    <mergeCell ref="A17:A26"/>
    <mergeCell ref="A27:A36"/>
    <mergeCell ref="A37:A38"/>
    <mergeCell ref="A39:A40"/>
    <mergeCell ref="A41:A50"/>
    <mergeCell ref="A51:A60"/>
    <mergeCell ref="A61:A62"/>
    <mergeCell ref="A63:A72"/>
    <mergeCell ref="A73:A74"/>
    <mergeCell ref="A75:A76"/>
    <mergeCell ref="A77:A78"/>
    <mergeCell ref="A79:A93"/>
    <mergeCell ref="A94:A103"/>
    <mergeCell ref="A104:A113"/>
    <mergeCell ref="A114:A115"/>
    <mergeCell ref="A116:A125"/>
    <mergeCell ref="A126:A127"/>
    <mergeCell ref="A128:A137"/>
    <mergeCell ref="A138:A147"/>
    <mergeCell ref="A148:A158"/>
    <mergeCell ref="A159:A166"/>
    <mergeCell ref="A167:A173"/>
    <mergeCell ref="A174:A183"/>
    <mergeCell ref="A184:A196"/>
    <mergeCell ref="A197:A199"/>
    <mergeCell ref="A200:A202"/>
    <mergeCell ref="A212:A213"/>
    <mergeCell ref="A215:A231"/>
    <mergeCell ref="A232:A247"/>
    <mergeCell ref="A248:A262"/>
    <mergeCell ref="A263:A299"/>
    <mergeCell ref="A300:A312"/>
    <mergeCell ref="A313:A333"/>
    <mergeCell ref="A334:A340"/>
    <mergeCell ref="A341:A347"/>
    <mergeCell ref="A348:A354"/>
    <mergeCell ref="A355:A361"/>
    <mergeCell ref="A362:A369"/>
    <mergeCell ref="B2:B3"/>
    <mergeCell ref="B212:B213"/>
    <mergeCell ref="C2:C3"/>
    <mergeCell ref="C212:C213"/>
    <mergeCell ref="D2:D3"/>
    <mergeCell ref="D212:D213"/>
    <mergeCell ref="E2:E3"/>
    <mergeCell ref="E212:E213"/>
    <mergeCell ref="F2:F3"/>
    <mergeCell ref="F212:F213"/>
    <mergeCell ref="A203:H210"/>
  </mergeCells>
  <conditionalFormatting sqref="G2:H2">
    <cfRule type="expression" dxfId="0" priority="6">
      <formula>""</formula>
    </cfRule>
  </conditionalFormatting>
  <conditionalFormatting sqref="A215">
    <cfRule type="expression" dxfId="0" priority="5">
      <formula>""</formula>
    </cfRule>
  </conditionalFormatting>
  <conditionalFormatting sqref="A355">
    <cfRule type="expression" dxfId="0" priority="3">
      <formula>""</formula>
    </cfRule>
  </conditionalFormatting>
  <conditionalFormatting sqref="A197:H202">
    <cfRule type="expression" dxfId="0" priority="7">
      <formula>""</formula>
    </cfRule>
  </conditionalFormatting>
  <conditionalFormatting sqref="A211 G215:H369">
    <cfRule type="expression" dxfId="0" priority="2">
      <formula>""</formula>
    </cfRule>
  </conditionalFormatting>
  <conditionalFormatting sqref="A212:H214">
    <cfRule type="expression" dxfId="0" priority="1">
      <formula>""</formula>
    </cfRule>
  </conditionalFormatting>
  <conditionalFormatting sqref="A341 A348">
    <cfRule type="expression" dxfId="0" priority="4">
      <formula>""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zoomScale="130" zoomScaleNormal="130" workbookViewId="0">
      <selection activeCell="I101" sqref="I101"/>
    </sheetView>
  </sheetViews>
  <sheetFormatPr defaultColWidth="8.88461538461539" defaultRowHeight="16.8" outlineLevelCol="7"/>
  <cols>
    <col min="1" max="1" width="14.625" style="1" customWidth="1"/>
    <col min="2" max="2" width="4.375" style="2" customWidth="1"/>
    <col min="3" max="3" width="15.9711538461538" style="2" customWidth="1"/>
    <col min="4" max="4" width="24.625" style="2" customWidth="1"/>
    <col min="5" max="5" width="7.625" style="2" customWidth="1"/>
    <col min="6" max="6" width="11.1923076923077" style="2" customWidth="1"/>
    <col min="7" max="7" width="9.74038461538461" style="3" customWidth="1"/>
    <col min="8" max="8" width="8.875" style="2" customWidth="1"/>
    <col min="10" max="10" width="12.8846153846154"/>
  </cols>
  <sheetData>
    <row r="1" spans="1:8">
      <c r="A1" s="4" t="s">
        <v>0</v>
      </c>
      <c r="B1" s="5"/>
      <c r="C1" s="5"/>
      <c r="D1" s="5"/>
      <c r="E1" s="5"/>
      <c r="F1" s="5"/>
      <c r="G1" s="6"/>
      <c r="H1" s="5"/>
    </row>
    <row r="2" spans="1:8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10" t="s">
        <v>7</v>
      </c>
      <c r="H2" s="11"/>
    </row>
    <row r="3" spans="1:8">
      <c r="A3" s="7"/>
      <c r="B3" s="8"/>
      <c r="C3" s="8"/>
      <c r="D3" s="8"/>
      <c r="E3" s="8"/>
      <c r="F3" s="9"/>
      <c r="G3" s="9" t="s">
        <v>8</v>
      </c>
      <c r="H3" s="12" t="s">
        <v>9</v>
      </c>
    </row>
    <row r="4" spans="1:8">
      <c r="A4" s="13"/>
      <c r="B4" s="14"/>
      <c r="C4" s="14"/>
      <c r="D4" s="14"/>
      <c r="E4" s="14"/>
      <c r="F4" s="14"/>
      <c r="G4" s="15"/>
      <c r="H4" s="14">
        <f t="array" ref="H4">SUM(IF(G5:G61="",H5:H61,""))</f>
        <v>11321659.2174275</v>
      </c>
    </row>
    <row r="5" ht="28" spans="1:8">
      <c r="A5" s="7" t="s">
        <v>542</v>
      </c>
      <c r="B5" s="7">
        <v>933</v>
      </c>
      <c r="C5" s="16">
        <v>2201031006</v>
      </c>
      <c r="D5" s="17" t="s">
        <v>543</v>
      </c>
      <c r="E5" s="18" t="s">
        <v>12</v>
      </c>
      <c r="F5" s="19">
        <v>858</v>
      </c>
      <c r="G5" s="20"/>
      <c r="H5" s="21">
        <f>H6+H9+H11+H12+H13</f>
        <v>2937776.6418</v>
      </c>
    </row>
    <row r="6" spans="1:8">
      <c r="A6" s="7"/>
      <c r="B6" s="7">
        <v>934</v>
      </c>
      <c r="C6" s="16">
        <v>220103100601</v>
      </c>
      <c r="D6" s="17" t="s">
        <v>13</v>
      </c>
      <c r="E6" s="18" t="s">
        <v>12</v>
      </c>
      <c r="F6" s="19">
        <v>858</v>
      </c>
      <c r="G6" s="20">
        <v>1270.47928545379</v>
      </c>
      <c r="H6" s="22">
        <f>G6*F6</f>
        <v>1090071.22691935</v>
      </c>
    </row>
    <row r="7" spans="1:8">
      <c r="A7" s="7"/>
      <c r="B7" s="7">
        <v>935</v>
      </c>
      <c r="C7" s="16">
        <v>22010310060101</v>
      </c>
      <c r="D7" s="17" t="s">
        <v>15</v>
      </c>
      <c r="E7" s="18" t="s">
        <v>16</v>
      </c>
      <c r="F7" s="19">
        <v>14.04</v>
      </c>
      <c r="G7" s="20">
        <f>H7/F7</f>
        <v>310.561603110927</v>
      </c>
      <c r="H7" s="22">
        <f>0.004*H6</f>
        <v>4360.28490767741</v>
      </c>
    </row>
    <row r="8" spans="1:8">
      <c r="A8" s="7"/>
      <c r="B8" s="7">
        <v>936</v>
      </c>
      <c r="C8" s="16">
        <v>22010310060102</v>
      </c>
      <c r="D8" s="17" t="s">
        <v>18</v>
      </c>
      <c r="E8" s="18" t="s">
        <v>19</v>
      </c>
      <c r="F8" s="19">
        <v>503.72</v>
      </c>
      <c r="G8" s="20">
        <f>H8/F8</f>
        <v>2155.38581357039</v>
      </c>
      <c r="H8" s="22">
        <f>H6-H7</f>
        <v>1085710.94201167</v>
      </c>
    </row>
    <row r="9" spans="1:8">
      <c r="A9" s="7"/>
      <c r="B9" s="7">
        <v>937</v>
      </c>
      <c r="C9" s="16">
        <v>220103100602</v>
      </c>
      <c r="D9" s="17" t="s">
        <v>20</v>
      </c>
      <c r="E9" s="18" t="s">
        <v>12</v>
      </c>
      <c r="F9" s="19">
        <v>858</v>
      </c>
      <c r="G9" s="20">
        <v>648.019725777817</v>
      </c>
      <c r="H9" s="22">
        <f t="shared" ref="H9:H15" si="0">G9*F9</f>
        <v>556000.924717367</v>
      </c>
    </row>
    <row r="10" spans="1:8">
      <c r="A10" s="7"/>
      <c r="B10" s="7">
        <v>938</v>
      </c>
      <c r="C10" s="16">
        <v>22010310060202</v>
      </c>
      <c r="D10" s="17" t="s">
        <v>22</v>
      </c>
      <c r="E10" s="18" t="s">
        <v>12</v>
      </c>
      <c r="F10" s="19">
        <v>858</v>
      </c>
      <c r="G10" s="20">
        <v>648.019725777817</v>
      </c>
      <c r="H10" s="22">
        <f t="shared" si="0"/>
        <v>556000.924717367</v>
      </c>
    </row>
    <row r="11" spans="1:8">
      <c r="A11" s="7"/>
      <c r="B11" s="7">
        <v>939</v>
      </c>
      <c r="C11" s="16">
        <v>220103100603</v>
      </c>
      <c r="D11" s="17" t="s">
        <v>23</v>
      </c>
      <c r="E11" s="18" t="s">
        <v>12</v>
      </c>
      <c r="F11" s="19">
        <v>858</v>
      </c>
      <c r="G11" s="20">
        <v>1072.06181194438</v>
      </c>
      <c r="H11" s="22">
        <f t="shared" si="0"/>
        <v>919829.034648276</v>
      </c>
    </row>
    <row r="12" spans="1:8">
      <c r="A12" s="7"/>
      <c r="B12" s="7">
        <v>940</v>
      </c>
      <c r="C12" s="16">
        <v>220103100604</v>
      </c>
      <c r="D12" s="17" t="s">
        <v>24</v>
      </c>
      <c r="E12" s="18" t="s">
        <v>12</v>
      </c>
      <c r="F12" s="19">
        <v>858</v>
      </c>
      <c r="G12" s="20">
        <v>249.858644618143</v>
      </c>
      <c r="H12" s="22">
        <f t="shared" si="0"/>
        <v>214378.717082367</v>
      </c>
    </row>
    <row r="13" spans="1:8">
      <c r="A13" s="7"/>
      <c r="B13" s="7">
        <v>941</v>
      </c>
      <c r="C13" s="16">
        <v>220103100605</v>
      </c>
      <c r="D13" s="17" t="s">
        <v>25</v>
      </c>
      <c r="E13" s="18" t="s">
        <v>12</v>
      </c>
      <c r="F13" s="19">
        <v>858</v>
      </c>
      <c r="G13" s="20">
        <v>183.562632205873</v>
      </c>
      <c r="H13" s="22">
        <f t="shared" si="0"/>
        <v>157496.738432639</v>
      </c>
    </row>
    <row r="14" spans="1:8">
      <c r="A14" s="7"/>
      <c r="B14" s="7">
        <v>942</v>
      </c>
      <c r="C14" s="16">
        <v>22010310060501</v>
      </c>
      <c r="D14" s="17" t="s">
        <v>27</v>
      </c>
      <c r="E14" s="18" t="s">
        <v>16</v>
      </c>
      <c r="F14" s="19">
        <v>1388.05</v>
      </c>
      <c r="G14" s="20">
        <f>H13/F14</f>
        <v>113.466185247389</v>
      </c>
      <c r="H14" s="22">
        <f t="shared" si="0"/>
        <v>157496.738432639</v>
      </c>
    </row>
    <row r="15" spans="1:8">
      <c r="A15" s="7"/>
      <c r="B15" s="7">
        <v>943</v>
      </c>
      <c r="C15" s="16" t="s">
        <v>544</v>
      </c>
      <c r="D15" s="17" t="s">
        <v>33</v>
      </c>
      <c r="E15" s="18" t="s">
        <v>16</v>
      </c>
      <c r="F15" s="19">
        <v>1388.05</v>
      </c>
      <c r="G15" s="20">
        <f>H14/F15</f>
        <v>113.466185247389</v>
      </c>
      <c r="H15" s="22">
        <f t="shared" si="0"/>
        <v>157496.738432639</v>
      </c>
    </row>
    <row r="16" ht="28" spans="1:8">
      <c r="A16" s="7" t="s">
        <v>542</v>
      </c>
      <c r="B16" s="7">
        <v>1056</v>
      </c>
      <c r="C16" s="16">
        <v>22020106</v>
      </c>
      <c r="D16" s="17" t="s">
        <v>545</v>
      </c>
      <c r="E16" s="18" t="s">
        <v>12</v>
      </c>
      <c r="F16" s="19">
        <v>1539.6</v>
      </c>
      <c r="G16" s="23"/>
      <c r="H16" s="24">
        <f>H17+H19+H21+H22+H23</f>
        <v>3644688.45972</v>
      </c>
    </row>
    <row r="17" spans="1:8">
      <c r="A17" s="7"/>
      <c r="B17" s="7">
        <v>1057</v>
      </c>
      <c r="C17" s="16">
        <v>2202010601</v>
      </c>
      <c r="D17" s="17" t="s">
        <v>13</v>
      </c>
      <c r="E17" s="18" t="s">
        <v>12</v>
      </c>
      <c r="F17" s="19">
        <v>1539.6</v>
      </c>
      <c r="G17" s="20">
        <v>664.234254174078</v>
      </c>
      <c r="H17" s="22">
        <f>G17*F17</f>
        <v>1022655.05772641</v>
      </c>
    </row>
    <row r="18" spans="1:8">
      <c r="A18" s="7"/>
      <c r="B18" s="7">
        <v>1058</v>
      </c>
      <c r="C18" s="16">
        <v>220201060102</v>
      </c>
      <c r="D18" s="17" t="s">
        <v>18</v>
      </c>
      <c r="E18" s="18" t="s">
        <v>19</v>
      </c>
      <c r="F18" s="19">
        <v>523.8</v>
      </c>
      <c r="G18" s="20">
        <v>664.234254174078</v>
      </c>
      <c r="H18" s="22">
        <f t="shared" ref="H18:H24" si="1">G18*F18</f>
        <v>347925.902336382</v>
      </c>
    </row>
    <row r="19" spans="1:8">
      <c r="A19" s="7"/>
      <c r="B19" s="7">
        <v>1059</v>
      </c>
      <c r="C19" s="16">
        <v>2202010602</v>
      </c>
      <c r="D19" s="17" t="s">
        <v>20</v>
      </c>
      <c r="E19" s="18" t="s">
        <v>12</v>
      </c>
      <c r="F19" s="19">
        <v>1539.6</v>
      </c>
      <c r="G19" s="20">
        <v>538.2442356318</v>
      </c>
      <c r="H19" s="22">
        <f t="shared" si="1"/>
        <v>828680.825178719</v>
      </c>
    </row>
    <row r="20" spans="1:8">
      <c r="A20" s="7"/>
      <c r="B20" s="7">
        <v>1060</v>
      </c>
      <c r="C20" s="16">
        <v>220201060202</v>
      </c>
      <c r="D20" s="17" t="s">
        <v>22</v>
      </c>
      <c r="E20" s="18" t="s">
        <v>12</v>
      </c>
      <c r="F20" s="19">
        <v>1539.6</v>
      </c>
      <c r="G20" s="20">
        <v>538.2442356318</v>
      </c>
      <c r="H20" s="22">
        <f t="shared" si="1"/>
        <v>828680.825178719</v>
      </c>
    </row>
    <row r="21" spans="1:8">
      <c r="A21" s="7"/>
      <c r="B21" s="7">
        <v>1061</v>
      </c>
      <c r="C21" s="16">
        <v>2202010603</v>
      </c>
      <c r="D21" s="17" t="s">
        <v>23</v>
      </c>
      <c r="E21" s="18" t="s">
        <v>12</v>
      </c>
      <c r="F21" s="19">
        <v>1539.6</v>
      </c>
      <c r="G21" s="20">
        <v>925.223502017065</v>
      </c>
      <c r="H21" s="22">
        <f t="shared" si="1"/>
        <v>1424474.10370547</v>
      </c>
    </row>
    <row r="22" spans="1:8">
      <c r="A22" s="7"/>
      <c r="B22" s="7">
        <v>1062</v>
      </c>
      <c r="C22" s="16">
        <v>2202010604</v>
      </c>
      <c r="D22" s="17" t="s">
        <v>24</v>
      </c>
      <c r="E22" s="18" t="s">
        <v>12</v>
      </c>
      <c r="F22" s="19">
        <v>1539.6</v>
      </c>
      <c r="G22" s="20">
        <v>132.797690254165</v>
      </c>
      <c r="H22" s="22">
        <f t="shared" si="1"/>
        <v>204455.323915312</v>
      </c>
    </row>
    <row r="23" spans="1:8">
      <c r="A23" s="7"/>
      <c r="B23" s="7">
        <v>1063</v>
      </c>
      <c r="C23" s="16">
        <v>2202010605</v>
      </c>
      <c r="D23" s="17" t="s">
        <v>25</v>
      </c>
      <c r="E23" s="18" t="s">
        <v>12</v>
      </c>
      <c r="F23" s="19">
        <v>1539.6</v>
      </c>
      <c r="G23" s="20">
        <v>106.796017922893</v>
      </c>
      <c r="H23" s="22">
        <f t="shared" si="1"/>
        <v>164423.149194086</v>
      </c>
    </row>
    <row r="24" spans="1:8">
      <c r="A24" s="7"/>
      <c r="B24" s="7">
        <v>1064</v>
      </c>
      <c r="C24" s="16">
        <v>220201060501</v>
      </c>
      <c r="D24" s="17" t="s">
        <v>27</v>
      </c>
      <c r="E24" s="18" t="s">
        <v>16</v>
      </c>
      <c r="F24" s="19">
        <v>150</v>
      </c>
      <c r="G24" s="20">
        <f>H23/F24</f>
        <v>1096.15432796057</v>
      </c>
      <c r="H24" s="22">
        <f t="shared" si="1"/>
        <v>164423.149194086</v>
      </c>
    </row>
    <row r="25" spans="1:8">
      <c r="A25" s="7"/>
      <c r="B25" s="7">
        <v>1065</v>
      </c>
      <c r="C25" s="16">
        <v>22020106050102</v>
      </c>
      <c r="D25" s="17" t="s">
        <v>29</v>
      </c>
      <c r="E25" s="18" t="s">
        <v>16</v>
      </c>
      <c r="F25" s="19">
        <v>150</v>
      </c>
      <c r="G25" s="20">
        <f>H25/F25</f>
        <v>200.596242016785</v>
      </c>
      <c r="H25" s="22">
        <f>0.183*H24</f>
        <v>30089.4363025177</v>
      </c>
    </row>
    <row r="26" spans="1:8">
      <c r="A26" s="7"/>
      <c r="B26" s="7">
        <v>1066</v>
      </c>
      <c r="C26" s="16" t="s">
        <v>546</v>
      </c>
      <c r="D26" s="17" t="s">
        <v>31</v>
      </c>
      <c r="E26" s="18" t="s">
        <v>16</v>
      </c>
      <c r="F26" s="19">
        <v>150</v>
      </c>
      <c r="G26" s="20">
        <f>G25</f>
        <v>200.596242016785</v>
      </c>
      <c r="H26" s="22">
        <f>H25</f>
        <v>30089.4363025177</v>
      </c>
    </row>
    <row r="27" spans="1:8">
      <c r="A27" s="7"/>
      <c r="B27" s="7">
        <v>1067</v>
      </c>
      <c r="C27" s="16">
        <v>22020106050103</v>
      </c>
      <c r="D27" s="17" t="s">
        <v>33</v>
      </c>
      <c r="E27" s="18" t="s">
        <v>16</v>
      </c>
      <c r="F27" s="19">
        <v>1187.4</v>
      </c>
      <c r="G27" s="20">
        <f>H27/F27</f>
        <v>113.132653605835</v>
      </c>
      <c r="H27" s="22">
        <f>H24-H26</f>
        <v>134333.712891568</v>
      </c>
    </row>
    <row r="28" spans="1:8">
      <c r="A28" s="7" t="s">
        <v>461</v>
      </c>
      <c r="B28" s="7">
        <v>1224</v>
      </c>
      <c r="C28" s="16">
        <v>220404</v>
      </c>
      <c r="D28" s="17" t="s">
        <v>462</v>
      </c>
      <c r="E28" s="18" t="s">
        <v>187</v>
      </c>
      <c r="F28" s="19"/>
      <c r="G28" s="20"/>
      <c r="H28" s="24">
        <f>H29</f>
        <v>655225.387096774</v>
      </c>
    </row>
    <row r="29" spans="1:8">
      <c r="A29" s="7"/>
      <c r="B29" s="7">
        <v>1225</v>
      </c>
      <c r="C29" s="16">
        <v>22040401</v>
      </c>
      <c r="D29" s="17" t="s">
        <v>463</v>
      </c>
      <c r="E29" s="18" t="s">
        <v>187</v>
      </c>
      <c r="F29" s="19">
        <v>421</v>
      </c>
      <c r="G29" s="20">
        <f>1447.41/0.93</f>
        <v>1556.35483870968</v>
      </c>
      <c r="H29" s="22">
        <f>G29*F29</f>
        <v>655225.387096774</v>
      </c>
    </row>
    <row r="30" spans="1:8">
      <c r="A30" s="7" t="s">
        <v>547</v>
      </c>
      <c r="B30" s="7">
        <v>1226</v>
      </c>
      <c r="C30" s="16">
        <v>220405</v>
      </c>
      <c r="D30" s="17" t="s">
        <v>441</v>
      </c>
      <c r="E30" s="18" t="s">
        <v>187</v>
      </c>
      <c r="F30" s="19"/>
      <c r="G30" s="20"/>
      <c r="H30" s="22">
        <v>475346.48</v>
      </c>
    </row>
    <row r="31" spans="1:8">
      <c r="A31" s="7"/>
      <c r="B31" s="7">
        <v>1227</v>
      </c>
      <c r="C31" s="16">
        <v>22040501</v>
      </c>
      <c r="D31" s="17" t="s">
        <v>442</v>
      </c>
      <c r="E31" s="18" t="s">
        <v>187</v>
      </c>
      <c r="F31" s="19">
        <v>1138</v>
      </c>
      <c r="G31" s="20">
        <v>417.7</v>
      </c>
      <c r="H31" s="22">
        <v>475346.48</v>
      </c>
    </row>
    <row r="32" spans="1:8">
      <c r="A32" s="7" t="s">
        <v>123</v>
      </c>
      <c r="B32" s="7">
        <v>1228</v>
      </c>
      <c r="C32" s="16">
        <v>220407</v>
      </c>
      <c r="D32" s="17" t="s">
        <v>124</v>
      </c>
      <c r="E32" s="18" t="s">
        <v>12</v>
      </c>
      <c r="F32" s="19"/>
      <c r="G32" s="20">
        <v>0</v>
      </c>
      <c r="H32" s="22">
        <v>7349.91</v>
      </c>
    </row>
    <row r="33" spans="1:8">
      <c r="A33" s="7"/>
      <c r="B33" s="7">
        <v>1229</v>
      </c>
      <c r="C33" s="16">
        <v>22040701</v>
      </c>
      <c r="D33" s="17" t="s">
        <v>125</v>
      </c>
      <c r="E33" s="18" t="s">
        <v>12</v>
      </c>
      <c r="F33" s="19">
        <v>500</v>
      </c>
      <c r="G33" s="20">
        <v>14.7</v>
      </c>
      <c r="H33" s="22">
        <v>7349.91</v>
      </c>
    </row>
    <row r="34" ht="28" spans="1:8">
      <c r="A34" s="7" t="s">
        <v>548</v>
      </c>
      <c r="B34" s="7">
        <v>685</v>
      </c>
      <c r="C34" s="16">
        <v>2201030510</v>
      </c>
      <c r="D34" s="17" t="s">
        <v>549</v>
      </c>
      <c r="E34" s="18" t="s">
        <v>12</v>
      </c>
      <c r="F34" s="19">
        <v>1042</v>
      </c>
      <c r="G34" s="23"/>
      <c r="H34" s="24">
        <f>H35+H37+H39+H40+H41</f>
        <v>2141341.1558</v>
      </c>
    </row>
    <row r="35" spans="1:8">
      <c r="A35" s="7"/>
      <c r="B35" s="7">
        <v>686</v>
      </c>
      <c r="C35" s="16">
        <v>220103051001</v>
      </c>
      <c r="D35" s="17" t="s">
        <v>13</v>
      </c>
      <c r="E35" s="18" t="s">
        <v>12</v>
      </c>
      <c r="F35" s="19">
        <v>1042</v>
      </c>
      <c r="G35" s="20">
        <v>578.534906437597</v>
      </c>
      <c r="H35" s="22">
        <f>G35*F35</f>
        <v>602833.372507976</v>
      </c>
    </row>
    <row r="36" spans="1:8">
      <c r="A36" s="7"/>
      <c r="B36" s="7">
        <v>687</v>
      </c>
      <c r="C36" s="16">
        <v>22010305100102</v>
      </c>
      <c r="D36" s="17" t="s">
        <v>18</v>
      </c>
      <c r="E36" s="18" t="s">
        <v>19</v>
      </c>
      <c r="F36" s="19">
        <v>312.05</v>
      </c>
      <c r="G36" s="20">
        <v>578.534906437597</v>
      </c>
      <c r="H36" s="22">
        <f t="shared" ref="H36:H42" si="2">G36*F36</f>
        <v>180531.817553852</v>
      </c>
    </row>
    <row r="37" spans="1:8">
      <c r="A37" s="7"/>
      <c r="B37" s="7">
        <v>688</v>
      </c>
      <c r="C37" s="16">
        <v>220103051002</v>
      </c>
      <c r="D37" s="17" t="s">
        <v>20</v>
      </c>
      <c r="E37" s="18" t="s">
        <v>12</v>
      </c>
      <c r="F37" s="19">
        <v>1042</v>
      </c>
      <c r="G37" s="20">
        <v>659.763706649134</v>
      </c>
      <c r="H37" s="22">
        <f t="shared" si="2"/>
        <v>687473.782328398</v>
      </c>
    </row>
    <row r="38" spans="1:8">
      <c r="A38" s="7"/>
      <c r="B38" s="7">
        <v>689</v>
      </c>
      <c r="C38" s="16">
        <v>22010305100202</v>
      </c>
      <c r="D38" s="17" t="s">
        <v>22</v>
      </c>
      <c r="E38" s="18" t="s">
        <v>12</v>
      </c>
      <c r="F38" s="19">
        <v>1042</v>
      </c>
      <c r="G38" s="20">
        <v>659.763706649134</v>
      </c>
      <c r="H38" s="22">
        <f t="shared" si="2"/>
        <v>687473.782328398</v>
      </c>
    </row>
    <row r="39" spans="1:8">
      <c r="A39" s="7"/>
      <c r="B39" s="7">
        <v>690</v>
      </c>
      <c r="C39" s="16">
        <v>220103051003</v>
      </c>
      <c r="D39" s="17" t="s">
        <v>23</v>
      </c>
      <c r="E39" s="18" t="s">
        <v>12</v>
      </c>
      <c r="F39" s="19">
        <v>1042</v>
      </c>
      <c r="G39" s="20">
        <v>668.917300571723</v>
      </c>
      <c r="H39" s="22">
        <f t="shared" si="2"/>
        <v>697011.827195735</v>
      </c>
    </row>
    <row r="40" spans="1:8">
      <c r="A40" s="7"/>
      <c r="B40" s="7">
        <v>691</v>
      </c>
      <c r="C40" s="16">
        <v>220103051004</v>
      </c>
      <c r="D40" s="17" t="s">
        <v>24</v>
      </c>
      <c r="E40" s="18" t="s">
        <v>12</v>
      </c>
      <c r="F40" s="19">
        <v>1042</v>
      </c>
      <c r="G40" s="20">
        <v>79.744144954548</v>
      </c>
      <c r="H40" s="22">
        <f t="shared" si="2"/>
        <v>83093.3990426391</v>
      </c>
    </row>
    <row r="41" spans="1:8">
      <c r="A41" s="7"/>
      <c r="B41" s="7">
        <v>692</v>
      </c>
      <c r="C41" s="16">
        <v>220103051005</v>
      </c>
      <c r="D41" s="17" t="s">
        <v>25</v>
      </c>
      <c r="E41" s="18" t="s">
        <v>12</v>
      </c>
      <c r="F41" s="19">
        <v>1042</v>
      </c>
      <c r="G41" s="20">
        <v>68.069841386999</v>
      </c>
      <c r="H41" s="22">
        <f t="shared" si="2"/>
        <v>70928.774725253</v>
      </c>
    </row>
    <row r="42" spans="1:8">
      <c r="A42" s="7"/>
      <c r="B42" s="7">
        <v>693</v>
      </c>
      <c r="C42" s="16">
        <v>22010305100501</v>
      </c>
      <c r="D42" s="17" t="s">
        <v>27</v>
      </c>
      <c r="E42" s="18" t="s">
        <v>16</v>
      </c>
      <c r="F42" s="19">
        <v>625.9</v>
      </c>
      <c r="G42" s="20">
        <f>H41/F42</f>
        <v>113.322854649709</v>
      </c>
      <c r="H42" s="22">
        <f t="shared" si="2"/>
        <v>70928.774725253</v>
      </c>
    </row>
    <row r="43" spans="1:8">
      <c r="A43" s="7"/>
      <c r="B43" s="7">
        <v>694</v>
      </c>
      <c r="C43" s="16" t="s">
        <v>550</v>
      </c>
      <c r="D43" s="17" t="s">
        <v>33</v>
      </c>
      <c r="E43" s="18" t="s">
        <v>16</v>
      </c>
      <c r="F43" s="19">
        <v>625.9</v>
      </c>
      <c r="G43" s="20">
        <f>H42/F43</f>
        <v>113.322854649709</v>
      </c>
      <c r="H43" s="22">
        <v>66405.71</v>
      </c>
    </row>
    <row r="44" ht="28" spans="1:8">
      <c r="A44" s="7" t="s">
        <v>551</v>
      </c>
      <c r="B44" s="7">
        <v>1051</v>
      </c>
      <c r="C44" s="16">
        <v>22010429</v>
      </c>
      <c r="D44" s="17" t="s">
        <v>552</v>
      </c>
      <c r="E44" s="18" t="s">
        <v>12</v>
      </c>
      <c r="F44" s="19">
        <v>765.7</v>
      </c>
      <c r="G44" s="23"/>
      <c r="H44" s="22">
        <f>H45</f>
        <v>329102.8</v>
      </c>
    </row>
    <row r="45" spans="1:8">
      <c r="A45" s="7"/>
      <c r="B45" s="7">
        <v>1052</v>
      </c>
      <c r="C45" s="16">
        <v>2201042902</v>
      </c>
      <c r="D45" s="17" t="s">
        <v>53</v>
      </c>
      <c r="E45" s="18" t="s">
        <v>12</v>
      </c>
      <c r="F45" s="19">
        <v>765.7</v>
      </c>
      <c r="G45" s="20">
        <f>399.72/0.93</f>
        <v>429.806451612903</v>
      </c>
      <c r="H45" s="22">
        <f>G45*F45</f>
        <v>329102.8</v>
      </c>
    </row>
    <row r="46" spans="1:8">
      <c r="A46" s="7" t="s">
        <v>266</v>
      </c>
      <c r="B46" s="7">
        <v>1088</v>
      </c>
      <c r="C46" s="16">
        <v>22030121</v>
      </c>
      <c r="D46" s="17" t="s">
        <v>494</v>
      </c>
      <c r="E46" s="18" t="s">
        <v>12</v>
      </c>
      <c r="F46" s="19">
        <v>11857.93</v>
      </c>
      <c r="G46" s="23"/>
      <c r="H46" s="22">
        <v>20256.26</v>
      </c>
    </row>
    <row r="47" spans="1:8">
      <c r="A47" s="7"/>
      <c r="B47" s="7">
        <v>1091</v>
      </c>
      <c r="C47" s="16">
        <v>2203012104</v>
      </c>
      <c r="D47" s="17" t="s">
        <v>553</v>
      </c>
      <c r="E47" s="18" t="s">
        <v>12</v>
      </c>
      <c r="F47" s="19">
        <v>1042</v>
      </c>
      <c r="G47" s="20">
        <v>13</v>
      </c>
      <c r="H47" s="22">
        <v>13545.8</v>
      </c>
    </row>
    <row r="48" spans="1:8">
      <c r="A48" s="7"/>
      <c r="B48" s="7">
        <v>1098</v>
      </c>
      <c r="C48" s="16">
        <v>2203012117</v>
      </c>
      <c r="D48" s="17" t="s">
        <v>554</v>
      </c>
      <c r="E48" s="18" t="s">
        <v>12</v>
      </c>
      <c r="F48" s="19">
        <v>765.7</v>
      </c>
      <c r="G48" s="20">
        <v>8.77</v>
      </c>
      <c r="H48" s="22">
        <v>6710.46</v>
      </c>
    </row>
    <row r="49" spans="1:8">
      <c r="A49" s="7" t="s">
        <v>268</v>
      </c>
      <c r="B49" s="7">
        <v>1129</v>
      </c>
      <c r="C49" s="16">
        <v>22030221</v>
      </c>
      <c r="D49" s="17" t="s">
        <v>497</v>
      </c>
      <c r="E49" s="18" t="s">
        <v>12</v>
      </c>
      <c r="F49" s="19">
        <v>9052.59</v>
      </c>
      <c r="G49" s="23"/>
      <c r="H49" s="22">
        <v>1365.41</v>
      </c>
    </row>
    <row r="50" spans="1:8">
      <c r="A50" s="7"/>
      <c r="B50" s="7">
        <v>1137</v>
      </c>
      <c r="C50" s="16">
        <v>2203022115</v>
      </c>
      <c r="D50" s="17" t="s">
        <v>555</v>
      </c>
      <c r="E50" s="18" t="s">
        <v>12</v>
      </c>
      <c r="F50" s="19">
        <v>765.7</v>
      </c>
      <c r="G50" s="20">
        <v>1.78</v>
      </c>
      <c r="H50" s="22">
        <v>1365.41</v>
      </c>
    </row>
    <row r="51" spans="1:8">
      <c r="A51" s="7" t="s">
        <v>270</v>
      </c>
      <c r="B51" s="7">
        <v>1169</v>
      </c>
      <c r="C51" s="16">
        <v>22030321</v>
      </c>
      <c r="D51" s="17" t="s">
        <v>486</v>
      </c>
      <c r="E51" s="18" t="s">
        <v>12</v>
      </c>
      <c r="F51" s="19">
        <v>10678.6</v>
      </c>
      <c r="G51" s="23"/>
      <c r="H51" s="22">
        <v>18850.97</v>
      </c>
    </row>
    <row r="52" spans="1:8">
      <c r="A52" s="7"/>
      <c r="B52" s="7">
        <v>1172</v>
      </c>
      <c r="C52" s="16">
        <v>2203032104</v>
      </c>
      <c r="D52" s="17" t="s">
        <v>553</v>
      </c>
      <c r="E52" s="18" t="s">
        <v>12</v>
      </c>
      <c r="F52" s="19">
        <v>1042</v>
      </c>
      <c r="G52" s="20">
        <v>16.38</v>
      </c>
      <c r="H52" s="22">
        <v>17065.03</v>
      </c>
    </row>
    <row r="53" spans="1:8">
      <c r="A53" s="7"/>
      <c r="B53" s="7">
        <v>1182</v>
      </c>
      <c r="C53" s="16">
        <v>2203032115</v>
      </c>
      <c r="D53" s="17" t="s">
        <v>555</v>
      </c>
      <c r="E53" s="18" t="s">
        <v>12</v>
      </c>
      <c r="F53" s="19">
        <v>765.7</v>
      </c>
      <c r="G53" s="20">
        <v>2.33</v>
      </c>
      <c r="H53" s="22">
        <v>1785.94</v>
      </c>
    </row>
    <row r="54" spans="1:8">
      <c r="A54" s="7" t="s">
        <v>266</v>
      </c>
      <c r="B54" s="7">
        <v>1088</v>
      </c>
      <c r="C54" s="16">
        <v>22030121</v>
      </c>
      <c r="D54" s="17" t="s">
        <v>494</v>
      </c>
      <c r="E54" s="18" t="s">
        <v>12</v>
      </c>
      <c r="F54" s="19">
        <v>11857.93</v>
      </c>
      <c r="G54" s="23"/>
      <c r="H54" s="22">
        <v>54570.62</v>
      </c>
    </row>
    <row r="55" ht="28" spans="1:8">
      <c r="A55" s="7"/>
      <c r="B55" s="7">
        <v>1097</v>
      </c>
      <c r="C55" s="16">
        <v>2203012114</v>
      </c>
      <c r="D55" s="17" t="s">
        <v>556</v>
      </c>
      <c r="E55" s="18" t="s">
        <v>12</v>
      </c>
      <c r="F55" s="19">
        <v>1863.8</v>
      </c>
      <c r="G55" s="20">
        <v>29.28</v>
      </c>
      <c r="H55" s="22">
        <v>54570.62</v>
      </c>
    </row>
    <row r="56" spans="1:8">
      <c r="A56" s="7" t="s">
        <v>268</v>
      </c>
      <c r="B56" s="7">
        <v>1129</v>
      </c>
      <c r="C56" s="16">
        <v>22030221</v>
      </c>
      <c r="D56" s="17" t="s">
        <v>497</v>
      </c>
      <c r="E56" s="18" t="s">
        <v>12</v>
      </c>
      <c r="F56" s="19">
        <v>9052.59</v>
      </c>
      <c r="G56" s="23"/>
      <c r="H56" s="22">
        <f>H57</f>
        <v>386788.602150538</v>
      </c>
    </row>
    <row r="57" ht="28" spans="1:8">
      <c r="A57" s="7"/>
      <c r="B57" s="7">
        <v>1136</v>
      </c>
      <c r="C57" s="16">
        <v>2203022114</v>
      </c>
      <c r="D57" s="17" t="s">
        <v>556</v>
      </c>
      <c r="E57" s="18" t="s">
        <v>12</v>
      </c>
      <c r="F57" s="19">
        <v>1863.8</v>
      </c>
      <c r="G57" s="20">
        <f>193/0.93</f>
        <v>207.52688172043</v>
      </c>
      <c r="H57" s="22">
        <f>G57*F57</f>
        <v>386788.602150538</v>
      </c>
    </row>
    <row r="58" spans="1:8">
      <c r="A58" s="7" t="s">
        <v>270</v>
      </c>
      <c r="B58" s="7">
        <v>1169</v>
      </c>
      <c r="C58" s="16">
        <v>22030321</v>
      </c>
      <c r="D58" s="17" t="s">
        <v>486</v>
      </c>
      <c r="E58" s="18" t="s">
        <v>12</v>
      </c>
      <c r="F58" s="19">
        <v>10678.6</v>
      </c>
      <c r="G58" s="23"/>
      <c r="H58" s="22">
        <v>16642.99</v>
      </c>
    </row>
    <row r="59" ht="28" spans="1:8">
      <c r="A59" s="7"/>
      <c r="B59" s="7">
        <v>1181</v>
      </c>
      <c r="C59" s="16">
        <v>2203032114</v>
      </c>
      <c r="D59" s="17" t="s">
        <v>556</v>
      </c>
      <c r="E59" s="18" t="s">
        <v>12</v>
      </c>
      <c r="F59" s="19">
        <v>1863.8</v>
      </c>
      <c r="G59" s="20">
        <v>8.93</v>
      </c>
      <c r="H59" s="22">
        <v>16642.99</v>
      </c>
    </row>
    <row r="60" spans="1:8">
      <c r="A60" s="7" t="s">
        <v>34</v>
      </c>
      <c r="B60" s="7">
        <v>1222</v>
      </c>
      <c r="C60" s="16">
        <v>220403</v>
      </c>
      <c r="D60" s="17" t="s">
        <v>35</v>
      </c>
      <c r="E60" s="18" t="s">
        <v>12</v>
      </c>
      <c r="F60" s="19"/>
      <c r="G60" s="20"/>
      <c r="H60" s="22">
        <f>H61</f>
        <v>639703.440860215</v>
      </c>
    </row>
    <row r="61" spans="1:8">
      <c r="A61" s="7"/>
      <c r="B61" s="7">
        <v>1223</v>
      </c>
      <c r="C61" s="16">
        <v>22040305</v>
      </c>
      <c r="D61" s="17" t="s">
        <v>36</v>
      </c>
      <c r="E61" s="18" t="s">
        <v>12</v>
      </c>
      <c r="F61" s="19">
        <v>4940</v>
      </c>
      <c r="G61" s="20">
        <f>120.43/0.93</f>
        <v>129.494623655914</v>
      </c>
      <c r="H61" s="22">
        <f>G61*F61</f>
        <v>639703.440860215</v>
      </c>
    </row>
    <row r="62" spans="1:8">
      <c r="A62" s="4"/>
      <c r="B62" s="4"/>
      <c r="C62" s="25"/>
      <c r="D62" s="26"/>
      <c r="E62" s="27"/>
      <c r="F62" s="28"/>
      <c r="G62" s="29"/>
      <c r="H62" s="30"/>
    </row>
    <row r="63" spans="1:8">
      <c r="A63" s="31" t="s">
        <v>172</v>
      </c>
      <c r="B63" s="31"/>
      <c r="C63" s="31"/>
      <c r="D63" s="31"/>
      <c r="E63" s="31"/>
      <c r="F63" s="31"/>
      <c r="G63" s="32"/>
      <c r="H63" s="31"/>
    </row>
    <row r="64" spans="1:8">
      <c r="A64" s="31" t="s">
        <v>1</v>
      </c>
      <c r="B64" s="31" t="s">
        <v>173</v>
      </c>
      <c r="C64" s="31" t="s">
        <v>174</v>
      </c>
      <c r="D64" s="31" t="s">
        <v>175</v>
      </c>
      <c r="E64" s="31" t="s">
        <v>176</v>
      </c>
      <c r="F64" s="33" t="s">
        <v>177</v>
      </c>
      <c r="G64" s="34" t="s">
        <v>7</v>
      </c>
      <c r="H64" s="35"/>
    </row>
    <row r="65" ht="17" spans="1:8">
      <c r="A65" s="31"/>
      <c r="B65" s="31"/>
      <c r="C65" s="31"/>
      <c r="D65" s="31"/>
      <c r="E65" s="31"/>
      <c r="F65" s="33"/>
      <c r="G65" s="32" t="s">
        <v>178</v>
      </c>
      <c r="H65" s="36" t="s">
        <v>179</v>
      </c>
    </row>
    <row r="66" spans="1:8">
      <c r="A66" s="7"/>
      <c r="B66" s="7"/>
      <c r="C66" s="16"/>
      <c r="D66" s="17"/>
      <c r="E66" s="18"/>
      <c r="F66" s="19"/>
      <c r="G66" s="20"/>
      <c r="H66" s="37">
        <v>1567500.605568</v>
      </c>
    </row>
    <row r="67" ht="28" spans="1:8">
      <c r="A67" s="7" t="s">
        <v>557</v>
      </c>
      <c r="B67" s="7">
        <v>1230</v>
      </c>
      <c r="C67" s="16">
        <v>23</v>
      </c>
      <c r="D67" s="17" t="s">
        <v>181</v>
      </c>
      <c r="E67" s="38" t="s">
        <v>182</v>
      </c>
      <c r="F67" s="39"/>
      <c r="G67" s="20"/>
      <c r="H67" s="22">
        <v>117917.1216</v>
      </c>
    </row>
    <row r="68" spans="1:8">
      <c r="A68" s="7"/>
      <c r="B68" s="7">
        <v>1231</v>
      </c>
      <c r="C68" s="16">
        <v>2301</v>
      </c>
      <c r="D68" s="17" t="s">
        <v>183</v>
      </c>
      <c r="E68" s="18" t="s">
        <v>184</v>
      </c>
      <c r="F68" s="40"/>
      <c r="G68" s="20"/>
      <c r="H68" s="22">
        <v>63632.1312</v>
      </c>
    </row>
    <row r="69" spans="1:8">
      <c r="A69" s="7"/>
      <c r="B69" s="7">
        <v>1232</v>
      </c>
      <c r="C69" s="41"/>
      <c r="D69" s="17" t="s">
        <v>185</v>
      </c>
      <c r="E69" s="18" t="s">
        <v>184</v>
      </c>
      <c r="F69" s="40"/>
      <c r="G69" s="20"/>
      <c r="H69" s="22">
        <v>62571.3012</v>
      </c>
    </row>
    <row r="70" spans="1:8">
      <c r="A70" s="7"/>
      <c r="B70" s="7">
        <v>1236</v>
      </c>
      <c r="C70" s="16">
        <v>230102</v>
      </c>
      <c r="D70" s="17" t="s">
        <v>186</v>
      </c>
      <c r="E70" s="18" t="s">
        <v>187</v>
      </c>
      <c r="F70" s="37"/>
      <c r="G70" s="20"/>
      <c r="H70" s="22">
        <v>62571.3012</v>
      </c>
    </row>
    <row r="71" spans="1:8">
      <c r="A71" s="7"/>
      <c r="B71" s="7">
        <v>1239</v>
      </c>
      <c r="C71" s="16">
        <v>23010204</v>
      </c>
      <c r="D71" s="17" t="s">
        <v>188</v>
      </c>
      <c r="E71" s="18" t="s">
        <v>187</v>
      </c>
      <c r="F71" s="37">
        <v>109</v>
      </c>
      <c r="G71" s="20"/>
      <c r="H71" s="22">
        <v>62571.3012</v>
      </c>
    </row>
    <row r="72" spans="1:8">
      <c r="A72" s="7"/>
      <c r="B72" s="7">
        <v>1243</v>
      </c>
      <c r="C72" s="41"/>
      <c r="D72" s="17" t="s">
        <v>189</v>
      </c>
      <c r="E72" s="18" t="s">
        <v>184</v>
      </c>
      <c r="F72" s="40"/>
      <c r="G72" s="20"/>
      <c r="H72" s="22">
        <v>1060.83</v>
      </c>
    </row>
    <row r="73" spans="1:8">
      <c r="A73" s="7"/>
      <c r="B73" s="7">
        <v>1244</v>
      </c>
      <c r="C73" s="16">
        <v>230104</v>
      </c>
      <c r="D73" s="17" t="s">
        <v>190</v>
      </c>
      <c r="E73" s="18" t="s">
        <v>184</v>
      </c>
      <c r="F73" s="42">
        <v>0.0136780022587527</v>
      </c>
      <c r="G73" s="20"/>
      <c r="H73" s="22">
        <v>1060.83</v>
      </c>
    </row>
    <row r="74" spans="1:8">
      <c r="A74" s="7"/>
      <c r="B74" s="7">
        <v>1245</v>
      </c>
      <c r="C74" s="16">
        <v>2302</v>
      </c>
      <c r="D74" s="17" t="s">
        <v>191</v>
      </c>
      <c r="E74" s="18" t="s">
        <v>184</v>
      </c>
      <c r="F74" s="40"/>
      <c r="G74" s="20"/>
      <c r="H74" s="22">
        <v>54284.9904</v>
      </c>
    </row>
    <row r="75" spans="1:8">
      <c r="A75" s="7"/>
      <c r="B75" s="7">
        <v>1246</v>
      </c>
      <c r="C75" s="41"/>
      <c r="D75" s="17" t="s">
        <v>185</v>
      </c>
      <c r="E75" s="18" t="s">
        <v>184</v>
      </c>
      <c r="F75" s="40"/>
      <c r="G75" s="20"/>
      <c r="H75" s="22">
        <v>53891.6004</v>
      </c>
    </row>
    <row r="76" spans="1:8">
      <c r="A76" s="7"/>
      <c r="B76" s="7">
        <v>1247</v>
      </c>
      <c r="C76" s="16">
        <v>230201</v>
      </c>
      <c r="D76" s="17" t="s">
        <v>192</v>
      </c>
      <c r="E76" s="18" t="s">
        <v>187</v>
      </c>
      <c r="F76" s="37"/>
      <c r="G76" s="20"/>
      <c r="H76" s="22">
        <v>53891.6004</v>
      </c>
    </row>
    <row r="77" spans="1:8">
      <c r="A77" s="7"/>
      <c r="B77" s="7">
        <v>1249</v>
      </c>
      <c r="C77" s="16">
        <v>23020104</v>
      </c>
      <c r="D77" s="17" t="s">
        <v>193</v>
      </c>
      <c r="E77" s="18" t="s">
        <v>187</v>
      </c>
      <c r="F77" s="37">
        <v>55</v>
      </c>
      <c r="G77" s="20">
        <f>H77/F77</f>
        <v>979.84728</v>
      </c>
      <c r="H77" s="22">
        <v>53891.6004</v>
      </c>
    </row>
    <row r="78" spans="1:8">
      <c r="A78" s="7"/>
      <c r="B78" s="7">
        <v>1260</v>
      </c>
      <c r="C78" s="41"/>
      <c r="D78" s="17" t="s">
        <v>189</v>
      </c>
      <c r="E78" s="18" t="s">
        <v>184</v>
      </c>
      <c r="F78" s="40"/>
      <c r="G78" s="20"/>
      <c r="H78" s="22">
        <v>393.39</v>
      </c>
    </row>
    <row r="79" spans="1:8">
      <c r="A79" s="7"/>
      <c r="B79" s="7">
        <v>1261</v>
      </c>
      <c r="C79" s="16">
        <v>230204</v>
      </c>
      <c r="D79" s="17" t="s">
        <v>190</v>
      </c>
      <c r="E79" s="18"/>
      <c r="F79" s="40">
        <v>0.0325655281969817</v>
      </c>
      <c r="G79" s="20"/>
      <c r="H79" s="22">
        <v>393.39</v>
      </c>
    </row>
    <row r="80" ht="28" spans="1:8">
      <c r="A80" s="7" t="s">
        <v>558</v>
      </c>
      <c r="B80" s="7">
        <v>1230</v>
      </c>
      <c r="C80" s="16">
        <v>23</v>
      </c>
      <c r="D80" s="17" t="s">
        <v>181</v>
      </c>
      <c r="E80" s="38" t="s">
        <v>182</v>
      </c>
      <c r="F80" s="39"/>
      <c r="G80" s="20"/>
      <c r="H80" s="22">
        <v>1333472.328</v>
      </c>
    </row>
    <row r="81" spans="1:8">
      <c r="A81" s="7"/>
      <c r="B81" s="7">
        <v>1231</v>
      </c>
      <c r="C81" s="16">
        <v>2301</v>
      </c>
      <c r="D81" s="17" t="s">
        <v>183</v>
      </c>
      <c r="E81" s="18" t="s">
        <v>184</v>
      </c>
      <c r="F81" s="40"/>
      <c r="G81" s="20"/>
      <c r="H81" s="22">
        <v>825553.1448</v>
      </c>
    </row>
    <row r="82" spans="1:8">
      <c r="A82" s="7"/>
      <c r="B82" s="7">
        <v>1232</v>
      </c>
      <c r="C82" s="41"/>
      <c r="D82" s="17" t="s">
        <v>185</v>
      </c>
      <c r="E82" s="18" t="s">
        <v>184</v>
      </c>
      <c r="F82" s="40"/>
      <c r="G82" s="20"/>
      <c r="H82" s="22">
        <v>816015.4056</v>
      </c>
    </row>
    <row r="83" spans="1:8">
      <c r="A83" s="7"/>
      <c r="B83" s="7">
        <v>1233</v>
      </c>
      <c r="C83" s="16">
        <v>230101</v>
      </c>
      <c r="D83" s="17" t="s">
        <v>201</v>
      </c>
      <c r="E83" s="18" t="s">
        <v>202</v>
      </c>
      <c r="F83" s="37">
        <v>1</v>
      </c>
      <c r="G83" s="20"/>
      <c r="H83" s="22">
        <v>0</v>
      </c>
    </row>
    <row r="84" spans="1:8">
      <c r="A84" s="7"/>
      <c r="B84" s="7">
        <v>1234</v>
      </c>
      <c r="C84" s="16">
        <v>23010101</v>
      </c>
      <c r="D84" s="17" t="s">
        <v>203</v>
      </c>
      <c r="E84" s="18" t="s">
        <v>187</v>
      </c>
      <c r="F84" s="37"/>
      <c r="G84" s="20"/>
      <c r="H84" s="22">
        <v>0</v>
      </c>
    </row>
    <row r="85" spans="1:8">
      <c r="A85" s="7"/>
      <c r="B85" s="7">
        <v>1235</v>
      </c>
      <c r="C85" s="16">
        <v>23010102</v>
      </c>
      <c r="D85" s="17" t="s">
        <v>530</v>
      </c>
      <c r="E85" s="18" t="s">
        <v>195</v>
      </c>
      <c r="F85" s="37"/>
      <c r="G85" s="20"/>
      <c r="H85" s="22">
        <v>0</v>
      </c>
    </row>
    <row r="86" spans="1:8">
      <c r="A86" s="7"/>
      <c r="B86" s="7">
        <v>1236</v>
      </c>
      <c r="C86" s="16">
        <v>230102</v>
      </c>
      <c r="D86" s="17" t="s">
        <v>186</v>
      </c>
      <c r="E86" s="18" t="s">
        <v>187</v>
      </c>
      <c r="F86" s="37"/>
      <c r="G86" s="20"/>
      <c r="H86" s="22">
        <v>558179.0568</v>
      </c>
    </row>
    <row r="87" spans="1:8">
      <c r="A87" s="7"/>
      <c r="B87" s="7">
        <v>1237</v>
      </c>
      <c r="C87" s="16">
        <v>23010201</v>
      </c>
      <c r="D87" s="17" t="s">
        <v>210</v>
      </c>
      <c r="E87" s="18" t="s">
        <v>187</v>
      </c>
      <c r="F87" s="37">
        <v>22</v>
      </c>
      <c r="G87" s="20">
        <f>H87/F87</f>
        <v>350.325490909091</v>
      </c>
      <c r="H87" s="22">
        <v>7707.1608</v>
      </c>
    </row>
    <row r="88" spans="1:8">
      <c r="A88" s="7"/>
      <c r="B88" s="7">
        <v>1238</v>
      </c>
      <c r="C88" s="16">
        <v>23010202</v>
      </c>
      <c r="D88" s="17" t="s">
        <v>207</v>
      </c>
      <c r="E88" s="18" t="s">
        <v>187</v>
      </c>
      <c r="F88" s="37">
        <v>466</v>
      </c>
      <c r="G88" s="20">
        <f>H88/F88</f>
        <v>575.193654077253</v>
      </c>
      <c r="H88" s="22">
        <v>268040.2428</v>
      </c>
    </row>
    <row r="89" spans="1:8">
      <c r="A89" s="7"/>
      <c r="B89" s="7">
        <v>1239</v>
      </c>
      <c r="C89" s="16">
        <v>23010204</v>
      </c>
      <c r="D89" s="17" t="s">
        <v>188</v>
      </c>
      <c r="E89" s="18" t="s">
        <v>187</v>
      </c>
      <c r="F89" s="37">
        <v>492</v>
      </c>
      <c r="G89" s="20">
        <f>H89/F89</f>
        <v>574.048075609756</v>
      </c>
      <c r="H89" s="22">
        <v>282431.6532</v>
      </c>
    </row>
    <row r="90" spans="1:8">
      <c r="A90" s="7"/>
      <c r="B90" s="7">
        <v>1241</v>
      </c>
      <c r="C90" s="16">
        <v>230103</v>
      </c>
      <c r="D90" s="17" t="s">
        <v>204</v>
      </c>
      <c r="E90" s="18" t="s">
        <v>195</v>
      </c>
      <c r="F90" s="37"/>
      <c r="G90" s="20"/>
      <c r="H90" s="22">
        <v>257836.3488</v>
      </c>
    </row>
    <row r="91" spans="1:8">
      <c r="A91" s="7"/>
      <c r="B91" s="7">
        <v>1242</v>
      </c>
      <c r="C91" s="16">
        <v>23010302</v>
      </c>
      <c r="D91" s="17" t="s">
        <v>205</v>
      </c>
      <c r="E91" s="18" t="s">
        <v>195</v>
      </c>
      <c r="F91" s="37">
        <v>1</v>
      </c>
      <c r="G91" s="20">
        <v>238737.25</v>
      </c>
      <c r="H91" s="22">
        <v>257836.3488</v>
      </c>
    </row>
    <row r="92" spans="1:8">
      <c r="A92" s="7"/>
      <c r="B92" s="7">
        <v>1243</v>
      </c>
      <c r="C92" s="41"/>
      <c r="D92" s="17" t="s">
        <v>189</v>
      </c>
      <c r="E92" s="18" t="s">
        <v>184</v>
      </c>
      <c r="F92" s="40"/>
      <c r="G92" s="20"/>
      <c r="H92" s="22">
        <v>9537.7392</v>
      </c>
    </row>
    <row r="93" spans="1:8">
      <c r="A93" s="7"/>
      <c r="B93" s="7">
        <v>1244</v>
      </c>
      <c r="C93" s="16">
        <v>230104</v>
      </c>
      <c r="D93" s="17" t="s">
        <v>190</v>
      </c>
      <c r="E93" s="18" t="s">
        <v>184</v>
      </c>
      <c r="F93" s="42">
        <v>0.122976534069519</v>
      </c>
      <c r="G93" s="20"/>
      <c r="H93" s="22">
        <v>9537.7392</v>
      </c>
    </row>
    <row r="94" spans="1:8">
      <c r="A94" s="7"/>
      <c r="B94" s="7">
        <v>1245</v>
      </c>
      <c r="C94" s="16">
        <v>2302</v>
      </c>
      <c r="D94" s="17" t="s">
        <v>191</v>
      </c>
      <c r="E94" s="18" t="s">
        <v>184</v>
      </c>
      <c r="F94" s="40"/>
      <c r="G94" s="20"/>
      <c r="H94" s="22">
        <v>507919.1724</v>
      </c>
    </row>
    <row r="95" spans="1:8">
      <c r="A95" s="7"/>
      <c r="B95" s="7">
        <v>1246</v>
      </c>
      <c r="C95" s="41"/>
      <c r="D95" s="17" t="s">
        <v>185</v>
      </c>
      <c r="E95" s="18" t="s">
        <v>184</v>
      </c>
      <c r="F95" s="40"/>
      <c r="G95" s="20"/>
      <c r="H95" s="22">
        <v>504594.5652</v>
      </c>
    </row>
    <row r="96" spans="1:8">
      <c r="A96" s="7"/>
      <c r="B96" s="7">
        <v>1247</v>
      </c>
      <c r="C96" s="16">
        <v>230201</v>
      </c>
      <c r="D96" s="17" t="s">
        <v>192</v>
      </c>
      <c r="E96" s="18" t="s">
        <v>187</v>
      </c>
      <c r="F96" s="37"/>
      <c r="G96" s="20"/>
      <c r="H96" s="22">
        <v>394243.9344</v>
      </c>
    </row>
    <row r="97" spans="1:8">
      <c r="A97" s="7"/>
      <c r="B97" s="7">
        <v>1249</v>
      </c>
      <c r="C97" s="16">
        <v>23020104</v>
      </c>
      <c r="D97" s="17" t="s">
        <v>193</v>
      </c>
      <c r="E97" s="18" t="s">
        <v>187</v>
      </c>
      <c r="F97" s="37">
        <v>383</v>
      </c>
      <c r="G97" s="20">
        <f t="shared" ref="G97:G101" si="3">H97/F97</f>
        <v>979.847342036554</v>
      </c>
      <c r="H97" s="22">
        <v>375281.532</v>
      </c>
    </row>
    <row r="98" spans="1:8">
      <c r="A98" s="7"/>
      <c r="B98" s="7">
        <v>1250</v>
      </c>
      <c r="C98" s="16">
        <v>23020108</v>
      </c>
      <c r="D98" s="17" t="s">
        <v>512</v>
      </c>
      <c r="E98" s="18" t="s">
        <v>187</v>
      </c>
      <c r="F98" s="37">
        <v>23</v>
      </c>
      <c r="G98" s="20">
        <f t="shared" si="3"/>
        <v>824.45227826087</v>
      </c>
      <c r="H98" s="22">
        <v>18962.4024</v>
      </c>
    </row>
    <row r="99" spans="1:8">
      <c r="A99" s="7"/>
      <c r="B99" s="7">
        <v>1251</v>
      </c>
      <c r="C99" s="16">
        <v>230203</v>
      </c>
      <c r="D99" s="17" t="s">
        <v>194</v>
      </c>
      <c r="E99" s="18" t="s">
        <v>195</v>
      </c>
      <c r="F99" s="37"/>
      <c r="G99" s="20"/>
      <c r="H99" s="22">
        <v>110350.6308</v>
      </c>
    </row>
    <row r="100" spans="1:8">
      <c r="A100" s="7"/>
      <c r="B100" s="7">
        <v>1255</v>
      </c>
      <c r="C100" s="16">
        <v>23020302</v>
      </c>
      <c r="D100" s="17" t="s">
        <v>510</v>
      </c>
      <c r="E100" s="18" t="s">
        <v>195</v>
      </c>
      <c r="F100" s="37">
        <v>1</v>
      </c>
      <c r="G100" s="20">
        <f t="shared" si="3"/>
        <v>24199.6356</v>
      </c>
      <c r="H100" s="22">
        <v>24199.6356</v>
      </c>
    </row>
    <row r="101" spans="1:8">
      <c r="A101" s="7"/>
      <c r="B101" s="7">
        <v>1259</v>
      </c>
      <c r="C101" s="16">
        <v>23020306</v>
      </c>
      <c r="D101" s="17" t="s">
        <v>513</v>
      </c>
      <c r="E101" s="18" t="s">
        <v>195</v>
      </c>
      <c r="F101" s="37">
        <v>1</v>
      </c>
      <c r="G101" s="20">
        <f t="shared" si="3"/>
        <v>86151.006</v>
      </c>
      <c r="H101" s="22">
        <v>86151.006</v>
      </c>
    </row>
    <row r="102" spans="1:8">
      <c r="A102" s="7"/>
      <c r="B102" s="7">
        <v>1260</v>
      </c>
      <c r="C102" s="41"/>
      <c r="D102" s="17" t="s">
        <v>189</v>
      </c>
      <c r="E102" s="18" t="s">
        <v>184</v>
      </c>
      <c r="F102" s="40"/>
      <c r="G102" s="20"/>
      <c r="H102" s="22">
        <v>3324.618</v>
      </c>
    </row>
    <row r="103" spans="1:8">
      <c r="A103" s="7"/>
      <c r="B103" s="7">
        <v>1261</v>
      </c>
      <c r="C103" s="16">
        <v>230204</v>
      </c>
      <c r="D103" s="17" t="s">
        <v>190</v>
      </c>
      <c r="E103" s="18"/>
      <c r="F103" s="40">
        <v>0.275218427323272</v>
      </c>
      <c r="G103" s="20"/>
      <c r="H103" s="22">
        <v>3324.618</v>
      </c>
    </row>
  </sheetData>
  <mergeCells count="32">
    <mergeCell ref="A1:H1"/>
    <mergeCell ref="G2:H2"/>
    <mergeCell ref="A63:H63"/>
    <mergeCell ref="G64:H64"/>
    <mergeCell ref="A2:A3"/>
    <mergeCell ref="A5:A15"/>
    <mergeCell ref="A16:A27"/>
    <mergeCell ref="A28:A29"/>
    <mergeCell ref="A30:A31"/>
    <mergeCell ref="A32:A33"/>
    <mergeCell ref="A34:A43"/>
    <mergeCell ref="A44:A45"/>
    <mergeCell ref="A46:A48"/>
    <mergeCell ref="A49:A50"/>
    <mergeCell ref="A51:A53"/>
    <mergeCell ref="A54:A55"/>
    <mergeCell ref="A56:A57"/>
    <mergeCell ref="A58:A59"/>
    <mergeCell ref="A60:A61"/>
    <mergeCell ref="A64:A65"/>
    <mergeCell ref="A67:A79"/>
    <mergeCell ref="A80:A103"/>
    <mergeCell ref="B2:B3"/>
    <mergeCell ref="B64:B65"/>
    <mergeCell ref="C2:C3"/>
    <mergeCell ref="C64:C65"/>
    <mergeCell ref="D2:D3"/>
    <mergeCell ref="D64:D65"/>
    <mergeCell ref="E2:E3"/>
    <mergeCell ref="E64:E65"/>
    <mergeCell ref="F2:F3"/>
    <mergeCell ref="F64:F65"/>
  </mergeCells>
  <conditionalFormatting sqref="A67">
    <cfRule type="expression" dxfId="0" priority="5">
      <formula>""</formula>
    </cfRule>
  </conditionalFormatting>
  <conditionalFormatting sqref="A80">
    <cfRule type="expression" dxfId="0" priority="4">
      <formula>""</formula>
    </cfRule>
  </conditionalFormatting>
  <conditionalFormatting sqref="A63 G67:H103">
    <cfRule type="expression" dxfId="0" priority="3">
      <formula>""</formula>
    </cfRule>
  </conditionalFormatting>
  <conditionalFormatting sqref="A64:H65">
    <cfRule type="expression" dxfId="0" priority="2">
      <formula>""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第一区段</vt:lpstr>
      <vt:lpstr>第二区段</vt:lpstr>
      <vt:lpstr>第三区段</vt:lpstr>
      <vt:lpstr>第四区段</vt:lpstr>
      <vt:lpstr>第五区段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睿思 卜</dc:creator>
  <cp:lastModifiedBy>scad</cp:lastModifiedBy>
  <dcterms:created xsi:type="dcterms:W3CDTF">2026-01-03T18:53:00Z</dcterms:created>
  <dcterms:modified xsi:type="dcterms:W3CDTF">2026-04-19T09:56:37Z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EFCB0CABFEC2D0815536E4698F26BD3B_43</vt:lpwstr>
  </property>
  <property fmtid="{D5CDD505-2E9C-101B-9397-08002B2CF9AE}" pid="3" name="KSOProductBuildVer">
    <vt:lpwstr>2052-12.1.25867.25867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