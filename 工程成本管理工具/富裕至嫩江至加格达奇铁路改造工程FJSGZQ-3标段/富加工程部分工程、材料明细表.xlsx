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22240" activeTab="3"/>
  </bookViews>
  <sheets>
    <sheet name="部分" sheetId="1" r:id="rId1"/>
    <sheet name="房屋" sheetId="2" r:id="rId2"/>
    <sheet name="平改立土方部分" sheetId="11" r:id="rId3"/>
    <sheet name="平改立路面部分" sheetId="12" r:id="rId4"/>
    <sheet name="平改立" sheetId="3" r:id="rId5"/>
    <sheet name="平改立统计" sheetId="4" r:id="rId6"/>
    <sheet name="伴站、梁场、铺轨基地" sheetId="5" r:id="rId7"/>
    <sheet name="取土场" sheetId="6" r:id="rId8"/>
    <sheet name="弃土场" sheetId="7" r:id="rId9"/>
    <sheet name="铁路运费计算表" sheetId="8" r:id="rId10"/>
    <sheet name="联系电话表" sheetId="9" r:id="rId11"/>
    <sheet name="劳材表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<sst xmlns="http://schemas.openxmlformats.org/spreadsheetml/2006/main" count="7692" uniqueCount="3872">
  <si>
    <t>建设项目名称</t>
  </si>
  <si>
    <t>富加铁路提速改造工程 招标预算2025.6.10</t>
  </si>
  <si>
    <t>单价</t>
  </si>
  <si>
    <t>合价</t>
  </si>
  <si>
    <t>备注</t>
  </si>
  <si>
    <t>统计范围</t>
  </si>
  <si>
    <t/>
  </si>
  <si>
    <t>工程量</t>
  </si>
  <si>
    <t>1正线公里</t>
  </si>
  <si>
    <t>代码</t>
  </si>
  <si>
    <t>工料机名称</t>
  </si>
  <si>
    <t>单位</t>
  </si>
  <si>
    <t>数量</t>
  </si>
  <si>
    <t>1</t>
  </si>
  <si>
    <t>当地料</t>
  </si>
  <si>
    <t>2</t>
  </si>
  <si>
    <t xml:space="preserve">     1. 碎石</t>
  </si>
  <si>
    <t>m³</t>
  </si>
  <si>
    <t>6局50万m³、22局70万m³、20局30万m³、梁场33万m³</t>
  </si>
  <si>
    <t>3</t>
  </si>
  <si>
    <t xml:space="preserve">     2. 卵石</t>
  </si>
  <si>
    <t>4</t>
  </si>
  <si>
    <t xml:space="preserve">     3. 片石</t>
  </si>
  <si>
    <t>6局20万m³、22局30万m³、20局38.6万m³</t>
  </si>
  <si>
    <t>5</t>
  </si>
  <si>
    <t xml:space="preserve">     5. 砂子</t>
  </si>
  <si>
    <t>6局40万m³、22局50万m³、20局30万m³</t>
  </si>
  <si>
    <t>6</t>
  </si>
  <si>
    <t xml:space="preserve">     6. 石灰</t>
  </si>
  <si>
    <t>t</t>
  </si>
  <si>
    <t>7</t>
  </si>
  <si>
    <t xml:space="preserve">     7. 砖</t>
  </si>
  <si>
    <t>千块</t>
  </si>
  <si>
    <t>8</t>
  </si>
  <si>
    <t xml:space="preserve">     8. 黏土</t>
  </si>
  <si>
    <t>9</t>
  </si>
  <si>
    <t xml:space="preserve">     10.粉煤灰</t>
  </si>
  <si>
    <t>五章</t>
  </si>
  <si>
    <t>道砟</t>
  </si>
  <si>
    <t></t>
  </si>
  <si>
    <t xml:space="preserve">     1.碎石道砟</t>
  </si>
  <si>
    <t>6局8.6万m³，22局21万m³，20局13.37万m³、富裕段1835m³</t>
  </si>
  <si>
    <t xml:space="preserve">     2.天然级配道砟</t>
  </si>
  <si>
    <t>12</t>
  </si>
  <si>
    <t>天然级配砂（砾）卵石</t>
  </si>
  <si>
    <t>m3</t>
  </si>
  <si>
    <t>13</t>
  </si>
  <si>
    <t>石屑</t>
  </si>
  <si>
    <t>14</t>
  </si>
  <si>
    <t>砂砾</t>
  </si>
  <si>
    <t>15</t>
  </si>
  <si>
    <t>汽油(机械台班用)</t>
  </si>
  <si>
    <t>kg</t>
  </si>
  <si>
    <t>16</t>
  </si>
  <si>
    <t>柴油(机械台班用)</t>
  </si>
  <si>
    <t>混凝土</t>
  </si>
  <si>
    <t>6局20万m³、22局67.6万m³、20局30万m³</t>
  </si>
  <si>
    <t>一章</t>
  </si>
  <si>
    <t>2.路面</t>
  </si>
  <si>
    <t>平方米</t>
  </si>
  <si>
    <t>20局沥青混凝土路面</t>
  </si>
  <si>
    <t>㎡</t>
  </si>
  <si>
    <t>土方：20局180.7万m³、22局109万m³、6局31.6万m³</t>
  </si>
  <si>
    <t>20局水泥混凝土路面</t>
  </si>
  <si>
    <t>（1）垫层</t>
  </si>
  <si>
    <t>（2）基层</t>
  </si>
  <si>
    <t>B.混凝土梁桥面系</t>
  </si>
  <si>
    <t>2.水泥混凝土路面</t>
  </si>
  <si>
    <t>（3）面层</t>
  </si>
  <si>
    <t>22局沥青混凝土路面</t>
  </si>
  <si>
    <t>六局沥青混凝土路面</t>
  </si>
  <si>
    <t>22混凝土路面</t>
  </si>
  <si>
    <t>六局混凝土路面</t>
  </si>
  <si>
    <t>3.公路桥(3)</t>
  </si>
  <si>
    <t>②水泥混凝土路面</t>
  </si>
  <si>
    <t>3.公路桥(5)</t>
  </si>
  <si>
    <t>四章</t>
  </si>
  <si>
    <t>6局隧道混凝土</t>
  </si>
  <si>
    <t>隧道及明洞工程：隧道挖石15.38万m³</t>
  </si>
  <si>
    <t>二章</t>
  </si>
  <si>
    <t>6局挖土方利用方</t>
  </si>
  <si>
    <t>AB组填料71953（23.57元/m³）、A组29989（23.76元/m³）、填渗水土37095、填方16268（7.75元/m³）</t>
  </si>
  <si>
    <t>6局挖石方利用方</t>
  </si>
  <si>
    <t>AB49175（73.18元/m³)、A21182（99.26元/m³)、填渗水土13877</t>
  </si>
  <si>
    <t>22局挖土方利用方</t>
  </si>
  <si>
    <t>2004528（9.35元/m³）</t>
  </si>
  <si>
    <r>
      <t>AB组填料71953（23.57元/m³）、A组29989（23.76元/m³）、填渗水土37095、区间</t>
    </r>
    <r>
      <rPr>
        <sz val="9"/>
        <color indexed="10"/>
        <rFont val="宋体"/>
        <charset val="134"/>
      </rPr>
      <t>利用土填方127355（40.68元/m³）、站场利用土168533（34.48元/m³)</t>
    </r>
  </si>
  <si>
    <t>22局挖石方利用方</t>
  </si>
  <si>
    <t>利用石方填AB组土（利用路基）15732（121.47元/m³）</t>
  </si>
  <si>
    <t>20局购路基填料AB22万m³、改良土23万m³</t>
  </si>
  <si>
    <t>(外购)AB组填料170.99元/m³</t>
  </si>
  <si>
    <t>(外购)A组填料182.53元/m³</t>
  </si>
  <si>
    <t>站场(外购)A组填料165.6元/m³</t>
  </si>
  <si>
    <t>区间借土改良89.92元/m³</t>
  </si>
  <si>
    <t>站场借土改良92.85元/m³</t>
  </si>
  <si>
    <t>站后1标中铁电气化局集团</t>
  </si>
  <si>
    <t>（四）借土填方</t>
  </si>
  <si>
    <t>立方米</t>
  </si>
  <si>
    <t>（五）本体填料外购</t>
  </si>
  <si>
    <t>房屋附属土方</t>
  </si>
  <si>
    <t>站后2标</t>
  </si>
  <si>
    <t>1.土方</t>
  </si>
  <si>
    <t>2.石方</t>
  </si>
  <si>
    <t>3.混凝土</t>
  </si>
  <si>
    <t>圬工方</t>
  </si>
  <si>
    <t>4.钢筋混凝土</t>
  </si>
  <si>
    <t>20局CFG桩d=0.5m</t>
  </si>
  <si>
    <t>22局CFG桩d=0.5m</t>
  </si>
  <si>
    <t>6局CFG桩d=0.5m</t>
  </si>
  <si>
    <t>富裕至加格达奇站前房屋工程明细表</t>
  </si>
  <si>
    <t>序号</t>
  </si>
  <si>
    <t>房屋名称</t>
  </si>
  <si>
    <t>建筑面积</t>
  </si>
  <si>
    <t>六局合计22处工点</t>
  </si>
  <si>
    <t>一</t>
  </si>
  <si>
    <t>1.通信房屋</t>
  </si>
  <si>
    <t>二</t>
  </si>
  <si>
    <t>2.信号房屋</t>
  </si>
  <si>
    <t>（18）信号楼（白桦排）</t>
  </si>
  <si>
    <t>（19）信号楼（加南）</t>
  </si>
  <si>
    <t>（20）信号楼（加格达奇）</t>
  </si>
  <si>
    <t>（24）信号楼（杨木山）</t>
  </si>
  <si>
    <t>（25）信号楼（达拉滨）</t>
  </si>
  <si>
    <t>（26）信号楼（大杨树东）</t>
  </si>
  <si>
    <t>（27）信号楼（大杨树）</t>
  </si>
  <si>
    <t>（28）信号楼（春亭阁）</t>
  </si>
  <si>
    <t>（29）信号楼（乌鲁布铁）</t>
  </si>
  <si>
    <t>（30）信号楼（朝阳村）</t>
  </si>
  <si>
    <t>（31）信号楼（讷尔克气）</t>
  </si>
  <si>
    <t>三、</t>
  </si>
  <si>
    <t>5.电力房屋</t>
  </si>
  <si>
    <t>（5）10KV配电所（加格达奇）</t>
  </si>
  <si>
    <t>（7）10KV配电所（乌鲁布铁）</t>
  </si>
  <si>
    <t>四、</t>
  </si>
  <si>
    <t>6.电力牵引供电房屋</t>
  </si>
  <si>
    <t>（6）5#区间牵引变电所</t>
  </si>
  <si>
    <t>五、</t>
  </si>
  <si>
    <t>7.给排水房屋</t>
  </si>
  <si>
    <t>六、</t>
  </si>
  <si>
    <t>8.机务房屋</t>
  </si>
  <si>
    <t>1）机务段整备棚（加格达奇）</t>
  </si>
  <si>
    <t>2）机务段轮对检测间（加格达奇）</t>
  </si>
  <si>
    <t>1）机务段整备综合楼及附属房屋（加格达奇）</t>
  </si>
  <si>
    <t>七、</t>
  </si>
  <si>
    <t>9.车辆房屋</t>
  </si>
  <si>
    <t>八、</t>
  </si>
  <si>
    <t>10.工务房屋</t>
  </si>
  <si>
    <t>（1）轨道车库及边跨（加格达奇）</t>
  </si>
  <si>
    <t>（19）轨道车库及边跨（大杨树）</t>
  </si>
  <si>
    <t>九、</t>
  </si>
  <si>
    <t>12.其他房屋</t>
  </si>
  <si>
    <t>（1）公安派出所（加格达奇）</t>
  </si>
  <si>
    <t xml:space="preserve"> </t>
  </si>
  <si>
    <t>二十局富裕至对面泉29处工点合计</t>
  </si>
  <si>
    <t>1通讯房屋</t>
  </si>
  <si>
    <t>（1）信号楼（小榆树）</t>
  </si>
  <si>
    <t>（2）信号楼（二道湾）</t>
  </si>
  <si>
    <t>（3）信号楼（青水山）</t>
  </si>
  <si>
    <t>（4）信号楼（团结）</t>
  </si>
  <si>
    <t>（5）信号楼（拉哈）</t>
  </si>
  <si>
    <t>（6）信号楼（光明）</t>
  </si>
  <si>
    <t>（7）信号楼（六合镇）</t>
  </si>
  <si>
    <t>（8）信号楼（八方）</t>
  </si>
  <si>
    <t>（9）信号楼（讷河）</t>
  </si>
  <si>
    <t>（10）信号楼（恒地营）</t>
  </si>
  <si>
    <t>（11）信号楼（老莱）</t>
  </si>
  <si>
    <t>（12）信号楼（对面泉）</t>
  </si>
  <si>
    <t>（1）10KV配电所（拉哈）</t>
  </si>
  <si>
    <t>（2）10KV配电所（讷河）</t>
  </si>
  <si>
    <t>（1）牵引变电所（拉哈）</t>
  </si>
  <si>
    <t>（2）1#区间牵引变电所</t>
  </si>
  <si>
    <t>（3）2#区间牵引变电所</t>
  </si>
  <si>
    <t>（8）网隔开关控制室（区间）</t>
  </si>
  <si>
    <t>（2）水源井泵房（拉哈）</t>
  </si>
  <si>
    <t>（3）水源井泵房（对面泉）</t>
  </si>
  <si>
    <t>（6）区间水源井泵房一</t>
  </si>
  <si>
    <t>（2）车辆其他房屋</t>
  </si>
  <si>
    <t>1）红外轴温探测站（青水山）</t>
  </si>
  <si>
    <t>2）红外轴温探测站（光明）</t>
  </si>
  <si>
    <t>3）红外轴温探测站（讷河）</t>
  </si>
  <si>
    <t>4）红外轴温探测站（对面泉）</t>
  </si>
  <si>
    <t>9）客整所新建边跨房屋（哈尔滨）</t>
  </si>
  <si>
    <t>投资2757万元</t>
  </si>
  <si>
    <t>（3）轨道车库及边跨（讷河）</t>
  </si>
  <si>
    <t>（5）轨道衡控制室（拉哈）</t>
  </si>
  <si>
    <t>（6）储油间（讷河）</t>
  </si>
  <si>
    <t>（7）门卫（讷河）</t>
  </si>
  <si>
    <t>20局齐齐哈尔至富裕</t>
  </si>
  <si>
    <t>（三）其他生产房屋</t>
  </si>
  <si>
    <t>二十二局33处工点合计</t>
  </si>
  <si>
    <t>（1）区间RRU机房一</t>
  </si>
  <si>
    <t>（2）区间RRU机房二</t>
  </si>
  <si>
    <t>（13）信号楼（伊拉哈）</t>
  </si>
  <si>
    <t>（14）信号楼（九三）</t>
  </si>
  <si>
    <t>（15）信号楼（弯道）</t>
  </si>
  <si>
    <t>（16）信号楼（前进）</t>
  </si>
  <si>
    <t>（17）信号楼（嫩江）</t>
  </si>
  <si>
    <t>（21）信号楼（哈达阳）</t>
  </si>
  <si>
    <t>（22）信号楼（哈力图）</t>
  </si>
  <si>
    <t>cfg1861.57</t>
  </si>
  <si>
    <t>（23）信号楼（红彦）</t>
  </si>
  <si>
    <t>（3）10KV配电所（九三）</t>
  </si>
  <si>
    <t>（4）10KV配电所（嫩江）</t>
  </si>
  <si>
    <t>（6）10KV配电所（红彦）</t>
  </si>
  <si>
    <t>（4）3#区间牵引变电所</t>
  </si>
  <si>
    <t>（5）4#区间牵引变电所</t>
  </si>
  <si>
    <t>（9）网隔开关控制室（区间）</t>
  </si>
  <si>
    <t>（10）牵引变电所（红彦）</t>
  </si>
  <si>
    <t>（5）水源井泵房（前进）</t>
  </si>
  <si>
    <t>10)红外轴温探测站（嫩江）</t>
  </si>
  <si>
    <t>11)红外轴温探测站（哈力图）</t>
  </si>
  <si>
    <t>（2）轨道车库及边跨（九三）</t>
  </si>
  <si>
    <t>（4）轨道车库及边跨（嫩江）</t>
  </si>
  <si>
    <t>（8）储油间（九三）</t>
  </si>
  <si>
    <t>（9）门卫（九三）</t>
  </si>
  <si>
    <t>（10）超偏载控制室（嫩江）</t>
  </si>
  <si>
    <t>（11）储油间（嫩江）</t>
  </si>
  <si>
    <t>（12）门卫（嫩江）</t>
  </si>
  <si>
    <t>（16）轨道车库及边跨（红彦）</t>
  </si>
  <si>
    <t>（17）储油间（红彦）</t>
  </si>
  <si>
    <t>（18）门卫（红彦）</t>
  </si>
  <si>
    <t>加格达奇站房</t>
  </si>
  <si>
    <t>9440万元</t>
  </si>
  <si>
    <t>富裕至加格达奇土方外运合计</t>
  </si>
  <si>
    <t>章别</t>
  </si>
  <si>
    <t>20局</t>
  </si>
  <si>
    <t>（二）非等级公路</t>
  </si>
  <si>
    <t>（一）等级公路</t>
  </si>
  <si>
    <t>（三）泥结碎石路</t>
  </si>
  <si>
    <t>22局</t>
  </si>
  <si>
    <t>六局</t>
  </si>
  <si>
    <t>合计</t>
  </si>
  <si>
    <t>富裕至加格达奇道砟合计</t>
  </si>
  <si>
    <t>富裕至加格达奇一章平改立路面部分</t>
  </si>
  <si>
    <t>项目名称</t>
  </si>
  <si>
    <t>技术标准</t>
  </si>
  <si>
    <t>注</t>
  </si>
  <si>
    <t>碎石15.2万m³、混凝土5.7万m³、沥青混凝土1.2万m³。</t>
  </si>
  <si>
    <t>碎石垫层 厚度15cm</t>
  </si>
  <si>
    <t>水泥稳定碎石基层 机械拌和 厚度15cm</t>
  </si>
  <si>
    <t>①沥青混凝土路面</t>
  </si>
  <si>
    <t>1、细粒式沥青混凝土面层 人工摊铺 厚度2cm；2、中粒式沥青混凝土面层 机械摊铺 厚度5cm。</t>
  </si>
  <si>
    <t>20局94815.57㎡、22局75004.49㎡、六局53337.95㎡。</t>
  </si>
  <si>
    <t>现浇混凝土路面、站台面 厚20cm</t>
  </si>
  <si>
    <t>税率9%</t>
  </si>
  <si>
    <t>说明：</t>
  </si>
  <si>
    <t>富裕至加格达奇上跨铁路立交桥工程55处明细表</t>
  </si>
  <si>
    <t>站间或站名</t>
  </si>
  <si>
    <t>平改立名称</t>
  </si>
  <si>
    <t>线别</t>
  </si>
  <si>
    <t>中心里程</t>
  </si>
  <si>
    <t>20局平改立30处</t>
  </si>
  <si>
    <t>富裕-小榆树</t>
  </si>
  <si>
    <t>上跨铁路立交桥</t>
  </si>
  <si>
    <t>富嫩线</t>
  </si>
  <si>
    <t>小榆树-二道湾</t>
  </si>
  <si>
    <t>青水山-团结</t>
  </si>
  <si>
    <t>团结-拉哈</t>
  </si>
  <si>
    <t>拉哈</t>
  </si>
  <si>
    <t>拉哈-光明</t>
  </si>
  <si>
    <t>光明-六合镇</t>
  </si>
  <si>
    <t>六合镇-八方</t>
  </si>
  <si>
    <t>北引道跨河小桥</t>
  </si>
  <si>
    <t>南引道跨河小桥</t>
  </si>
  <si>
    <t>八方-讷河</t>
  </si>
  <si>
    <t>讷河-恒地营</t>
  </si>
  <si>
    <t>恒地营-老莱</t>
  </si>
  <si>
    <t>老莱-伊拉哈</t>
  </si>
  <si>
    <t>平改立22局16处</t>
  </si>
  <si>
    <t>伊拉哈-九三</t>
  </si>
  <si>
    <t>九三-弯道</t>
  </si>
  <si>
    <t>弯道-鹤山</t>
  </si>
  <si>
    <t>鹤山-新高峰</t>
  </si>
  <si>
    <t>新高峰</t>
  </si>
  <si>
    <t>新高峰-新彦</t>
  </si>
  <si>
    <t>新彥-嫩江</t>
  </si>
  <si>
    <t>嫩江-哈达阳</t>
  </si>
  <si>
    <t>嫩林线</t>
  </si>
  <si>
    <t>平改立6局9处</t>
  </si>
  <si>
    <t>哈达阳-哈力图</t>
  </si>
  <si>
    <t>哈力图-红彦</t>
  </si>
  <si>
    <t>红彦-杨木山</t>
  </si>
  <si>
    <t>大杨树-春亭阁</t>
  </si>
  <si>
    <t>乌鲁布铁-朝阳村</t>
  </si>
  <si>
    <t>朝阳村-讷尔克气</t>
  </si>
  <si>
    <t>加南-加格达奇</t>
  </si>
  <si>
    <t>合计55处</t>
  </si>
  <si>
    <t>说明：设计鉴修平改立桥涵共计90处，投资14.9945亿元。</t>
  </si>
  <si>
    <t>人行天桥23处</t>
  </si>
  <si>
    <t>富嫩线K48+102 人行天桥</t>
  </si>
  <si>
    <t>20局4处</t>
  </si>
  <si>
    <t>富嫩线K88+360 人行天桥</t>
  </si>
  <si>
    <t>富嫩线K106+530 人行天桥</t>
  </si>
  <si>
    <t>富嫩线K110+405 人行天桥</t>
  </si>
  <si>
    <t>富嫩线K125+050 人行天桥</t>
  </si>
  <si>
    <t>22局9处</t>
  </si>
  <si>
    <t>富嫩线K177+422 人行天桥</t>
  </si>
  <si>
    <t>嫩林线K6+235 人行天桥</t>
  </si>
  <si>
    <t>嫩林线K14+816 人行天桥</t>
  </si>
  <si>
    <t>嫩林线K17+785 人行天桥</t>
  </si>
  <si>
    <t>嫩林线K25+346 人行天桥</t>
  </si>
  <si>
    <t>嫩林线K33+735 人行天桥</t>
  </si>
  <si>
    <t>嫩林线K40+233 人行天桥</t>
  </si>
  <si>
    <t>嫩林线K45+805 人行天桥</t>
  </si>
  <si>
    <t>嫩林线K55+200 人行天桥</t>
  </si>
  <si>
    <t>六局10处</t>
  </si>
  <si>
    <t>嫩林线K85+050 人行天桥</t>
  </si>
  <si>
    <t>嫩林线K90+099.02 人行天桥</t>
  </si>
  <si>
    <t>嫩林线K90+942 人行天桥</t>
  </si>
  <si>
    <t>嫩林线K91+990.42 人行天桥</t>
  </si>
  <si>
    <t>嫩林线K92+500 人行天桥</t>
  </si>
  <si>
    <t>嫩林线K104+870 人行天桥</t>
  </si>
  <si>
    <t>嫩林线K126+976 人行天桥</t>
  </si>
  <si>
    <t>嫩林线K184+387 人行天桥</t>
  </si>
  <si>
    <t>嫩林线K184+904 人行天桥</t>
  </si>
  <si>
    <t>铁路梁桥</t>
  </si>
  <si>
    <t>DK79+163.755 讷谟尔河特大桥</t>
  </si>
  <si>
    <t>20局1处</t>
  </si>
  <si>
    <t>DK160+576.450 双发屯1号大桥</t>
  </si>
  <si>
    <t>22局5处</t>
  </si>
  <si>
    <t>DK162+011.160 双发屯2号特大桥</t>
  </si>
  <si>
    <t>DK167+731.42 东南屯特大桥</t>
  </si>
  <si>
    <t>DK170+036.500 东南屯2号大桥</t>
  </si>
  <si>
    <t>嫩林线DK28+926.85  哈力图大桥</t>
  </si>
  <si>
    <t>明洞</t>
  </si>
  <si>
    <t>富嫩线DK157+494.35 下穿北漠高速公路明洞</t>
  </si>
  <si>
    <t>22局2处</t>
  </si>
  <si>
    <t>富嫩线DK172+186.50 下穿双嫩高速公路明洞</t>
  </si>
  <si>
    <t>现浇铁路框架桥</t>
  </si>
  <si>
    <t>嫩林线K135+320.39 朝阳村框架桥</t>
  </si>
  <si>
    <t>六局1处</t>
  </si>
  <si>
    <t>铁路框架小桥涵</t>
  </si>
  <si>
    <t>K60+533.20 2-2×1.6m框架涵</t>
  </si>
  <si>
    <t>20局5处</t>
  </si>
  <si>
    <t>K108+858.00 1-2×2m框架涵</t>
  </si>
  <si>
    <t>K109+254.57 1-2×1.5m框架涵</t>
  </si>
  <si>
    <t>K114+831.90 1-3×2.1m框架涵</t>
  </si>
  <si>
    <t>K117+852.78 1-1.5×1.5m框架涵</t>
  </si>
  <si>
    <t>K137+275.00 1-2×1.5m框架涵</t>
  </si>
  <si>
    <t>22局23处</t>
  </si>
  <si>
    <t>K144+037.48 1-2×1.5m框架涵</t>
  </si>
  <si>
    <t>DK155+996.00   1-6×5.3m框架涵</t>
  </si>
  <si>
    <t>DK156+205.00   1-12×5.3m框架桥</t>
  </si>
  <si>
    <t>DK156+416.00   1-6×5.3m框架涵</t>
  </si>
  <si>
    <t>DK159+346.00   1-3×3.5m框架涵</t>
  </si>
  <si>
    <t>DK159+733.00   1-3×3.5m框架涵</t>
  </si>
  <si>
    <t>DK159+766.00   1-6×5.3m框架涵</t>
  </si>
  <si>
    <t>DK162+408.00   1-6×5.3m框架涵</t>
  </si>
  <si>
    <t>DK164+100.00   1-6×5.3m框架涵</t>
  </si>
  <si>
    <t>DK164+213.00   1-3×3.5m框架涵</t>
  </si>
  <si>
    <t>DK164+328.00   1-3×3.5m框架涵</t>
  </si>
  <si>
    <t>DK164+506.00   1-8×5.3m框架桥</t>
  </si>
  <si>
    <t>DK164+567.00   1-3×3.5m框架涵</t>
  </si>
  <si>
    <t>DK164+595.00   1-4×5.3m框架涵</t>
  </si>
  <si>
    <t>DK164+966.00   1-4×5.3m框架涵</t>
  </si>
  <si>
    <t>DK165+277.00   1-4×5.3m框架涵</t>
  </si>
  <si>
    <t>DK165+800.00   1-4×5.3m框架涵</t>
  </si>
  <si>
    <t>DK172+646.00   1-6×5.3m框架涵</t>
  </si>
  <si>
    <t>嫩林线DK20+602.55 1-2.0m框架涵（接长）</t>
  </si>
  <si>
    <t>嫩林线DK35+941.48 1-2.0m框架涵（接长）</t>
  </si>
  <si>
    <t>嫩林线DK36+700.00 1-2.0m框架涵</t>
  </si>
  <si>
    <t>嫩林线DK37+563.30 1-3.0m框架涵</t>
  </si>
  <si>
    <t>嫩林线K116+300.44 1-4.0m框架涵（接长）</t>
  </si>
  <si>
    <t>嫩林线DK118+555.00 1-3.0m框架涵</t>
  </si>
  <si>
    <t>嫩林线DK135+602.00 1-2.0m框架涵</t>
  </si>
  <si>
    <t>嫩林线DK136+943.00 1-6.0m框架涵（接长）</t>
  </si>
  <si>
    <t>嫩林线DK137+100.00 1-3.0m框架涵</t>
  </si>
  <si>
    <t>嫩林线DK139+544.00 1-2.0m框架涵</t>
  </si>
  <si>
    <t>嫩林线DK142+684.30 1-2.0m框架涵（接长）</t>
  </si>
  <si>
    <t>嫩林线DK144+370.88 1-5.0m框架涵</t>
  </si>
  <si>
    <t>嫩林线DK144+635.00 1-5.0m框架涵</t>
  </si>
  <si>
    <t>嫩林线DK153+612.50 1-2.0m框架涵</t>
  </si>
  <si>
    <t>公路钢筋混凝-框架小桥涵</t>
  </si>
  <si>
    <t>DK164-328.00   1-3x3.5框架涵</t>
  </si>
  <si>
    <t>22局4处</t>
  </si>
  <si>
    <t>DK164+506.00  1-8x5.3m框架桥</t>
  </si>
  <si>
    <t>DK164+567.00  1-3x3.5 框架涵</t>
  </si>
  <si>
    <t>DK164-595.00   1-4X5.3框架涵</t>
  </si>
  <si>
    <t>新建桥涵统计表（平改立工程）</t>
  </si>
  <si>
    <t>项目</t>
  </si>
  <si>
    <t>新建</t>
  </si>
  <si>
    <t>座数</t>
  </si>
  <si>
    <t>横延米</t>
  </si>
  <si>
    <t>顶延米</t>
  </si>
  <si>
    <t>顶进框构桥</t>
  </si>
  <si>
    <t>上跨铁路公路桥</t>
  </si>
  <si>
    <t>现浇框构桥</t>
  </si>
  <si>
    <t>架空现浇人行地道桥</t>
  </si>
  <si>
    <t>上跨铁路人行天桥</t>
  </si>
  <si>
    <t>改移道路跨沟公路桥</t>
  </si>
  <si>
    <t>改移道路跨沟框架涵</t>
  </si>
  <si>
    <t>混凝土集中拌合站设置表</t>
  </si>
  <si>
    <t>拌合站名称</t>
  </si>
  <si>
    <t>线路段落</t>
  </si>
  <si>
    <t>对应线位里程</t>
  </si>
  <si>
    <t>1#混凝土拌合站</t>
  </si>
  <si>
    <t>K24+300</t>
  </si>
  <si>
    <t>富裕20局</t>
  </si>
  <si>
    <t>2#混凝土拌合站</t>
  </si>
  <si>
    <t>K63+200</t>
  </si>
  <si>
    <t>讷河20局</t>
  </si>
  <si>
    <t>3#混凝土拌合站</t>
  </si>
  <si>
    <t>K107+000</t>
  </si>
  <si>
    <t>4#混凝土拌合站22局</t>
  </si>
  <si>
    <t>K146+000</t>
  </si>
  <si>
    <t>嫩江22局</t>
  </si>
  <si>
    <t>5#混凝土拌合站22局</t>
  </si>
  <si>
    <t>K165+000</t>
  </si>
  <si>
    <t>6#混凝土拌合站22局</t>
  </si>
  <si>
    <t>K6+000</t>
  </si>
  <si>
    <t>7#混凝土拌合站22局</t>
  </si>
  <si>
    <t>K46+000</t>
  </si>
  <si>
    <t>莫力达瓦22局</t>
  </si>
  <si>
    <t>8#混凝土拌合站</t>
  </si>
  <si>
    <t>K90+500</t>
  </si>
  <si>
    <t>鄂伦春六局</t>
  </si>
  <si>
    <t>9#混凝土拌合站</t>
  </si>
  <si>
    <t>K125+000</t>
  </si>
  <si>
    <t>10#混凝土拌合站</t>
  </si>
  <si>
    <t>K186+453</t>
  </si>
  <si>
    <t>加格达奇六局</t>
  </si>
  <si>
    <t>梁场设置表</t>
  </si>
  <si>
    <t>名称</t>
  </si>
  <si>
    <t>引入里程</t>
  </si>
  <si>
    <t>供应范围</t>
  </si>
  <si>
    <t>弯道站铺轨基地</t>
  </si>
  <si>
    <t>富嫩K152+600</t>
  </si>
  <si>
    <t>起点</t>
  </si>
  <si>
    <t>富嫩线终点</t>
  </si>
  <si>
    <t>公路简支梁1227片；铁路32mT梁131孔</t>
  </si>
  <si>
    <t>本线共设取土场 3处，取弃土场合用2处，弃土场10处。</t>
  </si>
  <si>
    <t>取土场设计情况一览表</t>
  </si>
  <si>
    <t>行政区</t>
  </si>
  <si>
    <t>位置</t>
  </si>
  <si>
    <t>取土量</t>
  </si>
  <si>
    <t>占地</t>
  </si>
  <si>
    <t>占地类型</t>
  </si>
  <si>
    <t>取土场类型</t>
  </si>
  <si>
    <t>临近局</t>
  </si>
  <si>
    <r>
      <t>万</t>
    </r>
    <r>
      <rPr>
        <sz val="10"/>
        <rFont val="仿宋"/>
        <family val="3"/>
        <charset val="134"/>
      </rPr>
      <t>m</t>
    </r>
    <r>
      <rPr>
        <vertAlign val="superscript"/>
        <sz val="10"/>
        <rFont val="仿宋"/>
        <family val="3"/>
        <charset val="134"/>
      </rPr>
      <t>3</t>
    </r>
  </si>
  <si>
    <r>
      <t>hm</t>
    </r>
    <r>
      <rPr>
        <b/>
        <vertAlign val="superscript"/>
        <sz val="10"/>
        <rFont val="仿宋"/>
        <family val="3"/>
        <charset val="134"/>
      </rPr>
      <t>2</t>
    </r>
  </si>
  <si>
    <t>黑龙江省</t>
  </si>
  <si>
    <t>齐齐哈尔市</t>
  </si>
  <si>
    <t>富裕县</t>
  </si>
  <si>
    <t>兴安屯取（弃）土场</t>
  </si>
  <si>
    <r>
      <t>富嫩铁路</t>
    </r>
    <r>
      <rPr>
        <sz val="10"/>
        <rFont val="仿宋"/>
        <family val="3"/>
        <charset val="134"/>
      </rPr>
      <t>K6+770</t>
    </r>
    <r>
      <rPr>
        <sz val="10"/>
        <rFont val="仿宋_GB2312"/>
        <charset val="134"/>
      </rPr>
      <t>右侧</t>
    </r>
    <r>
      <rPr>
        <sz val="10"/>
        <rFont val="仿宋"/>
        <family val="3"/>
        <charset val="134"/>
      </rPr>
      <t>14.8km</t>
    </r>
  </si>
  <si>
    <t>空闲地</t>
  </si>
  <si>
    <t>平地型</t>
  </si>
  <si>
    <t>讷河市</t>
  </si>
  <si>
    <t>老莱取（弃）土场</t>
  </si>
  <si>
    <r>
      <t>富嫩铁路</t>
    </r>
    <r>
      <rPr>
        <sz val="10"/>
        <rFont val="仿宋"/>
        <family val="3"/>
        <charset val="134"/>
      </rPr>
      <t>K111+500</t>
    </r>
    <r>
      <rPr>
        <sz val="10"/>
        <rFont val="仿宋_GB2312"/>
        <charset val="134"/>
      </rPr>
      <t>左侧</t>
    </r>
    <r>
      <rPr>
        <sz val="10"/>
        <rFont val="仿宋"/>
        <family val="3"/>
        <charset val="134"/>
      </rPr>
      <t>0.</t>
    </r>
    <r>
      <rPr>
        <sz val="10"/>
        <rFont val="仿宋"/>
        <family val="3"/>
        <charset val="134"/>
      </rPr>
      <t>3</t>
    </r>
    <r>
      <rPr>
        <sz val="10"/>
        <rFont val="仿宋"/>
        <family val="3"/>
        <charset val="134"/>
      </rPr>
      <t>km</t>
    </r>
  </si>
  <si>
    <t>岗地型</t>
  </si>
  <si>
    <t>20局、22局</t>
  </si>
  <si>
    <t>内蒙古自治区</t>
  </si>
  <si>
    <t>呼伦贝尔市</t>
  </si>
  <si>
    <t>鄂伦春族自治旗</t>
  </si>
  <si>
    <t>新华六队取土场</t>
  </si>
  <si>
    <r>
      <t>嫩林铁路</t>
    </r>
    <r>
      <rPr>
        <sz val="10"/>
        <rFont val="仿宋"/>
        <family val="3"/>
        <charset val="134"/>
      </rPr>
      <t>K97+000</t>
    </r>
    <r>
      <rPr>
        <sz val="10"/>
        <rFont val="仿宋_GB2312"/>
        <charset val="134"/>
      </rPr>
      <t>右侧</t>
    </r>
    <r>
      <rPr>
        <sz val="10"/>
        <rFont val="仿宋"/>
        <family val="3"/>
        <charset val="134"/>
      </rPr>
      <t>3</t>
    </r>
    <r>
      <rPr>
        <sz val="10"/>
        <rFont val="仿宋"/>
        <family val="3"/>
        <charset val="134"/>
      </rPr>
      <t>.</t>
    </r>
    <r>
      <rPr>
        <sz val="10"/>
        <rFont val="仿宋"/>
        <family val="3"/>
        <charset val="134"/>
      </rPr>
      <t>2k</t>
    </r>
    <r>
      <rPr>
        <sz val="10"/>
        <rFont val="仿宋"/>
        <family val="3"/>
        <charset val="134"/>
      </rPr>
      <t>m</t>
    </r>
  </si>
  <si>
    <t>其他林地</t>
  </si>
  <si>
    <t>坡地型</t>
  </si>
  <si>
    <t>弃土场设计情况一览表</t>
  </si>
  <si>
    <t>容量</t>
  </si>
  <si>
    <t>弃渣量（实方）</t>
  </si>
  <si>
    <r>
      <t>弃渣量</t>
    </r>
    <r>
      <rPr>
        <b/>
        <sz val="10.5"/>
        <rFont val="仿宋"/>
        <family val="3"/>
        <charset val="134"/>
      </rPr>
      <t>(</t>
    </r>
    <r>
      <rPr>
        <b/>
        <sz val="10.5"/>
        <rFont val="仿宋_GB2312"/>
        <charset val="134"/>
      </rPr>
      <t>松方</t>
    </r>
    <r>
      <rPr>
        <b/>
        <sz val="10.5"/>
        <rFont val="仿宋"/>
        <family val="3"/>
        <charset val="134"/>
      </rPr>
      <t>)</t>
    </r>
  </si>
  <si>
    <t>占地面积</t>
  </si>
  <si>
    <t>弃土场类型</t>
  </si>
  <si>
    <t>平均堆高</t>
  </si>
  <si>
    <t>省</t>
  </si>
  <si>
    <t>市</t>
  </si>
  <si>
    <t>区县</t>
  </si>
  <si>
    <r>
      <t>万</t>
    </r>
    <r>
      <rPr>
        <b/>
        <sz val="10.5"/>
        <rFont val="仿宋"/>
        <family val="3"/>
        <charset val="134"/>
      </rPr>
      <t>m</t>
    </r>
    <r>
      <rPr>
        <b/>
        <vertAlign val="superscript"/>
        <sz val="10.5"/>
        <rFont val="仿宋"/>
        <family val="3"/>
        <charset val="134"/>
      </rPr>
      <t>3</t>
    </r>
  </si>
  <si>
    <r>
      <t>hm</t>
    </r>
    <r>
      <rPr>
        <b/>
        <vertAlign val="superscript"/>
        <sz val="10.5"/>
        <rFont val="仿宋"/>
        <family val="3"/>
        <charset val="134"/>
      </rPr>
      <t>2</t>
    </r>
  </si>
  <si>
    <t>m</t>
  </si>
  <si>
    <r>
      <t>富嫩铁路</t>
    </r>
    <r>
      <rPr>
        <sz val="10.5"/>
        <rFont val="仿宋"/>
        <family val="3"/>
        <charset val="134"/>
      </rPr>
      <t>K6+770</t>
    </r>
    <r>
      <rPr>
        <sz val="10.5"/>
        <rFont val="仿宋_GB2312"/>
        <charset val="134"/>
      </rPr>
      <t>右侧</t>
    </r>
    <r>
      <rPr>
        <sz val="10.5"/>
        <rFont val="仿宋"/>
        <family val="3"/>
        <charset val="134"/>
      </rPr>
      <t>14.8km</t>
    </r>
  </si>
  <si>
    <t>/（取弃结合）</t>
  </si>
  <si>
    <t>平地（填凹）</t>
  </si>
  <si>
    <t>20局管内</t>
  </si>
  <si>
    <t>裕兴村弃土场</t>
  </si>
  <si>
    <r>
      <t>富嫩铁路</t>
    </r>
    <r>
      <rPr>
        <sz val="10.5"/>
        <rFont val="仿宋"/>
        <family val="3"/>
        <charset val="134"/>
      </rPr>
      <t>K17+200</t>
    </r>
    <r>
      <rPr>
        <sz val="10.5"/>
        <rFont val="仿宋_GB2312"/>
        <charset val="134"/>
      </rPr>
      <t>左侧</t>
    </r>
    <r>
      <rPr>
        <sz val="10.5"/>
        <rFont val="仿宋"/>
        <family val="3"/>
        <charset val="134"/>
      </rPr>
      <t>1.3km</t>
    </r>
  </si>
  <si>
    <r>
      <t>讷河市六合镇</t>
    </r>
    <r>
      <rPr>
        <sz val="10.5"/>
        <rFont val="仿宋"/>
        <family val="3"/>
        <charset val="134"/>
      </rPr>
      <t>1</t>
    </r>
    <r>
      <rPr>
        <sz val="10.5"/>
        <rFont val="仿宋_GB2312"/>
        <charset val="134"/>
      </rPr>
      <t>号弃土场</t>
    </r>
  </si>
  <si>
    <r>
      <t>富嫩铁路</t>
    </r>
    <r>
      <rPr>
        <sz val="10.5"/>
        <rFont val="仿宋"/>
        <family val="3"/>
        <charset val="134"/>
      </rPr>
      <t>K64+900</t>
    </r>
    <r>
      <rPr>
        <sz val="10.5"/>
        <rFont val="仿宋_GB2312"/>
        <charset val="134"/>
      </rPr>
      <t>右侧</t>
    </r>
    <r>
      <rPr>
        <sz val="10.5"/>
        <rFont val="仿宋"/>
        <family val="3"/>
        <charset val="134"/>
      </rPr>
      <t>0.4km</t>
    </r>
  </si>
  <si>
    <r>
      <t>讷河市六合镇</t>
    </r>
    <r>
      <rPr>
        <sz val="10.5"/>
        <rFont val="仿宋"/>
        <family val="3"/>
        <charset val="134"/>
      </rPr>
      <t>3</t>
    </r>
    <r>
      <rPr>
        <sz val="10.5"/>
        <rFont val="仿宋_GB2312"/>
        <charset val="134"/>
      </rPr>
      <t>号弃土场</t>
    </r>
  </si>
  <si>
    <r>
      <t>富嫩铁路</t>
    </r>
    <r>
      <rPr>
        <sz val="10.5"/>
        <rFont val="仿宋"/>
        <family val="3"/>
        <charset val="134"/>
      </rPr>
      <t>K71+300</t>
    </r>
    <r>
      <rPr>
        <sz val="10.5"/>
        <rFont val="仿宋_GB2312"/>
        <charset val="134"/>
      </rPr>
      <t>右侧</t>
    </r>
    <r>
      <rPr>
        <sz val="10.5"/>
        <rFont val="仿宋"/>
        <family val="3"/>
        <charset val="134"/>
      </rPr>
      <t>0.5km</t>
    </r>
  </si>
  <si>
    <r>
      <t>富嫩铁路</t>
    </r>
    <r>
      <rPr>
        <sz val="9"/>
        <rFont val="仿宋"/>
        <family val="3"/>
        <charset val="134"/>
      </rPr>
      <t>K111+000</t>
    </r>
    <r>
      <rPr>
        <sz val="9"/>
        <rFont val="仿宋_GB2312"/>
        <charset val="134"/>
      </rPr>
      <t>左侧</t>
    </r>
    <r>
      <rPr>
        <sz val="9"/>
        <rFont val="仿宋"/>
        <family val="3"/>
        <charset val="134"/>
      </rPr>
      <t>0.</t>
    </r>
    <r>
      <rPr>
        <sz val="9"/>
        <rFont val="仿宋"/>
        <family val="3"/>
        <charset val="134"/>
      </rPr>
      <t>3</t>
    </r>
    <r>
      <rPr>
        <sz val="9"/>
        <rFont val="仿宋"/>
        <family val="3"/>
        <charset val="134"/>
      </rPr>
      <t>km</t>
    </r>
  </si>
  <si>
    <r>
      <t>双山镇砂场</t>
    </r>
    <r>
      <rPr>
        <sz val="9"/>
        <rFont val="仿宋"/>
        <family val="3"/>
        <charset val="134"/>
      </rPr>
      <t>1</t>
    </r>
    <r>
      <rPr>
        <sz val="9"/>
        <rFont val="仿宋_GB2312"/>
        <charset val="134"/>
      </rPr>
      <t>号弃土场</t>
    </r>
  </si>
  <si>
    <r>
      <t>富嫩铁路</t>
    </r>
    <r>
      <rPr>
        <sz val="9"/>
        <rFont val="仿宋"/>
        <family val="3"/>
        <charset val="134"/>
      </rPr>
      <t>K139+400</t>
    </r>
    <r>
      <rPr>
        <sz val="9"/>
        <rFont val="仿宋_GB2312"/>
        <charset val="134"/>
      </rPr>
      <t>右侧</t>
    </r>
    <r>
      <rPr>
        <sz val="9"/>
        <rFont val="仿宋"/>
        <family val="3"/>
        <charset val="134"/>
      </rPr>
      <t>0.5km</t>
    </r>
  </si>
  <si>
    <t>黑河市</t>
  </si>
  <si>
    <t>嫩江市</t>
  </si>
  <si>
    <t>22局管内</t>
  </si>
  <si>
    <r>
      <t>双山镇砂场</t>
    </r>
    <r>
      <rPr>
        <sz val="9"/>
        <rFont val="仿宋"/>
        <family val="3"/>
        <charset val="134"/>
      </rPr>
      <t>2</t>
    </r>
    <r>
      <rPr>
        <sz val="9"/>
        <rFont val="仿宋_GB2312"/>
        <charset val="134"/>
      </rPr>
      <t>号弃土场</t>
    </r>
  </si>
  <si>
    <r>
      <t>富嫩铁路</t>
    </r>
    <r>
      <rPr>
        <sz val="9"/>
        <rFont val="仿宋"/>
        <family val="3"/>
        <charset val="134"/>
      </rPr>
      <t>K141+200</t>
    </r>
    <r>
      <rPr>
        <sz val="9"/>
        <rFont val="仿宋_GB2312"/>
        <charset val="134"/>
      </rPr>
      <t>右侧</t>
    </r>
    <r>
      <rPr>
        <sz val="9"/>
        <rFont val="仿宋"/>
        <family val="3"/>
        <charset val="134"/>
      </rPr>
      <t>0.7km</t>
    </r>
  </si>
  <si>
    <t>鹤山采石场弃土场</t>
  </si>
  <si>
    <r>
      <t>富嫩铁路</t>
    </r>
    <r>
      <rPr>
        <sz val="9"/>
        <rFont val="仿宋"/>
        <family val="3"/>
        <charset val="134"/>
      </rPr>
      <t>K153+200</t>
    </r>
    <r>
      <rPr>
        <sz val="9"/>
        <rFont val="仿宋_GB2312"/>
        <charset val="134"/>
      </rPr>
      <t>左侧</t>
    </r>
    <r>
      <rPr>
        <sz val="9"/>
        <rFont val="仿宋"/>
        <family val="3"/>
        <charset val="134"/>
      </rPr>
      <t>3.7km</t>
    </r>
  </si>
  <si>
    <t>前进镇保胜村弃土场</t>
  </si>
  <si>
    <r>
      <t>富嫩铁路</t>
    </r>
    <r>
      <rPr>
        <sz val="9"/>
        <rFont val="仿宋"/>
        <family val="3"/>
        <charset val="134"/>
      </rPr>
      <t>K165+200</t>
    </r>
    <r>
      <rPr>
        <sz val="9"/>
        <rFont val="仿宋_GB2312"/>
        <charset val="134"/>
      </rPr>
      <t>左侧</t>
    </r>
    <r>
      <rPr>
        <sz val="9"/>
        <rFont val="仿宋"/>
        <family val="3"/>
        <charset val="134"/>
      </rPr>
      <t>7.5km</t>
    </r>
  </si>
  <si>
    <r>
      <t>鸡冠山</t>
    </r>
    <r>
      <rPr>
        <sz val="9"/>
        <rFont val="仿宋"/>
        <family val="3"/>
        <charset val="134"/>
      </rPr>
      <t>1</t>
    </r>
    <r>
      <rPr>
        <sz val="9"/>
        <rFont val="仿宋_GB2312"/>
        <charset val="134"/>
      </rPr>
      <t>号弃土场</t>
    </r>
  </si>
  <si>
    <r>
      <t>嫩林铁路</t>
    </r>
    <r>
      <rPr>
        <sz val="9"/>
        <rFont val="仿宋"/>
        <family val="3"/>
        <charset val="134"/>
      </rPr>
      <t>K37+400</t>
    </r>
    <r>
      <rPr>
        <sz val="9"/>
        <rFont val="仿宋_GB2312"/>
        <charset val="134"/>
      </rPr>
      <t>右侧</t>
    </r>
    <r>
      <rPr>
        <sz val="9"/>
        <rFont val="仿宋"/>
        <family val="3"/>
        <charset val="134"/>
      </rPr>
      <t>4.4km</t>
    </r>
  </si>
  <si>
    <t>莫力达瓦达斡尔族自治旗</t>
  </si>
  <si>
    <t>六局管内</t>
  </si>
  <si>
    <r>
      <t>大杨树</t>
    </r>
    <r>
      <rPr>
        <sz val="9"/>
        <rFont val="仿宋"/>
        <family val="3"/>
        <charset val="134"/>
      </rPr>
      <t>1</t>
    </r>
    <r>
      <rPr>
        <sz val="9"/>
        <rFont val="仿宋_GB2312"/>
        <charset val="134"/>
      </rPr>
      <t>号弃土场</t>
    </r>
  </si>
  <si>
    <r>
      <t>嫩林铁路</t>
    </r>
    <r>
      <rPr>
        <sz val="9"/>
        <rFont val="仿宋"/>
        <family val="3"/>
        <charset val="134"/>
      </rPr>
      <t>K92+900</t>
    </r>
    <r>
      <rPr>
        <sz val="9"/>
        <rFont val="仿宋_GB2312"/>
        <charset val="134"/>
      </rPr>
      <t>右侧</t>
    </r>
    <r>
      <rPr>
        <sz val="9"/>
        <rFont val="仿宋"/>
        <family val="3"/>
        <charset val="134"/>
      </rPr>
      <t>4.6km</t>
    </r>
  </si>
  <si>
    <t>鄂伦春自治旗</t>
  </si>
  <si>
    <t>映山红弃土场</t>
  </si>
  <si>
    <r>
      <t>嫩林铁路</t>
    </r>
    <r>
      <rPr>
        <sz val="9"/>
        <rFont val="仿宋"/>
        <family val="3"/>
        <charset val="134"/>
      </rPr>
      <t>K187+700</t>
    </r>
    <r>
      <rPr>
        <sz val="9"/>
        <rFont val="仿宋_GB2312"/>
        <charset val="134"/>
      </rPr>
      <t>左侧</t>
    </r>
    <r>
      <rPr>
        <sz val="9"/>
        <rFont val="仿宋"/>
        <family val="3"/>
        <charset val="134"/>
      </rPr>
      <t>3.8km</t>
    </r>
  </si>
  <si>
    <t>大兴安岭地区</t>
  </si>
  <si>
    <t>加格达奇区</t>
  </si>
  <si>
    <t>铁路运输河砂、碎石运费及其他</t>
  </si>
  <si>
    <t>提报单位：黑龙江志俊砂石经销有限公司                                                    日期：2025年8月16日</t>
  </si>
  <si>
    <t>发站</t>
  </si>
  <si>
    <t>到站</t>
  </si>
  <si>
    <r>
      <t>铁路运费C64吨</t>
    </r>
    <r>
      <rPr>
        <sz val="9"/>
        <rFont val="宋体"/>
        <charset val="134"/>
      </rPr>
      <t>（元）</t>
    </r>
  </si>
  <si>
    <r>
      <t>运费下浮按60%</t>
    </r>
    <r>
      <rPr>
        <sz val="9"/>
        <rFont val="宋体"/>
        <charset val="134"/>
      </rPr>
      <t>（元）</t>
    </r>
  </si>
  <si>
    <r>
      <t>吨单价</t>
    </r>
    <r>
      <rPr>
        <sz val="9"/>
        <rFont val="宋体"/>
        <charset val="134"/>
      </rPr>
      <t>（元/吨）</t>
    </r>
  </si>
  <si>
    <r>
      <t>立方米单价</t>
    </r>
    <r>
      <rPr>
        <sz val="9"/>
        <rFont val="宋体"/>
        <charset val="134"/>
      </rPr>
      <t>（元/m³）</t>
    </r>
  </si>
  <si>
    <t>到站距离（㎞）</t>
  </si>
  <si>
    <t>说明</t>
  </si>
  <si>
    <t>一、</t>
  </si>
  <si>
    <t>吉林市新九站</t>
  </si>
  <si>
    <t>徐家42</t>
  </si>
  <si>
    <t>下浮60%</t>
  </si>
  <si>
    <t>呼兰</t>
  </si>
  <si>
    <t>康金井</t>
  </si>
  <si>
    <t>石人城</t>
  </si>
  <si>
    <t>二、</t>
  </si>
  <si>
    <t>富裕</t>
  </si>
  <si>
    <t>讷尔克气</t>
  </si>
  <si>
    <t>大杨树</t>
  </si>
  <si>
    <t>嫩  江</t>
  </si>
  <si>
    <t>弯  道</t>
  </si>
  <si>
    <t>22局梁场、铺轨基地、混凝土伴站</t>
  </si>
  <si>
    <t>九  三</t>
  </si>
  <si>
    <t>伊拉哈</t>
  </si>
  <si>
    <t>老  莱</t>
  </si>
  <si>
    <t>讷  河</t>
  </si>
  <si>
    <t>黑宝山155.6</t>
  </si>
  <si>
    <t>注：河砂按比重d=1.6吨/m³。</t>
  </si>
  <si>
    <t>富加工程联络方式</t>
  </si>
  <si>
    <t>标段</t>
  </si>
  <si>
    <t>联系人</t>
  </si>
  <si>
    <t>职务</t>
  </si>
  <si>
    <t>电话</t>
  </si>
  <si>
    <t>办公地点</t>
  </si>
  <si>
    <t>FJSGZQ-1标</t>
  </si>
  <si>
    <r>
      <rPr>
        <b/>
        <sz val="11"/>
        <color theme="1"/>
        <rFont val="宋体"/>
        <charset val="134"/>
      </rPr>
      <t>中铁二十局集团有限公司</t>
    </r>
    <r>
      <rPr>
        <sz val="11"/>
        <color theme="1"/>
        <rFont val="宋体"/>
        <charset val="134"/>
      </rPr>
      <t>富裕至嫩江至加格达奇铁路改造工程FJSGZQ-1标段项目经理部</t>
    </r>
  </si>
  <si>
    <t>富加</t>
  </si>
  <si>
    <t>杨荣辉</t>
  </si>
  <si>
    <t>项目经理</t>
  </si>
  <si>
    <t>20局4公司</t>
  </si>
  <si>
    <t>张  勇</t>
  </si>
  <si>
    <t>项目常务副经理</t>
  </si>
  <si>
    <t>吕海荣</t>
  </si>
  <si>
    <t>项目副总工</t>
  </si>
  <si>
    <t>孙  鹏</t>
  </si>
  <si>
    <t>项目一分部经理</t>
  </si>
  <si>
    <t>何平平</t>
  </si>
  <si>
    <t>项目一分部总工</t>
  </si>
  <si>
    <t>张  宝</t>
  </si>
  <si>
    <t>项目二分部经理</t>
  </si>
  <si>
    <t>艾  武</t>
  </si>
  <si>
    <t>项目二分部总工</t>
  </si>
  <si>
    <t>FJSGZH-1标段</t>
  </si>
  <si>
    <r>
      <rPr>
        <b/>
        <sz val="11"/>
        <color theme="1"/>
        <rFont val="宋体"/>
        <charset val="134"/>
        <scheme val="minor"/>
      </rPr>
      <t>中铁电气化局集团有限公司</t>
    </r>
    <r>
      <rPr>
        <sz val="11"/>
        <color theme="1"/>
        <rFont val="宋体"/>
        <charset val="134"/>
        <scheme val="minor"/>
      </rPr>
      <t>富裕至嫩江至加格达奇铁路改造工程FJSGZH-1标段项目部</t>
    </r>
  </si>
  <si>
    <t>刘团团</t>
  </si>
  <si>
    <t>常务副经理</t>
  </si>
  <si>
    <t>包  胜</t>
  </si>
  <si>
    <t>项目副经理</t>
  </si>
  <si>
    <t>任江江</t>
  </si>
  <si>
    <t>专业经理</t>
  </si>
  <si>
    <t>陈  华</t>
  </si>
  <si>
    <t>安全总监</t>
  </si>
  <si>
    <t>王世豪</t>
  </si>
  <si>
    <t>办公室主任</t>
  </si>
  <si>
    <t>李永帅</t>
  </si>
  <si>
    <t>第一作业工区负责人</t>
  </si>
  <si>
    <t>王昌镇</t>
  </si>
  <si>
    <t>专业工程师</t>
  </si>
  <si>
    <t>孙崇凯</t>
  </si>
  <si>
    <t>姜圣哲</t>
  </si>
  <si>
    <t>计划会签</t>
  </si>
  <si>
    <t>李宏伟</t>
  </si>
  <si>
    <t>FJSGZH-2标段</t>
  </si>
  <si>
    <r>
      <rPr>
        <b/>
        <sz val="11"/>
        <color theme="1"/>
        <rFont val="宋体"/>
        <charset val="134"/>
        <scheme val="minor"/>
      </rPr>
      <t>中铁一局集团电务工程有限公司</t>
    </r>
    <r>
      <rPr>
        <sz val="11"/>
        <color theme="1"/>
        <rFont val="宋体"/>
        <charset val="134"/>
        <scheme val="minor"/>
      </rPr>
      <t>富裕至嫩江至加格达奇铁路改造工程FJSGZH-2标段项目部</t>
    </r>
  </si>
  <si>
    <t>孟振</t>
  </si>
  <si>
    <t>加格达奇</t>
  </si>
  <si>
    <t>贾奎</t>
  </si>
  <si>
    <t>周超</t>
  </si>
  <si>
    <t>曲啸</t>
  </si>
  <si>
    <t>强亚军</t>
  </si>
  <si>
    <t>技术负责人</t>
  </si>
  <si>
    <t>赵磊</t>
  </si>
  <si>
    <t>安质总监</t>
  </si>
  <si>
    <r>
      <rPr>
        <b/>
        <sz val="11"/>
        <color theme="1"/>
        <rFont val="宋体"/>
        <charset val="134"/>
        <scheme val="minor"/>
      </rPr>
      <t>通号工程局集团有限公司</t>
    </r>
    <r>
      <rPr>
        <sz val="11"/>
        <color theme="1"/>
        <rFont val="宋体"/>
        <charset val="134"/>
        <scheme val="minor"/>
      </rPr>
      <t>富裕至嫩江至加格达奇铁路改造工程FJSGZH-2标段项目经理部</t>
    </r>
  </si>
  <si>
    <t>康阳阳</t>
  </si>
  <si>
    <t>嫩江</t>
  </si>
  <si>
    <t>赵尔庆</t>
  </si>
  <si>
    <t>通信、信息</t>
  </si>
  <si>
    <t>侯成伟</t>
  </si>
  <si>
    <t>张  矛</t>
  </si>
  <si>
    <t>付兴源</t>
  </si>
  <si>
    <t>FJSGZQ-3 标段</t>
  </si>
  <si>
    <r>
      <rPr>
        <b/>
        <sz val="11"/>
        <color theme="1"/>
        <rFont val="宋体"/>
        <charset val="134"/>
        <scheme val="minor"/>
      </rPr>
      <t>中铁六局集团有限公司</t>
    </r>
    <r>
      <rPr>
        <sz val="11"/>
        <color theme="1"/>
        <rFont val="宋体"/>
        <charset val="134"/>
        <scheme val="minor"/>
      </rPr>
      <t>富裕至嫩江至加格达奇铁路改造工程 FJSGZQ-3标段项目经理部</t>
    </r>
  </si>
  <si>
    <t>王  腾</t>
  </si>
  <si>
    <t>指挥长</t>
  </si>
  <si>
    <t>戴焕民</t>
  </si>
  <si>
    <t>杨  昭</t>
  </si>
  <si>
    <t>总会计师</t>
  </si>
  <si>
    <t>杨智生</t>
  </si>
  <si>
    <t>技术副经理</t>
  </si>
  <si>
    <t>王  敏</t>
  </si>
  <si>
    <t>孟曦然</t>
  </si>
  <si>
    <t>副经理</t>
  </si>
  <si>
    <t>陈  明</t>
  </si>
  <si>
    <t>工程部副部长</t>
  </si>
  <si>
    <t>周永旭</t>
  </si>
  <si>
    <t>物机部部长</t>
  </si>
  <si>
    <t>赵琦伟</t>
  </si>
  <si>
    <t>商务部部长</t>
  </si>
  <si>
    <t>FJSGZF标段</t>
  </si>
  <si>
    <r>
      <rPr>
        <b/>
        <sz val="10"/>
        <color theme="1"/>
        <rFont val="宋体"/>
        <charset val="134"/>
        <scheme val="minor"/>
      </rPr>
      <t>中铁建设集团有限公司</t>
    </r>
    <r>
      <rPr>
        <sz val="10"/>
        <color theme="1"/>
        <rFont val="宋体"/>
        <charset val="134"/>
        <scheme val="minor"/>
      </rPr>
      <t>富裕至嫩江至加格达奇铁路改造工程FJSGZF标段项目经理部</t>
    </r>
  </si>
  <si>
    <t>李志成</t>
  </si>
  <si>
    <t>秦华杰</t>
  </si>
  <si>
    <t>施工负责人</t>
  </si>
  <si>
    <r>
      <rPr>
        <b/>
        <sz val="10"/>
        <color theme="1"/>
        <rFont val="宋体"/>
        <charset val="134"/>
        <scheme val="minor"/>
      </rPr>
      <t>中铁十七局电气化公司</t>
    </r>
    <r>
      <rPr>
        <sz val="10"/>
        <color theme="1"/>
        <rFont val="宋体"/>
        <charset val="134"/>
        <scheme val="minor"/>
      </rPr>
      <t>富裕至嫩江至加格达奇铁路改造工程FJSGZF标段项目经理部</t>
    </r>
  </si>
  <si>
    <t>张杰</t>
  </si>
  <si>
    <t>赵荷</t>
  </si>
  <si>
    <t>FJJLZH-1标段</t>
  </si>
  <si>
    <r>
      <rPr>
        <b/>
        <sz val="10"/>
        <color theme="1"/>
        <rFont val="宋体"/>
        <charset val="134"/>
        <scheme val="minor"/>
      </rPr>
      <t>北京中铁诚业工程建设有限公司</t>
    </r>
    <r>
      <rPr>
        <sz val="10"/>
        <color theme="1"/>
        <rFont val="宋体"/>
        <charset val="134"/>
        <scheme val="minor"/>
      </rPr>
      <t>富裕至嫩江至加克达奇铁路改造工程FJJLZH-1标段项目监理部</t>
    </r>
  </si>
  <si>
    <t>毛东</t>
  </si>
  <si>
    <t>总监</t>
  </si>
  <si>
    <t>FJJLZH-2标段</t>
  </si>
  <si>
    <r>
      <rPr>
        <b/>
        <sz val="11"/>
        <color theme="1"/>
        <rFont val="宋体"/>
        <charset val="134"/>
        <scheme val="minor"/>
      </rPr>
      <t>哈尔滨铁路建设咨询有限公司</t>
    </r>
    <r>
      <rPr>
        <sz val="11"/>
        <color theme="1"/>
        <rFont val="宋体"/>
        <charset val="134"/>
        <scheme val="minor"/>
      </rPr>
      <t>FJJLZH-2标段项目监理部</t>
    </r>
  </si>
  <si>
    <t>刘庆斌</t>
  </si>
  <si>
    <t>FJJLZH-3标段</t>
  </si>
  <si>
    <r>
      <rPr>
        <b/>
        <sz val="11"/>
        <color theme="1"/>
        <rFont val="宋体"/>
        <charset val="134"/>
        <scheme val="minor"/>
      </rPr>
      <t>沈阳铁路建设监理有限公司</t>
    </r>
    <r>
      <rPr>
        <sz val="11"/>
        <color theme="1"/>
        <rFont val="宋体"/>
        <charset val="134"/>
        <scheme val="minor"/>
      </rPr>
      <t>FJJLZH-3标段项目监理部</t>
    </r>
  </si>
  <si>
    <t>桑核武</t>
  </si>
  <si>
    <t>李茂顺</t>
  </si>
  <si>
    <t>副总监</t>
  </si>
  <si>
    <t>张金全</t>
  </si>
  <si>
    <t>监理组长</t>
  </si>
  <si>
    <t>杨宇飞</t>
  </si>
  <si>
    <t>工程部</t>
  </si>
  <si>
    <t>FJSGZQ-2标</t>
  </si>
  <si>
    <r>
      <rPr>
        <b/>
        <sz val="11"/>
        <color theme="1"/>
        <rFont val="宋体"/>
        <charset val="134"/>
      </rPr>
      <t>中铁二十二局集团有限公司</t>
    </r>
    <r>
      <rPr>
        <sz val="11"/>
        <color theme="1"/>
        <rFont val="宋体"/>
        <charset val="134"/>
      </rPr>
      <t>富裕至嫩江至加格达奇铁路改造工程FJSGZQ-2标段项目经理部</t>
    </r>
  </si>
  <si>
    <t>陈文全</t>
  </si>
  <si>
    <t>范铸锐</t>
  </si>
  <si>
    <t>范永春</t>
  </si>
  <si>
    <t>项目总工</t>
  </si>
  <si>
    <t>何连军</t>
  </si>
  <si>
    <t>工程部长</t>
  </si>
  <si>
    <t>363.767正线公里</t>
  </si>
  <si>
    <t>电算代号</t>
  </si>
  <si>
    <t>基期</t>
  </si>
  <si>
    <t>编制期</t>
  </si>
  <si>
    <t>Ⅰ类工</t>
  </si>
  <si>
    <t>工日</t>
  </si>
  <si>
    <t>Ⅲ类工</t>
  </si>
  <si>
    <t>Ⅳ类工</t>
  </si>
  <si>
    <t>Ⅴ类工</t>
  </si>
  <si>
    <t>Ⅵ类工</t>
  </si>
  <si>
    <t>Ⅶ类工</t>
  </si>
  <si>
    <t>台班工</t>
  </si>
  <si>
    <t>电(机械台班用)</t>
  </si>
  <si>
    <t>kwh</t>
  </si>
  <si>
    <t>水(机械台班用)</t>
  </si>
  <si>
    <t>水泥 32.5 级</t>
  </si>
  <si>
    <t>普通水泥 42.5 级</t>
  </si>
  <si>
    <t>普通水泥 52.5 级</t>
  </si>
  <si>
    <t>白色水泥</t>
  </si>
  <si>
    <t>膨胀水泥</t>
  </si>
  <si>
    <t>普通水泥 42.5级(高性能混凝土)</t>
  </si>
  <si>
    <t>普通水泥 52.5级(高性能混凝土)</t>
  </si>
  <si>
    <t>杉木脚手杆</t>
  </si>
  <si>
    <t>原木</t>
  </si>
  <si>
    <t>水泥</t>
  </si>
  <si>
    <t>吨</t>
  </si>
  <si>
    <t>锯材</t>
  </si>
  <si>
    <t>硬木锯材</t>
  </si>
  <si>
    <t>支撑垫木(硬）</t>
  </si>
  <si>
    <t>木模板(底模和端模)</t>
  </si>
  <si>
    <t>m2</t>
  </si>
  <si>
    <t>桩木</t>
  </si>
  <si>
    <t>水乳型聚合物水泥基复合防水涂料</t>
  </si>
  <si>
    <t>溶剂型SBS改性沥青防水涂料</t>
  </si>
  <si>
    <t>水性封底漆（普通）</t>
  </si>
  <si>
    <t>水性中间（层）涂料</t>
  </si>
  <si>
    <t>仿石涂料</t>
  </si>
  <si>
    <t>丙烯酸封底漆</t>
  </si>
  <si>
    <t>丙烯酸弹性高级涂料</t>
  </si>
  <si>
    <t>钢结构超薄型防火涂料</t>
  </si>
  <si>
    <t>钢结构厚型防火涂料</t>
  </si>
  <si>
    <t>水泥基渗透结晶防水涂料</t>
  </si>
  <si>
    <t>胶合板 3层</t>
  </si>
  <si>
    <t>胶合板 5层</t>
  </si>
  <si>
    <t>硬质纤维板 δ=4～5</t>
  </si>
  <si>
    <t>大芯板(细木工板)</t>
  </si>
  <si>
    <t>宝丽板</t>
  </si>
  <si>
    <t>木丝板</t>
  </si>
  <si>
    <t>沥青软木</t>
  </si>
  <si>
    <t>锯屑</t>
  </si>
  <si>
    <t>竹管 Φ80</t>
  </si>
  <si>
    <t>竹钉 Φ5×40</t>
  </si>
  <si>
    <t>百个</t>
  </si>
  <si>
    <t>竹胶板 δ=10</t>
  </si>
  <si>
    <t>草席 1.34m×2m</t>
  </si>
  <si>
    <t>张</t>
  </si>
  <si>
    <t>草帘 1.0m×1.8m</t>
  </si>
  <si>
    <t>条</t>
  </si>
  <si>
    <t>草袋片</t>
  </si>
  <si>
    <t>油麻</t>
  </si>
  <si>
    <t>麻筋</t>
  </si>
  <si>
    <t>纸浆纤维（绿化用）</t>
  </si>
  <si>
    <t>种植土</t>
  </si>
  <si>
    <t>有机肥（土堆肥）</t>
  </si>
  <si>
    <t>农药</t>
  </si>
  <si>
    <t>粘合剂（绿化用）</t>
  </si>
  <si>
    <t>保水剂（绿化用）</t>
  </si>
  <si>
    <t>复合肥料</t>
  </si>
  <si>
    <t>色素</t>
  </si>
  <si>
    <t>无纺布 14g/m2</t>
  </si>
  <si>
    <t>草皮</t>
  </si>
  <si>
    <t>混合草籽</t>
  </si>
  <si>
    <t>小灌木</t>
  </si>
  <si>
    <t>株</t>
  </si>
  <si>
    <t>落叶乔木</t>
  </si>
  <si>
    <t>石墨碳心 130×250</t>
  </si>
  <si>
    <t>根</t>
  </si>
  <si>
    <t>木炭末</t>
  </si>
  <si>
    <t>生石灰</t>
  </si>
  <si>
    <t>熟石灰</t>
  </si>
  <si>
    <t>膨润土</t>
  </si>
  <si>
    <t>黏土</t>
  </si>
  <si>
    <t>黏土(钻孔桩用)</t>
  </si>
  <si>
    <t>矿渣粉(高性能混凝土)</t>
  </si>
  <si>
    <t>片石</t>
  </si>
  <si>
    <t>碎石 20以内</t>
  </si>
  <si>
    <t>碎石</t>
  </si>
  <si>
    <t>碎石 16以内</t>
  </si>
  <si>
    <t>碎石 25以内</t>
  </si>
  <si>
    <t>碎石 31.5以内</t>
  </si>
  <si>
    <t>碎石 40以内</t>
  </si>
  <si>
    <t>碎石 63以内</t>
  </si>
  <si>
    <t>碎石 80以内</t>
  </si>
  <si>
    <t>碎石道砟 Ⅰ级</t>
  </si>
  <si>
    <t>碎石 16以内(高性能混凝土)</t>
  </si>
  <si>
    <t>碎石 25以内(高性能混凝土)</t>
  </si>
  <si>
    <t>碎石 31.5以内(高性能混凝土)</t>
  </si>
  <si>
    <t>碎石 40以内(高性能混凝土)</t>
  </si>
  <si>
    <t>碎石 20以内(高性能混凝土)</t>
  </si>
  <si>
    <t>卵石 25以内</t>
  </si>
  <si>
    <t>号石</t>
  </si>
  <si>
    <t>m³</t>
  </si>
  <si>
    <t>卵石 31.5以内</t>
  </si>
  <si>
    <t>卵石 40以内</t>
  </si>
  <si>
    <t>卵石 80以内</t>
  </si>
  <si>
    <t>烧毛花岗岩板（站台面） δ=50</t>
  </si>
  <si>
    <t>天然大理石板 δ=20</t>
  </si>
  <si>
    <t>花岗岩板 光面 δ=20</t>
  </si>
  <si>
    <t>花岗岩板 麻面 δ=20</t>
  </si>
  <si>
    <t>石屑等</t>
  </si>
  <si>
    <t>异形花岗石板</t>
  </si>
  <si>
    <t>青石台阶</t>
  </si>
  <si>
    <t>预制水磨石块 彩色</t>
  </si>
  <si>
    <t>黑白石子</t>
  </si>
  <si>
    <t>小豆石</t>
  </si>
  <si>
    <t>石膏板</t>
  </si>
  <si>
    <t>石灰膏</t>
  </si>
  <si>
    <t>预制泡沫水泥聚苯颗粒板</t>
  </si>
  <si>
    <t>砾石滤料</t>
  </si>
  <si>
    <t>石英砂</t>
  </si>
  <si>
    <t>中粗砂</t>
  </si>
  <si>
    <t>细砂</t>
  </si>
  <si>
    <t>中粗砂(高性能混凝土)</t>
  </si>
  <si>
    <t>支座灌浆材料 TGM</t>
  </si>
  <si>
    <t>河沙</t>
  </si>
  <si>
    <t>封锚砂浆</t>
  </si>
  <si>
    <t>炉渣</t>
  </si>
  <si>
    <t>粉煤灰Ⅱ级</t>
  </si>
  <si>
    <t>粉煤灰(混凝土工程)</t>
  </si>
  <si>
    <t>重力式砂浆</t>
  </si>
  <si>
    <t>m３</t>
  </si>
  <si>
    <t>粉煤灰</t>
  </si>
  <si>
    <t>黏土陶粒</t>
  </si>
  <si>
    <t>石英粉 70～140目</t>
  </si>
  <si>
    <t>石粉</t>
  </si>
  <si>
    <t>滑石粉 325目</t>
  </si>
  <si>
    <t>普通石油沥青 65甲、60乙</t>
  </si>
  <si>
    <t>道路石油沥青 100甲、100乙、180号</t>
  </si>
  <si>
    <t>建筑石油沥青</t>
  </si>
  <si>
    <t>软煤沥青 8号</t>
  </si>
  <si>
    <t>煤焦油</t>
  </si>
  <si>
    <t>乳化沥青 A液</t>
  </si>
  <si>
    <t>沥青</t>
  </si>
  <si>
    <t>木材防腐油</t>
  </si>
  <si>
    <t>胶接剂 1号</t>
  </si>
  <si>
    <t>胶合剂</t>
  </si>
  <si>
    <t>聚醋酸乙烯乳液</t>
  </si>
  <si>
    <t>玻璃胶</t>
  </si>
  <si>
    <t>支</t>
  </si>
  <si>
    <t>过氯乙烯胶液 G98-1 G98-2</t>
  </si>
  <si>
    <t>酚醛树脂</t>
  </si>
  <si>
    <t>环氧树脂 E-42</t>
  </si>
  <si>
    <t>环氧树脂 E-44</t>
  </si>
  <si>
    <t>环氧树脂 E-51</t>
  </si>
  <si>
    <t>环氧树脂胶 HN-301</t>
  </si>
  <si>
    <t>密封胶 W-1</t>
  </si>
  <si>
    <t>401号胶</t>
  </si>
  <si>
    <t>塑美胶</t>
  </si>
  <si>
    <t>108乳胶</t>
  </si>
  <si>
    <t>303粘结剂</t>
  </si>
  <si>
    <t>万能胶 309</t>
  </si>
  <si>
    <t>环氧树脂合剂</t>
  </si>
  <si>
    <t>PVC胶</t>
  </si>
  <si>
    <t>乙酸乙脂</t>
  </si>
  <si>
    <t>幕墙耐候胶</t>
  </si>
  <si>
    <t>立时得胶</t>
  </si>
  <si>
    <t>冷封胶</t>
  </si>
  <si>
    <t>干粉型粘结剂</t>
  </si>
  <si>
    <t>WSJ结构胶</t>
  </si>
  <si>
    <t>结构密缝胶</t>
  </si>
  <si>
    <t>聚氯乙烯胶泥</t>
  </si>
  <si>
    <t>专用粘结砂浆</t>
  </si>
  <si>
    <t>抗裂乳胶</t>
  </si>
  <si>
    <t>干混砌筑砂浆 M7.5</t>
  </si>
  <si>
    <t>灌胶器</t>
  </si>
  <si>
    <t>个</t>
  </si>
  <si>
    <t>双组分聚硫密封胶</t>
  </si>
  <si>
    <t>养护剂</t>
  </si>
  <si>
    <t>界面处理剂 混凝土面</t>
  </si>
  <si>
    <t>界面处理剂 轻质墙面</t>
  </si>
  <si>
    <t>乳液型建筑胶粘剂</t>
  </si>
  <si>
    <t>抗裂砂浆</t>
  </si>
  <si>
    <t>膨胀玻化微珠保温型干混砂浆</t>
  </si>
  <si>
    <t>聚合物粘结砂浆</t>
  </si>
  <si>
    <t>蒸压灰砂砖  240×115×53</t>
  </si>
  <si>
    <t>标准砖 240×115×53</t>
  </si>
  <si>
    <t>页岩标砖 240×115×53</t>
  </si>
  <si>
    <t>页岩多孔砖 240×115×90</t>
  </si>
  <si>
    <t>砂加气混凝土块</t>
  </si>
  <si>
    <t>砖</t>
  </si>
  <si>
    <t>陶粒空心砌块</t>
  </si>
  <si>
    <t>190厚混凝土小型空心砌块</t>
  </si>
  <si>
    <t>瓷砖 150×150×8</t>
  </si>
  <si>
    <t>耐酸瓷砖 150×150×20</t>
  </si>
  <si>
    <t>块</t>
  </si>
  <si>
    <t>陶瓷锦砖</t>
  </si>
  <si>
    <t>防水柔毡</t>
  </si>
  <si>
    <t>三元乙丙橡胶防水卷材 δ=1.5</t>
  </si>
  <si>
    <t>SBS改性沥青油毡防水卷材 δ=3</t>
  </si>
  <si>
    <t>高密度聚乙烯防水卷材 δ=1.2</t>
  </si>
  <si>
    <t>双面自粘防水卷材 δ=2</t>
  </si>
  <si>
    <t>广场地砖</t>
  </si>
  <si>
    <t>釉面砖0.06m2以内</t>
  </si>
  <si>
    <t>陶瓷地面砖300×300</t>
  </si>
  <si>
    <t>陶瓷地面砖600×600</t>
  </si>
  <si>
    <t>陶瓷地面砖800×800</t>
  </si>
  <si>
    <t>连锁砌块 6cm</t>
  </si>
  <si>
    <t>连锁砌块 8cm</t>
  </si>
  <si>
    <t>机制脊瓦 455×195</t>
  </si>
  <si>
    <t>彩色水泥瓦</t>
  </si>
  <si>
    <t>钢筋混凝土管 d250</t>
  </si>
  <si>
    <t>钢筋混凝土管 d400</t>
  </si>
  <si>
    <t>钢筋混凝土管 d500</t>
  </si>
  <si>
    <t>钢筋混凝土管 d1000</t>
  </si>
  <si>
    <t>钢筋混凝土管 承插口 d300</t>
  </si>
  <si>
    <t>钢筋混凝土管 承插口 d500</t>
  </si>
  <si>
    <t>钢筋混凝土管 承插口 d700</t>
  </si>
  <si>
    <t>钢筋混凝土管 承插口 d800</t>
  </si>
  <si>
    <t>钢筋混凝土管 承插口 d1000</t>
  </si>
  <si>
    <t>混凝土管 d400</t>
  </si>
  <si>
    <t>预应力混凝土管 d500</t>
  </si>
  <si>
    <t>预应力混凝土电杆 Φ190×12000</t>
  </si>
  <si>
    <t>预应力混凝土电杆 Φ190×18000</t>
  </si>
  <si>
    <t>钢筋混凝土槽（带盖板）1000×80×80</t>
  </si>
  <si>
    <t>钢筋混凝土槽(带盖板) 1000×120×80</t>
  </si>
  <si>
    <t>单电缆混凝土槽 1000×160×160(80直型)</t>
  </si>
  <si>
    <t>钢筋混凝土接头槽(带盖板) 槽宽250</t>
  </si>
  <si>
    <t>套</t>
  </si>
  <si>
    <t>双电缆混凝土槽 1000×200×160</t>
  </si>
  <si>
    <t>单电缆槽盖板 1000×160×45</t>
  </si>
  <si>
    <t>单电缆槽盖板 1000×180×45</t>
  </si>
  <si>
    <t>双电缆槽盖板 1000×210×45</t>
  </si>
  <si>
    <t>混凝土底盘 600×600</t>
  </si>
  <si>
    <t>混凝土底盘 800×800</t>
  </si>
  <si>
    <t>混凝土底盘 1000×1000</t>
  </si>
  <si>
    <t>混凝土卡盘 1000×300×120</t>
  </si>
  <si>
    <t>混凝土卡盘 800×300×120</t>
  </si>
  <si>
    <t>混凝土卡盘 1200×300×150</t>
  </si>
  <si>
    <t>混凝土拉线盘 600×300×180</t>
  </si>
  <si>
    <t>混凝土拉线盘 800×400×180</t>
  </si>
  <si>
    <t>混凝土拉线盘 1000×500×180</t>
  </si>
  <si>
    <t>混凝土保护板 300×250×30</t>
  </si>
  <si>
    <t>百块</t>
  </si>
  <si>
    <t>混凝土通信管块 2孔 600</t>
  </si>
  <si>
    <t>地线埋设标 80×80×600</t>
  </si>
  <si>
    <t>混凝土标桩 150×150×700</t>
  </si>
  <si>
    <t>电缆标桩 120×120×1200</t>
  </si>
  <si>
    <t>PVC标桩（140×140×800）</t>
  </si>
  <si>
    <t>加气混凝土块 600×230×100</t>
  </si>
  <si>
    <t>混凝土地模</t>
  </si>
  <si>
    <t>砖地模</t>
  </si>
  <si>
    <t>陶土管 d200×900</t>
  </si>
  <si>
    <t>石墨润滑剂</t>
  </si>
  <si>
    <t>平板玻璃 δ=5</t>
  </si>
  <si>
    <t>平板玻璃 δ=6</t>
  </si>
  <si>
    <t>钢化玻璃 δ=10</t>
  </si>
  <si>
    <t>8+0.38+6双钢化夹胶玻璃</t>
  </si>
  <si>
    <t>铯钾防火玻璃  δ=8</t>
  </si>
  <si>
    <t>玻璃钢电缆槽 ≤600</t>
  </si>
  <si>
    <t>玻璃钢电缆槽 ≤800</t>
  </si>
  <si>
    <t>玻璃钢伸缩节 Φ110</t>
  </si>
  <si>
    <t>玻璃镜 δ=6</t>
  </si>
  <si>
    <t>卡箍 Φ110</t>
  </si>
  <si>
    <t>卡箍 Φ160</t>
  </si>
  <si>
    <t>耐碱涂塑玻纤网格布</t>
  </si>
  <si>
    <t>中碱玻璃纤维布 0.1×940～1000</t>
  </si>
  <si>
    <t>中碱无捻玻璃纤维布 0.5×900</t>
  </si>
  <si>
    <t>玻璃布</t>
  </si>
  <si>
    <t>沥青玻璃棉</t>
  </si>
  <si>
    <t>玻璃棉毡</t>
  </si>
  <si>
    <t>玻璃钢中波瓦 1300×730×1.1</t>
  </si>
  <si>
    <t>玻璃纤维</t>
  </si>
  <si>
    <t>玻璃丝棉 24K δ=50</t>
  </si>
  <si>
    <t>石油沥青油毡 350号</t>
  </si>
  <si>
    <t>卷</t>
  </si>
  <si>
    <t>石油沥青油毡 500号</t>
  </si>
  <si>
    <t>SBS改性沥青油毡防水卷材 δ=4</t>
  </si>
  <si>
    <t>APP改性沥青油毡防水卷材 δ=4</t>
  </si>
  <si>
    <t>氯化聚乙烯防水卷材 δ=1.2</t>
  </si>
  <si>
    <t>JS-18环保防水卷材</t>
  </si>
  <si>
    <t>氯丁橡胶片 δ=2</t>
  </si>
  <si>
    <t>不锈钢方通18×18</t>
  </si>
  <si>
    <t>铝镁锰合金板  δ＝0.9</t>
  </si>
  <si>
    <t>铝箔离心玻璃棉 δ=50</t>
  </si>
  <si>
    <t>张拉机具</t>
  </si>
  <si>
    <t>冷拉设备</t>
  </si>
  <si>
    <t>881-Ⅰ防水涂料</t>
  </si>
  <si>
    <t>聚氨酯防水涂料</t>
  </si>
  <si>
    <t>防火涂料</t>
  </si>
  <si>
    <t>竹片</t>
  </si>
  <si>
    <t>881-Ⅱ防水嵌缝膏</t>
  </si>
  <si>
    <t>密封油膏</t>
  </si>
  <si>
    <t>嵌缝膏CSPE</t>
  </si>
  <si>
    <t>填充油膏剂</t>
  </si>
  <si>
    <t>塑料油膏</t>
  </si>
  <si>
    <t>防水剂</t>
  </si>
  <si>
    <t>防水粉</t>
  </si>
  <si>
    <t>防水胶浆</t>
  </si>
  <si>
    <t>沥青珍珠岩</t>
  </si>
  <si>
    <t>菱镁板</t>
  </si>
  <si>
    <t>沥青矿渣棉</t>
  </si>
  <si>
    <t>软填料</t>
  </si>
  <si>
    <t>岩棉板 δ=60</t>
  </si>
  <si>
    <t>铸石粉 140目</t>
  </si>
  <si>
    <t>棉被</t>
  </si>
  <si>
    <t>石棉绒</t>
  </si>
  <si>
    <t>石棉粉</t>
  </si>
  <si>
    <t>普通石棉布 2.5×1000</t>
  </si>
  <si>
    <t>石棉扭绳 Φ3～5</t>
  </si>
  <si>
    <t>石棉扭绳 Φ6～10</t>
  </si>
  <si>
    <t>油浸石棉绳</t>
  </si>
  <si>
    <t>油浸石棉盘根 Φ6～20</t>
  </si>
  <si>
    <t>橡胶石棉盘根 Φ11～25</t>
  </si>
  <si>
    <t>保温石棉板 δ=6</t>
  </si>
  <si>
    <t>中压橡胶石棉板 δ=0.8～6</t>
  </si>
  <si>
    <t>低压橡胶石棉板 δ=0.5～6</t>
  </si>
  <si>
    <t>耐油橡胶石棉板 δ=2.5～3</t>
  </si>
  <si>
    <t>石棉橡胶板 δ=1.5</t>
  </si>
  <si>
    <t>石棉橡胶板 δ=2</t>
  </si>
  <si>
    <t>光圆钢筋（HPB300） Φ＜10</t>
  </si>
  <si>
    <t>光圆钢筋（HPB300） Φ≥10</t>
  </si>
  <si>
    <t>圆钢筋 16Mn Φ18以上</t>
  </si>
  <si>
    <t>镀锌圆钢 Φ＜10</t>
  </si>
  <si>
    <t>镀锌圆钢 Φ≥10</t>
  </si>
  <si>
    <t>带肋钢筋(HRB500) Φ18～25</t>
  </si>
  <si>
    <t>带肋钢筋(HRB400) Φ＜18，≥28</t>
  </si>
  <si>
    <t>带肋钢筋(HRB400) Φ18～25</t>
  </si>
  <si>
    <t>锥形螺纹套筒连接件Φ20</t>
  </si>
  <si>
    <t>锥形螺纹套筒连接件Φ25</t>
  </si>
  <si>
    <t>冷挤压套筒连接件Φ20</t>
  </si>
  <si>
    <t>冷挤压套筒连接件Φ22</t>
  </si>
  <si>
    <t>冷挤压套筒连接件Φ25</t>
  </si>
  <si>
    <t>方钢 Q235-A</t>
  </si>
  <si>
    <t>扁钢 Q235-A</t>
  </si>
  <si>
    <t>镀锌扁钢 Q235-A</t>
  </si>
  <si>
    <t>工字钢 Q235-A</t>
  </si>
  <si>
    <t>槽钢 Q235-A</t>
  </si>
  <si>
    <t>镀锌槽钢 Q235-A</t>
  </si>
  <si>
    <t>角钢 Q235-A</t>
  </si>
  <si>
    <t>镀锌角钢</t>
  </si>
  <si>
    <t>热镀锌扁钢 40×4</t>
  </si>
  <si>
    <t>型钢</t>
  </si>
  <si>
    <t>预应力钢丝</t>
  </si>
  <si>
    <t>预应力钢绞线</t>
  </si>
  <si>
    <t>钢件防腐处理</t>
  </si>
  <si>
    <t>钢板 Q235-A δ=0.5～6</t>
  </si>
  <si>
    <t>钢板 Q235-A δ=7～40</t>
  </si>
  <si>
    <t>钢板 16Mnq δ=6～10</t>
  </si>
  <si>
    <t>钢板 09Mn2δ=22～30</t>
  </si>
  <si>
    <t>花纹钢板</t>
  </si>
  <si>
    <t>冷轧钢板 Q235-A δ=0.3～3</t>
  </si>
  <si>
    <t>集水井防污染钢盖板 1.8m×1m</t>
  </si>
  <si>
    <t>变形监测保护装置</t>
  </si>
  <si>
    <t>镀锌钢板 δ=0.3～5</t>
  </si>
  <si>
    <t>不锈钢板 δ≤8</t>
  </si>
  <si>
    <t>不锈钢材</t>
  </si>
  <si>
    <t>不锈钢镜面板 δ=0.8</t>
  </si>
  <si>
    <t>不锈钢钉</t>
  </si>
  <si>
    <t>不锈钢卡口槽  10×3×1.2</t>
  </si>
  <si>
    <t>不锈钢扶手Φ50</t>
  </si>
  <si>
    <t>不锈钢接地端子</t>
  </si>
  <si>
    <t>不锈钢连接件</t>
  </si>
  <si>
    <t>不锈钢连接线（2m/套）</t>
  </si>
  <si>
    <t>不锈钢连接线（0.4m/套）</t>
  </si>
  <si>
    <t>白铁皮 δ=0.2</t>
  </si>
  <si>
    <t>合金工具钢 空心</t>
  </si>
  <si>
    <t>工具钢 实心</t>
  </si>
  <si>
    <t>钢纤维</t>
  </si>
  <si>
    <t>T型钢 25×25</t>
  </si>
  <si>
    <t>中空注浆锚杆锚头</t>
  </si>
  <si>
    <t>只</t>
  </si>
  <si>
    <t>中空注浆锚杆体Φ25×5</t>
  </si>
  <si>
    <t>中空注浆锚杆附件 Φ25×5</t>
  </si>
  <si>
    <t>涨壳式预应力中空锚杆（含所有配件） φ25×5</t>
  </si>
  <si>
    <t>彩钢夹心板 δ=50</t>
  </si>
  <si>
    <t>彩钢夹心板 δ=100</t>
  </si>
  <si>
    <t>彩钢卷板 δ=1</t>
  </si>
  <si>
    <t>彩钢卷板 δ=0.6</t>
  </si>
  <si>
    <t>彩板自攻钉</t>
  </si>
  <si>
    <t>彩板卡</t>
  </si>
  <si>
    <t>对</t>
  </si>
  <si>
    <t>彩钢压型板 δ=0.6 840型</t>
  </si>
  <si>
    <t>彩钢压型板 δ=0.6 900型</t>
  </si>
  <si>
    <t>彩钢压型板 δ=0.8 760型</t>
  </si>
  <si>
    <t>钢丝绳</t>
  </si>
  <si>
    <t>不锈钢丝绳 T3QSSHR-7×19</t>
  </si>
  <si>
    <t>镀锌钢丝绳</t>
  </si>
  <si>
    <t>镀锌钢绞线</t>
  </si>
  <si>
    <t>镀锌低碳钢丝 Φ0.4～0.6</t>
  </si>
  <si>
    <t>镀锌低碳钢丝 Φ0.7～6</t>
  </si>
  <si>
    <t>低碳钢丝 Φ1～5</t>
  </si>
  <si>
    <t>不锈钢软态钢丝 Φ3.5</t>
  </si>
  <si>
    <t>铜镀铬管 DN32  带存水弯</t>
  </si>
  <si>
    <t>无缝钢管</t>
  </si>
  <si>
    <t>无缝钢管 D32×3.5</t>
  </si>
  <si>
    <t>无缝钢管 D42×4</t>
  </si>
  <si>
    <t>无缝钢管 D57×4</t>
  </si>
  <si>
    <t>无缝钢管 D76×4</t>
  </si>
  <si>
    <t>无缝钢管 D89×4</t>
  </si>
  <si>
    <t>无缝钢管 D108×4</t>
  </si>
  <si>
    <t>无缝钢管 D108×6</t>
  </si>
  <si>
    <t>无缝钢管 D133×4.5</t>
  </si>
  <si>
    <t>无缝钢管 D159×5</t>
  </si>
  <si>
    <t>无缝钢管 D219×6</t>
  </si>
  <si>
    <t>无缝钢管 D273×8</t>
  </si>
  <si>
    <t>无缝钢管 D325×9.5</t>
  </si>
  <si>
    <t>无缝钢管 D325×9</t>
  </si>
  <si>
    <t>无缝钢管 D426×10</t>
  </si>
  <si>
    <t>无缝钢管 D140×7</t>
  </si>
  <si>
    <t>无缝钢管 D480×10</t>
  </si>
  <si>
    <t>不锈钢管 D57×1.2</t>
  </si>
  <si>
    <t>不锈钢管 D76×2</t>
  </si>
  <si>
    <t>不锈钢管 D25×1.2</t>
  </si>
  <si>
    <t>不锈钢管</t>
  </si>
  <si>
    <t>焊接钢管</t>
  </si>
  <si>
    <t>焊接钢管  DN10×2.25</t>
  </si>
  <si>
    <t>焊接钢管  DN15×2.75</t>
  </si>
  <si>
    <t>焊接钢管  DN25×3.25</t>
  </si>
  <si>
    <t>焊接钢管  DN32×3.25</t>
  </si>
  <si>
    <t>焊接钢管  DN50×3.5</t>
  </si>
  <si>
    <t>焊接钢管  DN65×3.75</t>
  </si>
  <si>
    <t>焊接钢管  DN80×4</t>
  </si>
  <si>
    <t>焊接钢管  DN100×4</t>
  </si>
  <si>
    <t>焊接钢管  DN150×4.5</t>
  </si>
  <si>
    <t>焊接钢管  DN200×6.5</t>
  </si>
  <si>
    <t>焊接钢管  DN200×10</t>
  </si>
  <si>
    <t>焊接钢管  DN250×6.5</t>
  </si>
  <si>
    <t>焊接钢管  DN300×6.5</t>
  </si>
  <si>
    <t>焊接钢管  DN350×6.5</t>
  </si>
  <si>
    <t>焊接钢管  DN400×15</t>
  </si>
  <si>
    <t>焊接钢管  DN500×6.5</t>
  </si>
  <si>
    <t>镀锌焊接钢管  DN15×2.75</t>
  </si>
  <si>
    <t>镀锌焊接钢管  DN20×2.75</t>
  </si>
  <si>
    <t>镀锌焊接钢管  DN25×3.25</t>
  </si>
  <si>
    <t>镀锌焊接钢管  DN32×3.25</t>
  </si>
  <si>
    <t>镀锌焊接钢管  DN40×3.5</t>
  </si>
  <si>
    <t>镀锌焊接钢管  DN50×3.5</t>
  </si>
  <si>
    <t>镀锌焊接钢管  DN65×3.75</t>
  </si>
  <si>
    <t>镀锌焊接钢管  DN80×4</t>
  </si>
  <si>
    <t>镀锌焊接钢管  DN100×4</t>
  </si>
  <si>
    <t>镀锌焊接钢管  DN125×4.5</t>
  </si>
  <si>
    <t>镀锌焊接钢管  DN150×4.5</t>
  </si>
  <si>
    <t>镀锌焊接钢管</t>
  </si>
  <si>
    <t>金属波纹管（制孔用）</t>
  </si>
  <si>
    <t>电线管 DN80×4</t>
  </si>
  <si>
    <t>铁皮通风管 Φ1200</t>
  </si>
  <si>
    <t>群锚（QM、OVM、HVM锚具）</t>
  </si>
  <si>
    <t>孔束</t>
  </si>
  <si>
    <t>预应力钢筋扎丝锚</t>
  </si>
  <si>
    <t>头</t>
  </si>
  <si>
    <t>喇叭管 铸钢</t>
  </si>
  <si>
    <t>铸铁承插直管 DN200×5000</t>
  </si>
  <si>
    <t>铸铁承插直管 DN300×5000</t>
  </si>
  <si>
    <t>铸铁单盘直管 DN100×3000</t>
  </si>
  <si>
    <t>铸铁双盘直管</t>
  </si>
  <si>
    <t>柔性接口铸铁承插直管 DN100×4000</t>
  </si>
  <si>
    <t>柔性接口铸铁承插直管 DN150×4000</t>
  </si>
  <si>
    <t>柔性接口铸铁承插直管 DN200×4000</t>
  </si>
  <si>
    <t>铸铁排水承插直管 DN150×1500</t>
  </si>
  <si>
    <t>铸铁排水承插直管 DN50</t>
  </si>
  <si>
    <t>铸铁排水承插直管 DN75</t>
  </si>
  <si>
    <t>铸铁排水承插直管 DN100</t>
  </si>
  <si>
    <t>铸铁排水承插直管 DN150</t>
  </si>
  <si>
    <t>铸铁排水承插直管 DN200</t>
  </si>
  <si>
    <t>铸铁排水承插直管 DN250</t>
  </si>
  <si>
    <t>铸铁套管 DN300×350</t>
  </si>
  <si>
    <t>铸铁丁字管 双承 DN200</t>
  </si>
  <si>
    <t>铸铁丁字管 双承 DN300</t>
  </si>
  <si>
    <t>铸铁管零件</t>
  </si>
  <si>
    <t>可锻铸铁外接头 DN15</t>
  </si>
  <si>
    <t>可锻铸铁外接头 DN25</t>
  </si>
  <si>
    <t>可锻铸铁外接头 DN65</t>
  </si>
  <si>
    <t>可锻铸铁活接头 DN15</t>
  </si>
  <si>
    <t>制动软管接头</t>
  </si>
  <si>
    <t>镀锌可锻铸铁外接头 DN15</t>
  </si>
  <si>
    <t>镀锌可锻铸铁外接头 DN20</t>
  </si>
  <si>
    <t>镀锌可锻铸铁外接头 DN32</t>
  </si>
  <si>
    <t>镀锌可锻铸铁外接头 DN40</t>
  </si>
  <si>
    <t>镀锌可锻铸铁外接头 DN50</t>
  </si>
  <si>
    <t>镀锌可锻铸铁外接头 DN100</t>
  </si>
  <si>
    <t>可锻铸铁活接头 DN20</t>
  </si>
  <si>
    <t>可锻铸铁活接头 DN25</t>
  </si>
  <si>
    <t>可锻铸铁活接头 DN32</t>
  </si>
  <si>
    <t>可锻铸铁活接头 DN40</t>
  </si>
  <si>
    <t>可锻铸铁活接头 DN50</t>
  </si>
  <si>
    <t>可锻铸铁活接头 DN65</t>
  </si>
  <si>
    <t>可锻铸铁活接头 DN80</t>
  </si>
  <si>
    <t>可锻铸铁活接头 DN100</t>
  </si>
  <si>
    <t>镀锌可锻铸铁活接头 DN15</t>
  </si>
  <si>
    <t>镀锌可锻铸铁活接头 DN20</t>
  </si>
  <si>
    <t>镀锌可锻铸铁活接头 DN25</t>
  </si>
  <si>
    <t>镀锌可锻铸铁活接头 DN50</t>
  </si>
  <si>
    <t>镀锌可锻铸铁活接头 DN80</t>
  </si>
  <si>
    <t>镀锌可锻铸铁活接头 DN100</t>
  </si>
  <si>
    <t>钢制外接头 DN50</t>
  </si>
  <si>
    <t>钢制外接头 DN80</t>
  </si>
  <si>
    <t>钢制外接头 DN100</t>
  </si>
  <si>
    <t>不锈钢管压制弯头 D25</t>
  </si>
  <si>
    <t>不锈钢管压制弯头 D57</t>
  </si>
  <si>
    <t>可锻铸铁弯头 DN15</t>
  </si>
  <si>
    <t>可锻铸铁弯头 DN25</t>
  </si>
  <si>
    <t>转换接头 铸铁管(普通钢管)接聚乙烯管 DN200</t>
  </si>
  <si>
    <t>转换接头 铸铁管(普通钢管)接聚乙烯管 DN300</t>
  </si>
  <si>
    <t>转换接头 镀锌钢管接聚乙烯管 DN50</t>
  </si>
  <si>
    <t>镀锌可锻铸铁弯头 DN15</t>
  </si>
  <si>
    <t>镀锌可锻铸铁弯头 DN25</t>
  </si>
  <si>
    <t>压制弯头 D57</t>
  </si>
  <si>
    <t>压制弯头 D76</t>
  </si>
  <si>
    <t>压制弯头 D89</t>
  </si>
  <si>
    <t>压制弯头 D108</t>
  </si>
  <si>
    <t>压制弯头 D133</t>
  </si>
  <si>
    <t>压制弯头 D159</t>
  </si>
  <si>
    <t>压制弯头 D219</t>
  </si>
  <si>
    <t>压制弯头 D325</t>
  </si>
  <si>
    <t>黑玛钢活结头20</t>
  </si>
  <si>
    <t>锁紧螺母 1.5×DN15～20</t>
  </si>
  <si>
    <t>锁紧螺母 3×DN15～20</t>
  </si>
  <si>
    <t>锁紧螺母 3×DN25～32</t>
  </si>
  <si>
    <t>锁紧螺母 3×DN40～50</t>
  </si>
  <si>
    <t>锁紧螺母 3×DN80～100</t>
  </si>
  <si>
    <t>可锻铸铁丝堵 DN15～20</t>
  </si>
  <si>
    <t>可锻铸铁丝堵 DN25～32</t>
  </si>
  <si>
    <t>铸铁螺纹法兰盘 DN25</t>
  </si>
  <si>
    <t>副</t>
  </si>
  <si>
    <t>普碳钢法兰盘 DN15</t>
  </si>
  <si>
    <t>普碳钢法兰盘 DN25</t>
  </si>
  <si>
    <t>普碳钢法兰盘 DN32</t>
  </si>
  <si>
    <t>普碳钢法兰盘 DN50</t>
  </si>
  <si>
    <t>普碳钢法兰盘 DN65</t>
  </si>
  <si>
    <t>普碳钢法兰盘 DN80</t>
  </si>
  <si>
    <t>普碳钢法兰盘 DN100</t>
  </si>
  <si>
    <t>普碳钢法兰盘 DN150</t>
  </si>
  <si>
    <t>钢板平焊法兰盘 DN32</t>
  </si>
  <si>
    <t>钢板平焊法兰盘 DN40</t>
  </si>
  <si>
    <t>钢板平焊法兰盘 DN50</t>
  </si>
  <si>
    <t>钢板平焊法兰盘 DN65</t>
  </si>
  <si>
    <t>钢板平焊法兰盘 DN80</t>
  </si>
  <si>
    <t>钢板平焊法兰盘 DN100</t>
  </si>
  <si>
    <t>钢板平焊法兰盘 DN125</t>
  </si>
  <si>
    <t>钢板平焊法兰盘 DN150</t>
  </si>
  <si>
    <t>钢板平焊法兰盘 DN200</t>
  </si>
  <si>
    <t>不锈钢法兰盘 DN50</t>
  </si>
  <si>
    <t>伸缩器 法兰 DN50</t>
  </si>
  <si>
    <t>镀锌钢管接头零件 DN15</t>
  </si>
  <si>
    <t>镀锌钢管接头零件 DN20</t>
  </si>
  <si>
    <t>镀锌钢管接头零件 DN25</t>
  </si>
  <si>
    <t>镀锌钢管接头零件 DN32</t>
  </si>
  <si>
    <t>镀锌钢管接头零件 DN40</t>
  </si>
  <si>
    <t>镀锌钢管接头零件 DN50</t>
  </si>
  <si>
    <t>镀锌钢管接头零件 DN65</t>
  </si>
  <si>
    <t>镀锌钢管接头零件 DN80</t>
  </si>
  <si>
    <t>镀锌钢管接头零件 DN100</t>
  </si>
  <si>
    <t>镀锌钢管接头零件 DN125</t>
  </si>
  <si>
    <t>镀锌钢管接头零件 DN150</t>
  </si>
  <si>
    <t>排水铸铁管接头零件 DN100</t>
  </si>
  <si>
    <t>排水铸铁管接头零件 DN150</t>
  </si>
  <si>
    <t>排水铸铁管接头零件 DN200</t>
  </si>
  <si>
    <t>排水铸铁管接头零件 DN250</t>
  </si>
  <si>
    <t>焊接钢管接头零件 DN15</t>
  </si>
  <si>
    <t>焊接钢管接头零件 DN25</t>
  </si>
  <si>
    <t>焊接钢管接头零件 DN32</t>
  </si>
  <si>
    <t>焊接钢管接头零件 DN50</t>
  </si>
  <si>
    <t>焊接钢管接头零件 DN65</t>
  </si>
  <si>
    <t>焊接钢管接头零件 DN80</t>
  </si>
  <si>
    <t>焊接钢管接头零件 DN100</t>
  </si>
  <si>
    <t>焊接钢管接头零件 DN150</t>
  </si>
  <si>
    <t>铸铁承插扫除口 DN50</t>
  </si>
  <si>
    <t>铸铁承插扫除口 DN100</t>
  </si>
  <si>
    <t>铸铁承插扫除口 DN150</t>
  </si>
  <si>
    <t>铸铁排水箅子 Φ400</t>
  </si>
  <si>
    <t>铸铁井盖 重型 700</t>
  </si>
  <si>
    <t>铸铁盖板</t>
  </si>
  <si>
    <t>铸铁泄水管 DN100×300</t>
  </si>
  <si>
    <t>铸铁管盖 134×159×10</t>
  </si>
  <si>
    <t>铸铁落水口 DN100</t>
  </si>
  <si>
    <t>铸铁花纹板</t>
  </si>
  <si>
    <t>球墨铸铁雨水箅子及井圈750×450×45</t>
  </si>
  <si>
    <t>铸铁水斗 DN150以内</t>
  </si>
  <si>
    <t>铸铁水斗 DN100以内</t>
  </si>
  <si>
    <t>透气帽 DN50</t>
  </si>
  <si>
    <t>透气帽 DN75</t>
  </si>
  <si>
    <t>透气帽 DN100</t>
  </si>
  <si>
    <t>透气帽 DN150</t>
  </si>
  <si>
    <t>铝包线 1×10</t>
  </si>
  <si>
    <t>铝绑线 Φ2</t>
  </si>
  <si>
    <t>钢制散热器GZ606</t>
  </si>
  <si>
    <t>片</t>
  </si>
  <si>
    <t>压铸铝散热器SJYLC76/600</t>
  </si>
  <si>
    <t>散热器托钩 14×270</t>
  </si>
  <si>
    <t>散热器丝堵 Φ38</t>
  </si>
  <si>
    <t>散热器内外丝 Φ38×10</t>
  </si>
  <si>
    <t>散热器放气阀 自动式 DN15</t>
  </si>
  <si>
    <t>散热器放气阀 自动式 DN25</t>
  </si>
  <si>
    <t>立管卡 单管 DN15</t>
  </si>
  <si>
    <t>立管卡 单管 DN25</t>
  </si>
  <si>
    <t>立管卡 单管 DN32</t>
  </si>
  <si>
    <t>立管卡 单管 DN50</t>
  </si>
  <si>
    <t>角钢立管卡 DN50</t>
  </si>
  <si>
    <t>角钢立管卡 DN75</t>
  </si>
  <si>
    <t>角钢立管卡 DN100</t>
  </si>
  <si>
    <t>角钢立管卡 DN150</t>
  </si>
  <si>
    <t>管托钩 DN15</t>
  </si>
  <si>
    <t>管托钩 DN20</t>
  </si>
  <si>
    <t>管托钩 DN25</t>
  </si>
  <si>
    <t>管托钩 DN32</t>
  </si>
  <si>
    <t>管托钩 DN50</t>
  </si>
  <si>
    <t>Ｕ字卡 DN100以内</t>
  </si>
  <si>
    <t>压力表弯管 DN10</t>
  </si>
  <si>
    <t>紫铜带(板)</t>
  </si>
  <si>
    <t>铜线 16号</t>
  </si>
  <si>
    <t>紫铜线 Φ2</t>
  </si>
  <si>
    <t>紫铜线 Φ3</t>
  </si>
  <si>
    <t>紫(黄)铜管(棒)</t>
  </si>
  <si>
    <t>铝粉</t>
  </si>
  <si>
    <t>铝绑线 Φ3.2</t>
  </si>
  <si>
    <t>铝板</t>
  </si>
  <si>
    <t>铝质活动地板 600×600</t>
  </si>
  <si>
    <t>铝合金型材 白色</t>
  </si>
  <si>
    <t>断桥隔热型铝合金型材</t>
  </si>
  <si>
    <t>铝合金型材 4C（含连接件）</t>
  </si>
  <si>
    <t>氟碳喷涂铝单板δ＝3</t>
  </si>
  <si>
    <t>铝合金装饰板  δ=1.2</t>
  </si>
  <si>
    <t>铝板网  15×15×1</t>
  </si>
  <si>
    <t>铝合金板  δ=0.8</t>
  </si>
  <si>
    <t>铝合金收口压条  20×1.2</t>
  </si>
  <si>
    <t>电化铝装饰板  100×0.8</t>
  </si>
  <si>
    <t>电化角铝  25.4×2</t>
  </si>
  <si>
    <t>铝合金面板 镂刻</t>
  </si>
  <si>
    <t>铝合金面板 贴膜</t>
  </si>
  <si>
    <t>氟碳喷涂铝单板δ＝2</t>
  </si>
  <si>
    <t>封铅</t>
  </si>
  <si>
    <t>铅板 δ=1</t>
  </si>
  <si>
    <t>铅板 δ=3</t>
  </si>
  <si>
    <t>锌</t>
  </si>
  <si>
    <t>钨棒</t>
  </si>
  <si>
    <t>锌粉</t>
  </si>
  <si>
    <t>压盖 32</t>
  </si>
  <si>
    <t>汽水嘴（全铜磨光）15</t>
  </si>
  <si>
    <t>环形网 R7/3/300</t>
  </si>
  <si>
    <t>合页 100</t>
  </si>
  <si>
    <t>弹簧合页 双弹 200</t>
  </si>
  <si>
    <t>拉手 镀铬 125</t>
  </si>
  <si>
    <t>不锈钢浴盆拉手 L=500</t>
  </si>
  <si>
    <t>门拉手</t>
  </si>
  <si>
    <t>槽道插销</t>
  </si>
  <si>
    <t>铁挂锁 宽50</t>
  </si>
  <si>
    <t>返水弯 塑料 DN32</t>
  </si>
  <si>
    <t>返水弯 S型 DN50</t>
  </si>
  <si>
    <t>洗手盆存水弯 DN25</t>
  </si>
  <si>
    <t>铸铁排水口 DN50</t>
  </si>
  <si>
    <t>铸铁排水口 DN100</t>
  </si>
  <si>
    <t>镀铬排水栓(带链堵) DN50</t>
  </si>
  <si>
    <t>铜水嘴 DN15</t>
  </si>
  <si>
    <t>冷水嘴 铁壳铜芯 DN15</t>
  </si>
  <si>
    <t>立式水嘴 DN15</t>
  </si>
  <si>
    <t>淋浴器 带铜配件</t>
  </si>
  <si>
    <t>镀铬淋浴喷头 DN15</t>
  </si>
  <si>
    <t>洗面盆托架 铸铁</t>
  </si>
  <si>
    <t>洗涤盆托架 扁钢5×40</t>
  </si>
  <si>
    <t>不锈钢卫生纸架</t>
  </si>
  <si>
    <t>洗脸盆铜配件</t>
  </si>
  <si>
    <t>洗面盆下水口 铜 DN32</t>
  </si>
  <si>
    <t>大便器存水弯(瓷) 335×110×180</t>
  </si>
  <si>
    <t>大便器胶皮碗</t>
  </si>
  <si>
    <t>坐式大便器盖 430×350</t>
  </si>
  <si>
    <t>肘式开关 带弯管</t>
  </si>
  <si>
    <t>小便器红外感应式配件</t>
  </si>
  <si>
    <t>蹲式大便器 后进水 610×280×400</t>
  </si>
  <si>
    <t>件</t>
  </si>
  <si>
    <t>坐式大便器 虹吸式 455×350×368</t>
  </si>
  <si>
    <t>瓷大便器高水箱带铜配件 440×260×280</t>
  </si>
  <si>
    <t>瓷大便器低水箱带铜配件 480×215×365</t>
  </si>
  <si>
    <t>小便器 挂式 340×410×490</t>
  </si>
  <si>
    <t>平型洗面器 560×410×300</t>
  </si>
  <si>
    <t>立式洗面器</t>
  </si>
  <si>
    <t>洗手盆</t>
  </si>
  <si>
    <t>洗涤盆</t>
  </si>
  <si>
    <t>塑钢单玻平开窗(带玻璃)</t>
  </si>
  <si>
    <t>塑钢单玻平开门(带玻璃)</t>
  </si>
  <si>
    <t>塑钢门窗纱扇</t>
  </si>
  <si>
    <t>贴面装饰门</t>
  </si>
  <si>
    <t>固定式防火窗 甲级 A1.5</t>
  </si>
  <si>
    <t>固定式防火窗 乙级 A1.0</t>
  </si>
  <si>
    <t>固定式防火窗 丙级 A0.5</t>
  </si>
  <si>
    <t>钢质保温门</t>
  </si>
  <si>
    <t>断桥铝合金平开门（中空玻璃4+9A+4）</t>
  </si>
  <si>
    <t>断桥铝合金平开窗（中空玻璃4+9A+4）</t>
  </si>
  <si>
    <t>断桥铝合金固定窗（中空玻璃4+9A+4）</t>
  </si>
  <si>
    <t>古铜色铝合金百叶窗</t>
  </si>
  <si>
    <t>铝合金条板插缝板</t>
  </si>
  <si>
    <t>铝合金条板接长件</t>
  </si>
  <si>
    <t>铝合金吸音板  氟碳喷涂  δ=2</t>
  </si>
  <si>
    <t>铝合金平开门（不含玻璃）</t>
  </si>
  <si>
    <t>厕所铝合金隔断</t>
  </si>
  <si>
    <t>镀锌铁丝网 10×10×0.9</t>
  </si>
  <si>
    <t>镀锌铁丝网</t>
  </si>
  <si>
    <t>拔花铁丝网 2.8×19 宽0.914m</t>
  </si>
  <si>
    <t>钢丝网 Φ0.9～1×10</t>
  </si>
  <si>
    <t>钢板网 1×2000×4000</t>
  </si>
  <si>
    <t>钢板网 2×2000×4000</t>
  </si>
  <si>
    <t>铁窗纱</t>
  </si>
  <si>
    <t>刺铁丝</t>
  </si>
  <si>
    <t>热镀电焊网</t>
  </si>
  <si>
    <t>钢丝格栅网 钢丝直径2.2 网孔直径50</t>
  </si>
  <si>
    <t>钢绳网</t>
  </si>
  <si>
    <t>减压环GS-8002</t>
  </si>
  <si>
    <t>防护栅栏刺丝滚笼 笼圈半径225，中心距200</t>
  </si>
  <si>
    <t>钢制防护栅栏网片</t>
  </si>
  <si>
    <t>钢丝绳轧头 Φ10</t>
  </si>
  <si>
    <t>钢丝绳轧头 Φ15</t>
  </si>
  <si>
    <t>钢横梁</t>
  </si>
  <si>
    <t>铝条板</t>
  </si>
  <si>
    <t>可调支架</t>
  </si>
  <si>
    <t>支承杆 Φ25</t>
  </si>
  <si>
    <t>端头螺丝螺杆带帽</t>
  </si>
  <si>
    <t>钢骨架 厂库房大门用</t>
  </si>
  <si>
    <t>BD轻钢龙骨</t>
  </si>
  <si>
    <t>金属踢脚线</t>
  </si>
  <si>
    <t>基座</t>
  </si>
  <si>
    <t>防盗门</t>
  </si>
  <si>
    <t>棕皮</t>
  </si>
  <si>
    <t>无砂管 D500</t>
  </si>
  <si>
    <t>轻型井点井管 Φ40</t>
  </si>
  <si>
    <t>轻型井点总管 Φ100</t>
  </si>
  <si>
    <t>着色剂</t>
  </si>
  <si>
    <t>不锈钢扶手Φ75</t>
  </si>
  <si>
    <t>不锈钢法兰Φ75</t>
  </si>
  <si>
    <t>三聚氰胺板</t>
  </si>
  <si>
    <t>中密度板</t>
  </si>
  <si>
    <t>硅酸钙板</t>
  </si>
  <si>
    <t>矿棉吸音板</t>
  </si>
  <si>
    <t>聚脂布</t>
  </si>
  <si>
    <t>挤塑保温板</t>
  </si>
  <si>
    <t>1＃胶胶合板 δ=18</t>
  </si>
  <si>
    <t>抗倍特板</t>
  </si>
  <si>
    <t>亚克力板 δ=3</t>
  </si>
  <si>
    <t>亚克力板 δ=5</t>
  </si>
  <si>
    <t>不锈钢框全钢化玻隔断</t>
  </si>
  <si>
    <t>边龙骨TL23×23</t>
  </si>
  <si>
    <t>边龙骨CL15×35</t>
  </si>
  <si>
    <t>U形轻钢龙骨CB50×20</t>
  </si>
  <si>
    <t>U形轻钢龙骨连接件CB50-L</t>
  </si>
  <si>
    <t>U形轻钢龙骨连接件CB50-3</t>
  </si>
  <si>
    <t>U形轻钢龙骨吊件CB38-1</t>
  </si>
  <si>
    <t>U形轻钢龙骨吊件CB50-1</t>
  </si>
  <si>
    <t>T形烤漆龙骨TB24×38</t>
  </si>
  <si>
    <t>T形烤漆龙骨TB24×28</t>
  </si>
  <si>
    <t>T形轻钢龙骨吊件TB-1X</t>
  </si>
  <si>
    <t>T形轻钢龙骨吊件TB-1P</t>
  </si>
  <si>
    <t>T形龙骨挂件Φ3.5挂钩</t>
  </si>
  <si>
    <t>U形轻钢龙骨CB38×12</t>
  </si>
  <si>
    <t>U形轻钢龙骨连接件CB38-L</t>
  </si>
  <si>
    <t>T形轻钢龙骨KB33×30</t>
  </si>
  <si>
    <t>T形轻钢龙骨TB23×32</t>
  </si>
  <si>
    <t>T形轻钢龙骨TB23×26</t>
  </si>
  <si>
    <t>U形轻钢龙骨CB30×12</t>
  </si>
  <si>
    <t>T形轻钢龙骨TB23-1</t>
  </si>
  <si>
    <t>U形龙骨吊件CB30-1</t>
  </si>
  <si>
    <t>T形轻钢龙骨连接件KB33-L</t>
  </si>
  <si>
    <t>T形轻钢龙骨挂件CB33-2</t>
  </si>
  <si>
    <t>U形轻钢龙骨连接件CB30-L</t>
  </si>
  <si>
    <t>T形轻钢龙骨挂件Φ3挂钩</t>
  </si>
  <si>
    <t>铝合金条板吊顶龙骨LB50×26</t>
  </si>
  <si>
    <t>铝合金条板龙骨吊件LB50-1P</t>
  </si>
  <si>
    <t>铝合金条板吊顶靠墙板MK1</t>
  </si>
  <si>
    <t>冷弯钢板挂瓦条δ=2</t>
  </si>
  <si>
    <t>冷弯钢板顺水条δ=2</t>
  </si>
  <si>
    <t>浮雕涂料骨浆</t>
  </si>
  <si>
    <t>不锈钢全玻地弹门（带玻璃）</t>
  </si>
  <si>
    <t>地弹簧</t>
  </si>
  <si>
    <t>有框玻璃门</t>
  </si>
  <si>
    <t>电子感应横移门</t>
  </si>
  <si>
    <t>平移门自动感应装置</t>
  </si>
  <si>
    <t>钢大门</t>
  </si>
  <si>
    <t>隔音门</t>
  </si>
  <si>
    <t>不锈钢卷帘门</t>
  </si>
  <si>
    <t>卷帘门电动装置</t>
  </si>
  <si>
    <t>防火卷帘门</t>
  </si>
  <si>
    <t>钢质防火门（成品）</t>
  </si>
  <si>
    <t>钢栅栏围墙大门</t>
  </si>
  <si>
    <t>暗装式窗帘轨 单轨</t>
  </si>
  <si>
    <t>明装式窗帘轨 单轨</t>
  </si>
  <si>
    <t>明装式窗帘杆 单杆</t>
  </si>
  <si>
    <t>镜面不锈钢包角线30以外</t>
  </si>
  <si>
    <t>厕所隔断胶合板贴塑料面</t>
  </si>
  <si>
    <t>厕所塑料隔断</t>
  </si>
  <si>
    <t>厕浴隔断门</t>
  </si>
  <si>
    <t>厕所隔断镀铬支座</t>
  </si>
  <si>
    <t>预制磨石板灶台</t>
  </si>
  <si>
    <t>窗扇用角码及幕墙压块</t>
  </si>
  <si>
    <t>百叶风口 周长3300</t>
  </si>
  <si>
    <t>组装式水箱 24m3以内</t>
  </si>
  <si>
    <t>板式橡胶支座 20m钢筋混凝土梁用</t>
  </si>
  <si>
    <t>孔</t>
  </si>
  <si>
    <t>板式橡胶支座 TBZ-300×480×37-CR</t>
  </si>
  <si>
    <t>梁端伸缩缝(耐候钢） TSSF-60型 无砟</t>
  </si>
  <si>
    <t>梁端伸缩缝(耐候钢） TSSF-60型 有砟</t>
  </si>
  <si>
    <t>高强螺栓</t>
  </si>
  <si>
    <t>下承施工便梁</t>
  </si>
  <si>
    <t>军用梁</t>
  </si>
  <si>
    <t>贝雷梁</t>
  </si>
  <si>
    <t>悬浇挂篮</t>
  </si>
  <si>
    <t>6m有孔短轨</t>
  </si>
  <si>
    <t>6.25m有孔胶接绝缘轨</t>
  </si>
  <si>
    <t>废(旧)轨</t>
  </si>
  <si>
    <t>钢轨 43kg 25m U71Mn</t>
  </si>
  <si>
    <t>钢轨 50kg 12.5m U71Mn</t>
  </si>
  <si>
    <t>钢轨 50kg 25m U71Mn</t>
  </si>
  <si>
    <t>钢轨 60kg 25m U71Mn （160km/h及以下）</t>
  </si>
  <si>
    <t>钢轨 60kg 25m U75v （160km/h及以下）</t>
  </si>
  <si>
    <t>钢轨 60kg 100m U75V(160km/h)</t>
  </si>
  <si>
    <t>异形钢轨 50-43kg 12.5m</t>
  </si>
  <si>
    <t>异形钢轨 60-50kg 12.5m</t>
  </si>
  <si>
    <t>60kg25m U71Mn 工具轨</t>
  </si>
  <si>
    <t>接头夹板 43kg</t>
  </si>
  <si>
    <t>接头夹板 50kg</t>
  </si>
  <si>
    <t>接头夹板 60kg</t>
  </si>
  <si>
    <t>接头螺栓带帽 18～43kg</t>
  </si>
  <si>
    <t>接头螺栓带帽 43kg</t>
  </si>
  <si>
    <t>接头螺栓带帽 50kg</t>
  </si>
  <si>
    <t>高强度接头螺栓带帽 60kg</t>
  </si>
  <si>
    <t>平头螺栓带帽</t>
  </si>
  <si>
    <t>弹簧垫圈 43kg</t>
  </si>
  <si>
    <t>弹簧垫圈 50kg</t>
  </si>
  <si>
    <t>弹簧垫圈 60kg</t>
  </si>
  <si>
    <t>铁垫板 50kg</t>
  </si>
  <si>
    <t>塑料垫板</t>
  </si>
  <si>
    <t>护轨用塑料垫板</t>
  </si>
  <si>
    <t>硬质泡沫塑料板 5cm</t>
  </si>
  <si>
    <t>微孔发泡橡胶垫板（无砟轨道用）</t>
  </si>
  <si>
    <t>微孔橡胶垫板 594×284×12</t>
  </si>
  <si>
    <t>普通轨距杆 Φ32</t>
  </si>
  <si>
    <t>绝缘轨距杆 Φ32</t>
  </si>
  <si>
    <t>绝缘轨距杆 Φ36</t>
  </si>
  <si>
    <t>单开道岔 50kg 9号92改进型 CZ2209</t>
  </si>
  <si>
    <t>组</t>
  </si>
  <si>
    <t>垫木 2500×250×200</t>
  </si>
  <si>
    <t>垫木</t>
  </si>
  <si>
    <t>素枕 一型</t>
  </si>
  <si>
    <t>素枕 二型</t>
  </si>
  <si>
    <t>木枕 I类</t>
  </si>
  <si>
    <t>木枕 Ⅱ类</t>
  </si>
  <si>
    <t>预应力混凝土枕 Ⅰ型 专线（01）3277</t>
  </si>
  <si>
    <t>预应力混凝土枕 Ⅱ型 YⅡ-F 专线3385</t>
  </si>
  <si>
    <t>预应力混凝土枕 新Ⅱ型  研线0322</t>
  </si>
  <si>
    <t>预应力混凝土枕 Ⅲ型A  专线3393</t>
  </si>
  <si>
    <t>电容枕Ⅱ型</t>
  </si>
  <si>
    <t>电容枕Ⅲ型</t>
  </si>
  <si>
    <t>预应力混凝土桥枕 Ⅲ型qa  新Ⅲ 专线3448</t>
  </si>
  <si>
    <t>预应力混凝土桥枕 Ⅲqc 专线3452</t>
  </si>
  <si>
    <t>混凝土岔枕 50kg9号单开</t>
  </si>
  <si>
    <t>混凝土岔枕 50kg12号单开</t>
  </si>
  <si>
    <t>混凝土岔枕 60kg12号单开</t>
  </si>
  <si>
    <t>混凝土岔枕 60kg9号 单开</t>
  </si>
  <si>
    <t>混凝土岔枕 交叉渡线 60kg-12-5.3m</t>
  </si>
  <si>
    <t>混凝土岔枕 提速交叉渡线 60AT-12-5.3m</t>
  </si>
  <si>
    <t>平垫圈 25×50×6</t>
  </si>
  <si>
    <t>平垫圈 25×45×4</t>
  </si>
  <si>
    <t>防盗垫圈 31</t>
  </si>
  <si>
    <t>螺旋道钉带螺帽 M24×195</t>
  </si>
  <si>
    <t>弹簧垫圈(双层) 26×44×9</t>
  </si>
  <si>
    <t>高强度螺栓带帽 Φ22×100</t>
  </si>
  <si>
    <t>道钉 16×16×165</t>
  </si>
  <si>
    <t>中间扣板</t>
  </si>
  <si>
    <t>接头扣板</t>
  </si>
  <si>
    <t>绝缘缓冲垫片(普通)</t>
  </si>
  <si>
    <t>50kg钢轨弹条Ⅰ型扣配件</t>
  </si>
  <si>
    <t>60kg钢轨弹条Ⅰ型扣配件</t>
  </si>
  <si>
    <t>60kg钢轨弹条Ⅱ型扣配件</t>
  </si>
  <si>
    <t>60kg钢轨弹条Ⅲ型扣配件</t>
  </si>
  <si>
    <t>坩埚(铝热焊用）</t>
  </si>
  <si>
    <t>封箱泥(铝热焊用）</t>
  </si>
  <si>
    <t>密封膏(铝热焊用）</t>
  </si>
  <si>
    <t>预热装置及支架(铝热焊用）</t>
  </si>
  <si>
    <t>胶结绝缘接头</t>
  </si>
  <si>
    <t>警示标志标牌  240×840</t>
  </si>
  <si>
    <t>滑动式挡车器</t>
  </si>
  <si>
    <t>断轨急救器</t>
  </si>
  <si>
    <t>铺轨滚轮</t>
  </si>
  <si>
    <t>热挤塑成型无粘结PC钢棒（含锚垫板和螺母）</t>
  </si>
  <si>
    <t>60kg 胶结绝缘夹板</t>
  </si>
  <si>
    <t>橡胶道口 宽2.5m</t>
  </si>
  <si>
    <t>组合钢模板</t>
  </si>
  <si>
    <t>组合钢支撑</t>
  </si>
  <si>
    <t>组合钢配件</t>
  </si>
  <si>
    <t>隧道组合钢模板</t>
  </si>
  <si>
    <t>大钢模板</t>
  </si>
  <si>
    <t>定型钢模板</t>
  </si>
  <si>
    <t>台模钢架及走行部分</t>
  </si>
  <si>
    <t>钢构件</t>
  </si>
  <si>
    <t>钢配件</t>
  </si>
  <si>
    <t>钢传力柱</t>
  </si>
  <si>
    <t>钢护筒≤2m</t>
  </si>
  <si>
    <t>定制钢模具</t>
  </si>
  <si>
    <t>钢板桩 Q235-A 鞍IV型</t>
  </si>
  <si>
    <t>钢板桩 16Mn 拉森Ⅳa型</t>
  </si>
  <si>
    <t>万能杆件</t>
  </si>
  <si>
    <t>铁拉杆</t>
  </si>
  <si>
    <t>铁件</t>
  </si>
  <si>
    <t>冲钉及辅助铁件</t>
  </si>
  <si>
    <t>脚手架对接扣件</t>
  </si>
  <si>
    <t>脚手架回转扣件</t>
  </si>
  <si>
    <t>脚手架直角扣件</t>
  </si>
  <si>
    <t>脚手架底座</t>
  </si>
  <si>
    <t>零星卡具</t>
  </si>
  <si>
    <t>提升架具摊销件</t>
  </si>
  <si>
    <t>焦炭</t>
  </si>
  <si>
    <t>煤</t>
  </si>
  <si>
    <t>木柴</t>
  </si>
  <si>
    <t>汽油</t>
  </si>
  <si>
    <t>柴油</t>
  </si>
  <si>
    <t>煤油</t>
  </si>
  <si>
    <t>废机油</t>
  </si>
  <si>
    <t>汽油机油 15号</t>
  </si>
  <si>
    <t>真空机油 1号</t>
  </si>
  <si>
    <t>机械油</t>
  </si>
  <si>
    <t>抗磨液压油 30号</t>
  </si>
  <si>
    <t>变压器油 25号</t>
  </si>
  <si>
    <t>变压器油 45号</t>
  </si>
  <si>
    <t>洗涤溶剂油 190号</t>
  </si>
  <si>
    <t>油漆溶剂油 200号</t>
  </si>
  <si>
    <t>防锈剂 704</t>
  </si>
  <si>
    <t>内模液压油</t>
  </si>
  <si>
    <t>防腐长效油脂</t>
  </si>
  <si>
    <t>脱模剂</t>
  </si>
  <si>
    <t>油污清洁剂</t>
  </si>
  <si>
    <t>钙基润滑脂 1号</t>
  </si>
  <si>
    <t>钠基润滑脂 2号</t>
  </si>
  <si>
    <t>钙基润滑脂 3号</t>
  </si>
  <si>
    <t>工业用凡士林 40号</t>
  </si>
  <si>
    <t>硬白蜡</t>
  </si>
  <si>
    <t>白蜡松香合剂</t>
  </si>
  <si>
    <t>白石蜡 50号</t>
  </si>
  <si>
    <t>草酸</t>
  </si>
  <si>
    <t>硬脂酸</t>
  </si>
  <si>
    <t>纯碱 含量≥98%</t>
  </si>
  <si>
    <t>氢氧化钾 含量≥95%</t>
  </si>
  <si>
    <t>硼砂 含量≥95%</t>
  </si>
  <si>
    <t>铝银粉 250目</t>
  </si>
  <si>
    <t>氯化钠 含量≥80%</t>
  </si>
  <si>
    <t>硅酸钠</t>
  </si>
  <si>
    <t>硅胶 细孔3～5</t>
  </si>
  <si>
    <t>硫磺</t>
  </si>
  <si>
    <t>氟硅酸钠 含量≥98%</t>
  </si>
  <si>
    <t>漂白粉 含量≥30%</t>
  </si>
  <si>
    <t>氯化锌</t>
  </si>
  <si>
    <t>六氟化硫气体</t>
  </si>
  <si>
    <t>氧气</t>
  </si>
  <si>
    <t>氩气 含量≥99.9%</t>
  </si>
  <si>
    <t>氮气</t>
  </si>
  <si>
    <t>乙炔气</t>
  </si>
  <si>
    <t>甲苯</t>
  </si>
  <si>
    <t>二甲苯 5℃</t>
  </si>
  <si>
    <t>动力苯</t>
  </si>
  <si>
    <t>乙醇 含量≥95.5%</t>
  </si>
  <si>
    <t>丙酮 一级</t>
  </si>
  <si>
    <t>乙二胺</t>
  </si>
  <si>
    <t>松节油</t>
  </si>
  <si>
    <t>蒸馏水</t>
  </si>
  <si>
    <t>邻苯二甲酸二丁酯</t>
  </si>
  <si>
    <t>氯化钴</t>
  </si>
  <si>
    <t>瓶</t>
  </si>
  <si>
    <t>氢氧化锂 含量≥95% 500g</t>
  </si>
  <si>
    <t>滤纸 方形</t>
  </si>
  <si>
    <t>水溶性聚氨酯</t>
  </si>
  <si>
    <t>引气剂</t>
  </si>
  <si>
    <t>速凝剂(液态,低碱)</t>
  </si>
  <si>
    <t>萘系减水剂</t>
  </si>
  <si>
    <t>聚羧酸系减水剂</t>
  </si>
  <si>
    <t>速凝剂 粉剂</t>
  </si>
  <si>
    <t>膨胀剂</t>
  </si>
  <si>
    <t>引燃助剂(铝热焊用）</t>
  </si>
  <si>
    <t>降阻剂</t>
  </si>
  <si>
    <t>松香水</t>
  </si>
  <si>
    <t>催干剂</t>
  </si>
  <si>
    <t>固壁剂 利钻宝 NDM-2</t>
  </si>
  <si>
    <t>防渗剂</t>
  </si>
  <si>
    <t>助剂</t>
  </si>
  <si>
    <t>辅料（渗锌辅助盐类）</t>
  </si>
  <si>
    <t>固化剂</t>
  </si>
  <si>
    <t>稀释剂</t>
  </si>
  <si>
    <t>高聚物改性沥青处理剂</t>
  </si>
  <si>
    <t>压浆剂(AGM500)</t>
  </si>
  <si>
    <t>防霉涂料</t>
  </si>
  <si>
    <t>耐擦洗涂料</t>
  </si>
  <si>
    <t>氟碳漆稀释剂</t>
  </si>
  <si>
    <t>聚氨酯氟碳漆</t>
  </si>
  <si>
    <t>厚型无机内墙涂料</t>
  </si>
  <si>
    <t>弹性高级涂料(油性）</t>
  </si>
  <si>
    <t>油性涂料配套稀释剂</t>
  </si>
  <si>
    <t>薄型无机涂料</t>
  </si>
  <si>
    <t>弹性乳胶漆</t>
  </si>
  <si>
    <t>丝光乳胶漆</t>
  </si>
  <si>
    <t>乳胶漆</t>
  </si>
  <si>
    <t>漆酚树脂漆</t>
  </si>
  <si>
    <t>喷漆</t>
  </si>
  <si>
    <t>清油 Y00-1</t>
  </si>
  <si>
    <t>酚醛清漆</t>
  </si>
  <si>
    <t>沥青清漆</t>
  </si>
  <si>
    <t>煤焦沥青清漆 L01-17</t>
  </si>
  <si>
    <t>过氯乙烯清漆 G01-5</t>
  </si>
  <si>
    <t>干漆片 电胶片</t>
  </si>
  <si>
    <t>樟丹油</t>
  </si>
  <si>
    <t>黑铅油</t>
  </si>
  <si>
    <t>厚漆</t>
  </si>
  <si>
    <t>油性调和漆</t>
  </si>
  <si>
    <t>油性无光调和漆 红</t>
  </si>
  <si>
    <t>酯胶调和漆</t>
  </si>
  <si>
    <t>酚醛调和漆</t>
  </si>
  <si>
    <t>醇酸调和漆</t>
  </si>
  <si>
    <t>亮光水泥漆</t>
  </si>
  <si>
    <t>酯胶磁漆</t>
  </si>
  <si>
    <t>酚醛磁漆</t>
  </si>
  <si>
    <t>醇酸磁漆</t>
  </si>
  <si>
    <t>过氯乙烯外用磁漆 G04-9</t>
  </si>
  <si>
    <t>过氯乙烯底漆</t>
  </si>
  <si>
    <t>环氧底漆</t>
  </si>
  <si>
    <t>硝基腻子 Q07-5</t>
  </si>
  <si>
    <t>过氯乙烯腻子</t>
  </si>
  <si>
    <t>玻璃腻子</t>
  </si>
  <si>
    <t>环氧腻子</t>
  </si>
  <si>
    <t>醇酸桥梁面漆</t>
  </si>
  <si>
    <t>耐水腻子（粉）</t>
  </si>
  <si>
    <t>弹性嵌缝膏</t>
  </si>
  <si>
    <t>环氧富锌底漆</t>
  </si>
  <si>
    <t>环氧云铁中间漆</t>
  </si>
  <si>
    <t>环氧沥青漆</t>
  </si>
  <si>
    <t>酚醛防锈漆 F53</t>
  </si>
  <si>
    <t>醇酸防锈漆 C53-1 红丹、锌灰</t>
  </si>
  <si>
    <t>环氧云铁防锈漆</t>
  </si>
  <si>
    <t>过氯乙烯漆稀释剂 X-3</t>
  </si>
  <si>
    <t>醇酸漆稀释剂 X-6</t>
  </si>
  <si>
    <t>乳胶炸药</t>
  </si>
  <si>
    <t>硝铵炸药</t>
  </si>
  <si>
    <t>火雷管 8号 金属壳</t>
  </si>
  <si>
    <t>瞬发电雷管 8号 金属壳 脚线2m</t>
  </si>
  <si>
    <t>延期电雷管 8号 金属壳 脚线2m</t>
  </si>
  <si>
    <t>非电毫秒雷管 导爆管长5m</t>
  </si>
  <si>
    <t>发</t>
  </si>
  <si>
    <t>非电毫秒雷管 导爆管长7m</t>
  </si>
  <si>
    <t>导爆管 d3</t>
  </si>
  <si>
    <t>毫秒电雷管3～9段</t>
  </si>
  <si>
    <t>导火索 棉纱</t>
  </si>
  <si>
    <t>导爆索 爆速6000～7000m/s</t>
  </si>
  <si>
    <t>联接塞 塑料制</t>
  </si>
  <si>
    <t>高压胶管 d40 Pg=100kg/cm2</t>
  </si>
  <si>
    <t>高压胶管接头 d40</t>
  </si>
  <si>
    <t>高压胶管 d38</t>
  </si>
  <si>
    <t>织物增强橡胶软管 φ25</t>
  </si>
  <si>
    <t>丁腈橡胶管 d27</t>
  </si>
  <si>
    <t>输气(水)胶管 d150</t>
  </si>
  <si>
    <t>输气胶管 d51 6层</t>
  </si>
  <si>
    <t>输水胶管 d22</t>
  </si>
  <si>
    <t>输水胶管 d100</t>
  </si>
  <si>
    <t>胶管 d7～10</t>
  </si>
  <si>
    <t>制孔胶管 d60</t>
  </si>
  <si>
    <t>制孔胶管 d80</t>
  </si>
  <si>
    <t>制孔胶管 d90</t>
  </si>
  <si>
    <t>橡胶圈 配DN100</t>
  </si>
  <si>
    <t>橡胶圈 配DN150</t>
  </si>
  <si>
    <t>橡胶圈 配DN200</t>
  </si>
  <si>
    <t>橡胶圈 配聚氯乙烯双壁波纹管 D225</t>
  </si>
  <si>
    <t>橡胶圈 配聚氯乙烯双壁波纹管 D300</t>
  </si>
  <si>
    <t>混凝土管接口橡胶圈 配d500</t>
  </si>
  <si>
    <t>钢筋混凝土管接口橡胶圈 配d300</t>
  </si>
  <si>
    <t>钢筋混凝土管接口橡胶圈 配d500</t>
  </si>
  <si>
    <t>橡胶垫片 B25</t>
  </si>
  <si>
    <t>橡胶垫片 Φ140/109</t>
  </si>
  <si>
    <t>橡胶垫片 Φ60/32</t>
  </si>
  <si>
    <t>橡胶垫圈 6×24×2.5</t>
  </si>
  <si>
    <t>橡胶板 δ=1</t>
  </si>
  <si>
    <t>橡胶垫 δ=3</t>
  </si>
  <si>
    <t>橡胶板 δ=4～10</t>
  </si>
  <si>
    <t>橡胶垫板</t>
  </si>
  <si>
    <t>橡胶板 500×500×70</t>
  </si>
  <si>
    <t>绝缘橡胶板 δ=6～12</t>
  </si>
  <si>
    <t>丁腈橡胶板 δ=8</t>
  </si>
  <si>
    <t>三元乙丙橡胶板240×15×837</t>
  </si>
  <si>
    <t>EVA防水板 δ=1.5</t>
  </si>
  <si>
    <t>聚氯乙烯硬管 D50</t>
  </si>
  <si>
    <t>聚氯乙烯硬管 D75</t>
  </si>
  <si>
    <t>聚氯乙烯硬管 D100</t>
  </si>
  <si>
    <t>聚氯乙烯硬管 D150</t>
  </si>
  <si>
    <t>聚氯乙烯硬管</t>
  </si>
  <si>
    <t>聚氯乙烯硬管 轻型 D20×2</t>
  </si>
  <si>
    <t>聚氯乙烯硬管 轻型 D32×1.5</t>
  </si>
  <si>
    <t>聚氯乙烯硬管 轻型 D40×2</t>
  </si>
  <si>
    <t>聚氯乙烯硬管 轻型 D50×2</t>
  </si>
  <si>
    <t>聚氯乙烯硬管 轻型 D63×2.5</t>
  </si>
  <si>
    <t>聚氯乙烯硬管件 DN75</t>
  </si>
  <si>
    <t>聚氯乙烯排水管(PVC)  D160</t>
  </si>
  <si>
    <t>聚氯乙烯排水管(PVC)  D180</t>
  </si>
  <si>
    <t>塑料护口 Φ15</t>
  </si>
  <si>
    <t>塑料护口 Φ50</t>
  </si>
  <si>
    <t>塑料护口 Φ100</t>
  </si>
  <si>
    <t>聚氯乙烯软管 d5×1</t>
  </si>
  <si>
    <t>聚氯乙烯软管 d6×0.6</t>
  </si>
  <si>
    <t>聚氯乙烯软管 d6×1</t>
  </si>
  <si>
    <t>聚氯乙烯软管 d16×2</t>
  </si>
  <si>
    <t>聚氯乙烯软管 d50×5</t>
  </si>
  <si>
    <t>聚氯乙烯软管</t>
  </si>
  <si>
    <t>软质通风管 Φ1200</t>
  </si>
  <si>
    <t>Pe波纹管 d80</t>
  </si>
  <si>
    <t>Pe波纹管 d100</t>
  </si>
  <si>
    <t>Pe波纹管 d150</t>
  </si>
  <si>
    <t>聚氯乙烯给水管(UPVC) D20</t>
  </si>
  <si>
    <t>聚氯乙烯给水管(UPVC) D25</t>
  </si>
  <si>
    <t>聚氯乙烯给水管(UPVC) D32</t>
  </si>
  <si>
    <t>聚氯乙烯给水管(UPVC) D50</t>
  </si>
  <si>
    <t>聚氯乙烯给水管(UPVC) 0.6MPa D90</t>
  </si>
  <si>
    <t>聚氯乙烯给水管(UPVC) 0.6MPa D110</t>
  </si>
  <si>
    <t>聚氯乙烯给水管(UPVC) 0.6MPa D125</t>
  </si>
  <si>
    <t>聚氯乙烯给水管(UPVC) 0.6MPa D160</t>
  </si>
  <si>
    <t>聚氯乙烯给水管(UPVC) 0.6MPa D200</t>
  </si>
  <si>
    <t>聚丙烯给水管(PP-R管) 1.6MPa de20</t>
  </si>
  <si>
    <t>聚丙烯给水管(PP-R管) 1.6MPa de25</t>
  </si>
  <si>
    <t>聚丙烯给水管(PP-R管) 1.6MPa de32</t>
  </si>
  <si>
    <t>聚丙烯给水管(PP-R管) 1.6MPa de40</t>
  </si>
  <si>
    <t>聚丙烯给水管(PP-R管)接头零件 D20</t>
  </si>
  <si>
    <t>聚丙烯给水管(PP-R管)接头零件 D25</t>
  </si>
  <si>
    <t>聚丙烯给水管(PP-R管)接头零件 D32</t>
  </si>
  <si>
    <t>聚丙烯给水管(PP-R管)接头零件 D40</t>
  </si>
  <si>
    <t>聚乙烯给水管（PE）de50</t>
  </si>
  <si>
    <t>聚乙烯给水管（PE）de63</t>
  </si>
  <si>
    <t>聚乙烯给水管（PE） 0.6MPa   de90</t>
  </si>
  <si>
    <t>聚乙烯给水管（PE） 0.6MPa   de110</t>
  </si>
  <si>
    <t>聚乙烯给水管（PE） 0.6MPa   de160</t>
  </si>
  <si>
    <t>聚乙烯给水管（PE） 0.6MPa   de250</t>
  </si>
  <si>
    <t>聚乙烯给水管（PE） 1.0MPa   de110</t>
  </si>
  <si>
    <t>高密度聚乙烯管（HDPE） de90</t>
  </si>
  <si>
    <t>高密度聚乙烯管（HDPE） de110</t>
  </si>
  <si>
    <t>高密度聚乙烯管（HDPE） de160</t>
  </si>
  <si>
    <t>高密度聚乙烯管（HDPE） de200</t>
  </si>
  <si>
    <t>排水用聚氯乙烯双壁波纹管 D225</t>
  </si>
  <si>
    <t>排水用聚氯乙烯双壁波纹管 D300</t>
  </si>
  <si>
    <t>HDPE双壁波纹管 SN8 DN/ID225</t>
  </si>
  <si>
    <t>HDPE双壁波纹管 SN8 DN/ID300</t>
  </si>
  <si>
    <t>聚氯乙烯给水管接头零件 D20</t>
  </si>
  <si>
    <t>聚氯乙烯给水管接头零件 D25</t>
  </si>
  <si>
    <t>聚氯乙烯给水管接头零件 D32</t>
  </si>
  <si>
    <t>聚氯乙烯给水管接头零件 D50</t>
  </si>
  <si>
    <t>聚乙烯给水管件  de50</t>
  </si>
  <si>
    <t>聚乙烯给水管件  de63</t>
  </si>
  <si>
    <t>聚乙烯给水管件 0.6MPa   de90</t>
  </si>
  <si>
    <t>聚乙烯给水管件 0.6MPa   de110</t>
  </si>
  <si>
    <t>聚乙烯给水管件 0.6MPa   de160</t>
  </si>
  <si>
    <t>聚乙烯给水管件 0.6MPa   de250</t>
  </si>
  <si>
    <t>PE正三通 160×160×160</t>
  </si>
  <si>
    <t>聚乙烯电熔套筒    de63</t>
  </si>
  <si>
    <t>聚乙烯电熔套筒 1.0MPa   de160</t>
  </si>
  <si>
    <t>聚乙烯电熔套筒 1.0MPa   de250</t>
  </si>
  <si>
    <t>承插塑料排水管件 DN50</t>
  </si>
  <si>
    <t>承插塑料排水管件 DN75</t>
  </si>
  <si>
    <t>承插塑料排水管件 DN100</t>
  </si>
  <si>
    <t>承插塑料排水管件 DN150</t>
  </si>
  <si>
    <t>半硬质聚氯乙烯管 D50</t>
  </si>
  <si>
    <t>PVC硬塑泄水管及管盖 Φ125×40</t>
  </si>
  <si>
    <t>PVC硬塑泄水箅 250×250×10</t>
  </si>
  <si>
    <t>PVC硬塑泄水管及管盖 Φ150×40</t>
  </si>
  <si>
    <t>PVC硬塑管  Φ100</t>
  </si>
  <si>
    <t>塑料雨水斗</t>
  </si>
  <si>
    <t>UPVC雨水管 Φ110</t>
  </si>
  <si>
    <t>UPVC雨水斗 Φ110</t>
  </si>
  <si>
    <t>UPVC雨水斗 Φ160</t>
  </si>
  <si>
    <t>UPVC落水口 Φ110</t>
  </si>
  <si>
    <t>UPVC落水口 Φ160</t>
  </si>
  <si>
    <t>PVC直通接头 DN110</t>
  </si>
  <si>
    <t>PVC直通接头 DN160</t>
  </si>
  <si>
    <t>PVC三通管 Φ180</t>
  </si>
  <si>
    <t>PVC弯管 Φ180</t>
  </si>
  <si>
    <t>PVC波纹塑料管 Φ180</t>
  </si>
  <si>
    <t>偏心渐缩管件</t>
  </si>
  <si>
    <t>Φ50PVC带孔双壁波纹渗水管</t>
  </si>
  <si>
    <t>定制塑料模具</t>
  </si>
  <si>
    <t>Φ100PVC带孔双壁波纹渗水管</t>
  </si>
  <si>
    <t>橡塑防火绝热管</t>
  </si>
  <si>
    <t>聚氨酯泡沫塑料板</t>
  </si>
  <si>
    <t>聚氨酯泡沫塑料瓦块</t>
  </si>
  <si>
    <t>可发性聚氨酯泡沫塑料</t>
  </si>
  <si>
    <t>聚苯乙烯泡沫塑料板 100×100×30</t>
  </si>
  <si>
    <t>聚苯乙烯泡沫塑料板 δ=10～30</t>
  </si>
  <si>
    <t>聚苯乙烯泡沫塑料板 δ=40～100</t>
  </si>
  <si>
    <t>聚氯乙烯泡沫塑料板</t>
  </si>
  <si>
    <t>塑料压条 30×5</t>
  </si>
  <si>
    <t>泡沫塑料密封条</t>
  </si>
  <si>
    <t>砂纸</t>
  </si>
  <si>
    <t>氯丁胶乳</t>
  </si>
  <si>
    <t>橡胶炮被</t>
  </si>
  <si>
    <t>橡胶密封条</t>
  </si>
  <si>
    <t>氯丁橡胶条</t>
  </si>
  <si>
    <t>聚硫橡胶</t>
  </si>
  <si>
    <t>闭孔乳胶海棉 δ=5</t>
  </si>
  <si>
    <t>橡胶止水带 300×15</t>
  </si>
  <si>
    <t>氯丁橡胶平板止水带</t>
  </si>
  <si>
    <t>橡胶条 60×5</t>
  </si>
  <si>
    <t>橡胶条 小</t>
  </si>
  <si>
    <t>聚氯乙烯单丝</t>
  </si>
  <si>
    <t>塑料异型管 Φ5</t>
  </si>
  <si>
    <t>端头膨涨塞</t>
  </si>
  <si>
    <t>塑料胀管 Φ6～8</t>
  </si>
  <si>
    <t>聚乙烯管 D32×2.5</t>
  </si>
  <si>
    <t>聚氯乙烯薄膜 0.1～0.23</t>
  </si>
  <si>
    <t>塑料布 δ≥0.04</t>
  </si>
  <si>
    <t>丁基胶带</t>
  </si>
  <si>
    <t>聚丙烯防水透气膜  δ=0.49</t>
  </si>
  <si>
    <t>隔汽膜 δ=0.3</t>
  </si>
  <si>
    <t>塑料膨胀锚栓</t>
  </si>
  <si>
    <t>硅塑管 D28/D34</t>
  </si>
  <si>
    <t>硅塑管接头 D28/D34</t>
  </si>
  <si>
    <t>反光贴片</t>
  </si>
  <si>
    <t>FGⅠ型复合材料底板系列反光标志</t>
  </si>
  <si>
    <t>FGⅡ型钢筋混凝土底板系列反光标志</t>
  </si>
  <si>
    <t>聚氯乙烯丝 Φ0.14～0.2</t>
  </si>
  <si>
    <t>聚四氟乙烯带 0.1×60</t>
  </si>
  <si>
    <t>聚氯乙烯相色带</t>
  </si>
  <si>
    <t>聚氯乙烯绝缘软带 20×40</t>
  </si>
  <si>
    <t>聚乙烯带</t>
  </si>
  <si>
    <t>盘</t>
  </si>
  <si>
    <t>塑料胶粘带 20×20m</t>
  </si>
  <si>
    <t>聚四氟乙烯密封带 30×5</t>
  </si>
  <si>
    <t>塑料止水带</t>
  </si>
  <si>
    <t>聚氯乙烯胶带 18×10m×0.13</t>
  </si>
  <si>
    <t>密封毛条</t>
  </si>
  <si>
    <t>尼龙扎带</t>
  </si>
  <si>
    <t>尼龙帽</t>
  </si>
  <si>
    <t>PVC扎带 30cm×10m</t>
  </si>
  <si>
    <t>土工织物(土工布)200g/m2</t>
  </si>
  <si>
    <t>土工织物(土工布)400g/m2</t>
  </si>
  <si>
    <t>铁路专用高粘沥青</t>
  </si>
  <si>
    <t>单向塑料土工格栅 25型</t>
  </si>
  <si>
    <t>单向塑料土工格栅 50型</t>
  </si>
  <si>
    <t>双向塑料土工格栅 30-30型</t>
  </si>
  <si>
    <t>复合土工膜 500g/m2</t>
  </si>
  <si>
    <t>三维土工网垫 EM4</t>
  </si>
  <si>
    <t>透水软管 Φ50～80</t>
  </si>
  <si>
    <t>线麻(火麻·花麻·魁麻)</t>
  </si>
  <si>
    <t>青麻(白麻·片麻)</t>
  </si>
  <si>
    <t>棉纱头</t>
  </si>
  <si>
    <t>豆包布</t>
  </si>
  <si>
    <t>蒸养布</t>
  </si>
  <si>
    <t>帆布</t>
  </si>
  <si>
    <t>白布</t>
  </si>
  <si>
    <t>麻布</t>
  </si>
  <si>
    <t>塑料编织袋 500×800</t>
  </si>
  <si>
    <t>塑料编织袋 450×700</t>
  </si>
  <si>
    <t>塑料彩条编织布</t>
  </si>
  <si>
    <t>CFRP碳素管 d100</t>
  </si>
  <si>
    <t>白棕绳</t>
  </si>
  <si>
    <t>线麻绳</t>
  </si>
  <si>
    <t>尼龙绳</t>
  </si>
  <si>
    <t>聚丙烯丝状纤维</t>
  </si>
  <si>
    <t>牛皮纸</t>
  </si>
  <si>
    <t>青壳纸 0.1～0.8</t>
  </si>
  <si>
    <t>打印机用纸</t>
  </si>
  <si>
    <t>盒</t>
  </si>
  <si>
    <t>安全网 锦纶</t>
  </si>
  <si>
    <t>铅封</t>
  </si>
  <si>
    <t>内螺纹暗杆楔式闸阀 Z15T-10K DN15</t>
  </si>
  <si>
    <t>内螺纹暗杆楔式闸阀 Z15T-10K DN25</t>
  </si>
  <si>
    <t>内螺纹暗杆楔式闸阀 Z15T-10K DN40</t>
  </si>
  <si>
    <t>内螺纹暗杆楔式闸阀 Z15T-10K DN50</t>
  </si>
  <si>
    <t>法兰暗杆楔式闸阀 Z45T-10 DN50</t>
  </si>
  <si>
    <t>法兰暗杆楔式闸阀 Z45T-10 DN65</t>
  </si>
  <si>
    <t>法兰暗杆楔式闸阀 Z45T-10 DN100</t>
  </si>
  <si>
    <t>法兰暗杆楔式闸阀 Z45T-10 DN150</t>
  </si>
  <si>
    <t>法兰暗杆楔式闸阀 Z45T-10 DN200</t>
  </si>
  <si>
    <t>内螺纹直通式截止阀 J11T-16 DN15</t>
  </si>
  <si>
    <t>内螺纹直通式截止阀 J11T-16 DN20</t>
  </si>
  <si>
    <t>内螺纹直通式截止阀 J11T-16 DN25</t>
  </si>
  <si>
    <t>内螺纹直通式截止阀 J11T-16 DN32</t>
  </si>
  <si>
    <t>内螺纹直通式截止阀 J11T-16 DN40</t>
  </si>
  <si>
    <t>内螺纹直通式截止阀 J11T-16 DN50</t>
  </si>
  <si>
    <t>内螺纹直通式截止阀 J11T-16 DN65</t>
  </si>
  <si>
    <t>法兰直通式截止阀 J41T-16 DN100</t>
  </si>
  <si>
    <t>法兰明杆平行式双闸板闸阀 Z44T-10 DN32</t>
  </si>
  <si>
    <t>法兰明杆平行式双闸板闸阀 Z44T-10 DN40</t>
  </si>
  <si>
    <t>法兰明杆平行式双闸板闸阀 Z44T-10 DN50</t>
  </si>
  <si>
    <t>法兰明杆平行式双闸板闸阀 Z44T-10 DN65</t>
  </si>
  <si>
    <t>法兰明杆平行式双闸板闸阀 Z44T-10 DN80</t>
  </si>
  <si>
    <t>法兰明杆平行式双闸板闸阀 Z44T-10 DN100</t>
  </si>
  <si>
    <t>法兰明杆平行式双闸板闸阀 Z44T-10 DN150</t>
  </si>
  <si>
    <t>法兰明杆平行式双闸板闸阀 Z44T-10 DN200</t>
  </si>
  <si>
    <t>法兰旋启式止回阀 H44T-10 DN32</t>
  </si>
  <si>
    <t>法兰旋启式止回阀 H44T-10 DN50</t>
  </si>
  <si>
    <t>法兰旋启式止回阀 H44T-10 DN65</t>
  </si>
  <si>
    <t>法兰旋启式止回阀 H44T-10 DN80</t>
  </si>
  <si>
    <t>法兰旋启式止回阀 H44T-10 DN100</t>
  </si>
  <si>
    <t>法兰旋启式止回阀 H44T-10 DN150</t>
  </si>
  <si>
    <t>法兰旋启式止回阀 H44T-10 DN200</t>
  </si>
  <si>
    <t>内螺纹升降式止回阀 H11T-16 DN15</t>
  </si>
  <si>
    <t>内螺纹升降式止回阀 H11T-16 DN20</t>
  </si>
  <si>
    <t>内螺纹升降式止回阀 H11T-16 DN25</t>
  </si>
  <si>
    <t>内螺纹升降式止回阀 H11T-16 DN50</t>
  </si>
  <si>
    <t>内螺纹升降式止回阀 H11T-16 DN80</t>
  </si>
  <si>
    <t>内螺纹升降式止回阀 H11T-16 DN100</t>
  </si>
  <si>
    <t>Ａ型对夹式蝶阀 DN50</t>
  </si>
  <si>
    <t>Ａ型对夹式蝶阀 DN65</t>
  </si>
  <si>
    <t>Ａ型对夹式蝶阀 DN80</t>
  </si>
  <si>
    <t>Ａ型对夹式蝶阀 DN100</t>
  </si>
  <si>
    <t>Ａ型对夹式蝶阀 DN150</t>
  </si>
  <si>
    <t>液压式水位控制阀 K744T-4Z DN100</t>
  </si>
  <si>
    <t>螺纹浮球阀 DN25</t>
  </si>
  <si>
    <t>铜截止阀 DN15</t>
  </si>
  <si>
    <t>大便器脚踏阀</t>
  </si>
  <si>
    <t>化学锚栓 M30×910</t>
  </si>
  <si>
    <t>化学锚栓带帽（M8×70）</t>
  </si>
  <si>
    <t>化学锚栓 M16×190</t>
  </si>
  <si>
    <t>化学锚栓 M12×110</t>
  </si>
  <si>
    <t>化学锚栓 M10×85</t>
  </si>
  <si>
    <t>化学锚栓钻孔模具</t>
  </si>
  <si>
    <t>六角螺母 Q345（16Mn)</t>
  </si>
  <si>
    <t>支柱整正专用螺母 M24～M39</t>
  </si>
  <si>
    <t>螺母 M30 薄型</t>
  </si>
  <si>
    <t>螺母 M30</t>
  </si>
  <si>
    <t>防松动螺栓</t>
  </si>
  <si>
    <t>弹簧垫圈</t>
  </si>
  <si>
    <t>螺母 M24 薄型</t>
  </si>
  <si>
    <t>螺母 M24</t>
  </si>
  <si>
    <t>高强螺栓 M30 U型</t>
  </si>
  <si>
    <t>高强螺栓 M24 U型</t>
  </si>
  <si>
    <t>高强螺栓 M24×996</t>
  </si>
  <si>
    <t>单管橡胶垫</t>
  </si>
  <si>
    <t>三元乙丙橡胶垫 150×4</t>
  </si>
  <si>
    <t>解藕装置</t>
  </si>
  <si>
    <t>蝶形螺母 M16</t>
  </si>
  <si>
    <t>扣紧螺母 M20</t>
  </si>
  <si>
    <t>花篮螺栓 M12×200</t>
  </si>
  <si>
    <t>普通螺栓带帽</t>
  </si>
  <si>
    <t>镀锌普通螺栓带帽</t>
  </si>
  <si>
    <t>普通螺钉（栓）</t>
  </si>
  <si>
    <t>镀锌普通螺钉（栓）</t>
  </si>
  <si>
    <t>普通膨胀螺栓</t>
  </si>
  <si>
    <t>镀锌膨胀螺栓</t>
  </si>
  <si>
    <t>普通铆钉</t>
  </si>
  <si>
    <t>镀锌铆钉</t>
  </si>
  <si>
    <t>铝拉铆钉</t>
  </si>
  <si>
    <t>铁线钉</t>
  </si>
  <si>
    <t>秋皮钉</t>
  </si>
  <si>
    <t>卡钉</t>
  </si>
  <si>
    <t>射钉  1×20</t>
  </si>
  <si>
    <t>钢钉</t>
  </si>
  <si>
    <t>水泥钉</t>
  </si>
  <si>
    <t>不锈钢螺栓带帽</t>
  </si>
  <si>
    <t>普通钢垫圈</t>
  </si>
  <si>
    <t>镀锌钢垫圈</t>
  </si>
  <si>
    <t>铜垫圈</t>
  </si>
  <si>
    <t>开口销</t>
  </si>
  <si>
    <t>垫铁</t>
  </si>
  <si>
    <t>钢垫板</t>
  </si>
  <si>
    <t>卡托码 S125</t>
  </si>
  <si>
    <t>垫片 钢板8×70×70</t>
  </si>
  <si>
    <t>电焊条 钢</t>
  </si>
  <si>
    <t>不锈钢电焊条</t>
  </si>
  <si>
    <t>紫铜电焊条 铜107 Φ3.2</t>
  </si>
  <si>
    <t>磷青铜电焊条 铜227 Φ4</t>
  </si>
  <si>
    <t>铝电焊条 铝</t>
  </si>
  <si>
    <t>耐磨电焊条</t>
  </si>
  <si>
    <t>高熔点焊锡条</t>
  </si>
  <si>
    <t>低熔点焊锡条</t>
  </si>
  <si>
    <t>碳钢气焊条</t>
  </si>
  <si>
    <t>焊锡</t>
  </si>
  <si>
    <t>焊锡丝</t>
  </si>
  <si>
    <t>焊锡膏 500g</t>
  </si>
  <si>
    <t>低熔点铝焊料</t>
  </si>
  <si>
    <t>铝热焊剂</t>
  </si>
  <si>
    <t>聚氯乙烯焊条 Φ1～5</t>
  </si>
  <si>
    <t>焊剂</t>
  </si>
  <si>
    <t>放热焊接模具</t>
  </si>
  <si>
    <t>放热焊接焊粉</t>
  </si>
  <si>
    <t>焊料 40×5/150mm2</t>
  </si>
  <si>
    <t>包</t>
  </si>
  <si>
    <t>室外地下式消火栓 SX65</t>
  </si>
  <si>
    <t>室外地下式消火栓 SX100</t>
  </si>
  <si>
    <t>室内单出口消火栓 SN65</t>
  </si>
  <si>
    <t>室内单出口消火栓箱</t>
  </si>
  <si>
    <t>消火栓带座弯头 DN100×90°</t>
  </si>
  <si>
    <t>消防水龙带 苎麻 DN50</t>
  </si>
  <si>
    <t>消防水龙带 苎麻 DN65</t>
  </si>
  <si>
    <t>消防水龙带接口 DN65</t>
  </si>
  <si>
    <t>弹簧管压力表 0～16MPa Φ60</t>
  </si>
  <si>
    <t>单管式压力计 TG-300</t>
  </si>
  <si>
    <t>温度计 0～120℃</t>
  </si>
  <si>
    <t>延时自闭冲洗阀及配件 DN25</t>
  </si>
  <si>
    <t>风管止回阀 周长2000</t>
  </si>
  <si>
    <t>风管止回阀 周长3200</t>
  </si>
  <si>
    <t>旋翼式冷水表 DN25</t>
  </si>
  <si>
    <t>旋翼式冷水表 DN40</t>
  </si>
  <si>
    <t>旋翼式冷水表 DN50</t>
  </si>
  <si>
    <t>旋翼式冷水表 DN100</t>
  </si>
  <si>
    <t>旋翼式冷水表 DN150</t>
  </si>
  <si>
    <t>垫片 Φ16/8</t>
  </si>
  <si>
    <t>合金钻头 Φ43</t>
  </si>
  <si>
    <t>合金钻头 Φ48～50</t>
  </si>
  <si>
    <t>扩孔钻头 Φ102</t>
  </si>
  <si>
    <t>钻头(钻井用)</t>
  </si>
  <si>
    <t>导向水平钻孔拉管机钻头 Φ200～Φ1100</t>
  </si>
  <si>
    <t>薄壁金刚石工程钻头</t>
  </si>
  <si>
    <t>导向水平钻孔拉管机钻杆 Φ73×4570</t>
  </si>
  <si>
    <t>台车钻杆 Φ38 5.525m</t>
  </si>
  <si>
    <t>尼龙砂轮片 Φ100×16×3</t>
  </si>
  <si>
    <t>尼龙砂轮片 Φ150×40×6</t>
  </si>
  <si>
    <t>砂轮片 Φ200</t>
  </si>
  <si>
    <t>砂轮片 Φ500×25×4</t>
  </si>
  <si>
    <t>碗形砂轮</t>
  </si>
  <si>
    <t>合金刀片</t>
  </si>
  <si>
    <t>合金刀头(小)</t>
  </si>
  <si>
    <t>合金刀头(大)</t>
  </si>
  <si>
    <t>台车圆齿钻头  Φ48</t>
  </si>
  <si>
    <t>台车变径连接套 T38-R38</t>
  </si>
  <si>
    <t>台车钎尾</t>
  </si>
  <si>
    <t>掘进机截齿</t>
  </si>
  <si>
    <t>掘进机齿座</t>
  </si>
  <si>
    <t>取芯刀头 Φ110</t>
  </si>
  <si>
    <t>合金取芯钻杆 Φ108 L=1.5m</t>
  </si>
  <si>
    <t>延长杆 Φ133</t>
  </si>
  <si>
    <t>水转换内芯 Φ133</t>
  </si>
  <si>
    <t>金钢石 长方形 300×75×50</t>
  </si>
  <si>
    <t>钢管卡</t>
  </si>
  <si>
    <t>塑料管卡 d15～20</t>
  </si>
  <si>
    <t>线卡 d6</t>
  </si>
  <si>
    <t>防雨帽 d100</t>
  </si>
  <si>
    <t>钢精扎头 1号</t>
  </si>
  <si>
    <t>钢精扎头 2号</t>
  </si>
  <si>
    <t>钢精扎头 3号</t>
  </si>
  <si>
    <t>钢精扎头 5号</t>
  </si>
  <si>
    <t>分线设备背板</t>
  </si>
  <si>
    <t>空心木板 350×450×25</t>
  </si>
  <si>
    <t>单相 二三极插座 10A 250V</t>
  </si>
  <si>
    <t>单相 二三极插座 16A 250V</t>
  </si>
  <si>
    <t>跷板式单联暗开关</t>
  </si>
  <si>
    <t>跷板式双联暗开关</t>
  </si>
  <si>
    <t>跷板式三联暗开关</t>
  </si>
  <si>
    <t>跷板式四联暗开关</t>
  </si>
  <si>
    <t>钢管护口 D15～20</t>
  </si>
  <si>
    <t>钢管护口 D25～32</t>
  </si>
  <si>
    <t>钢管护口 D40～50</t>
  </si>
  <si>
    <t>钢管护口 D100</t>
  </si>
  <si>
    <t>接线盒 50～70×50～70×25</t>
  </si>
  <si>
    <t>接线盒 100×100</t>
  </si>
  <si>
    <t>三通分线盒</t>
  </si>
  <si>
    <t>三通十字分线盒</t>
  </si>
  <si>
    <t>三通接线盒 Φ20</t>
  </si>
  <si>
    <t>三通接线盒 Φ25</t>
  </si>
  <si>
    <t>四通接线盒 Φ20</t>
  </si>
  <si>
    <t>四通接线盒 Φ25</t>
  </si>
  <si>
    <t>钢接线盒</t>
  </si>
  <si>
    <t>塑料线槽 VXC40</t>
  </si>
  <si>
    <t>塑料线槽 120×80</t>
  </si>
  <si>
    <t>塑料圆垫</t>
  </si>
  <si>
    <t>大小头 20×15</t>
  </si>
  <si>
    <t>高压钠灯投光灯 400W</t>
  </si>
  <si>
    <t>广照型工厂灯 弯杆式 250W</t>
  </si>
  <si>
    <t>荧光灯具 成套 吊链式 三管</t>
  </si>
  <si>
    <t>荧光灯具 成套 吊杆式 单管</t>
  </si>
  <si>
    <t>荧光灯具 成套 吊杆式 双管</t>
  </si>
  <si>
    <t>普通吸顶灯具（400×107）</t>
  </si>
  <si>
    <t>防水防尘灯 吸顶式 200W</t>
  </si>
  <si>
    <t>太平门灯</t>
  </si>
  <si>
    <t>隧道灯具 T5D</t>
  </si>
  <si>
    <t>壁灯</t>
  </si>
  <si>
    <t>雨棚灯 Ⅱ型</t>
  </si>
  <si>
    <t>LED光源（晶片）</t>
  </si>
  <si>
    <t>LED光源专用电源</t>
  </si>
  <si>
    <t>节能灯泡  5W</t>
  </si>
  <si>
    <t>熔断丝 20～100A</t>
  </si>
  <si>
    <t>熔断片 300A</t>
  </si>
  <si>
    <t>10kV绝缘套管JY-Z 35～120 mm2</t>
  </si>
  <si>
    <t>钳压管 70mm2(GLJ用)</t>
  </si>
  <si>
    <t>铜钳压管JY-T70 mm2</t>
  </si>
  <si>
    <t>钳接管 QL 50mm2</t>
  </si>
  <si>
    <t>钳接管 QL 70mm2</t>
  </si>
  <si>
    <t>钳接管 QL 95mm2</t>
  </si>
  <si>
    <t>铝接线管 50mm2</t>
  </si>
  <si>
    <t>铝接线管 95mm2</t>
  </si>
  <si>
    <t>铝接线管 120mm2</t>
  </si>
  <si>
    <t>铝接线管 185mm2</t>
  </si>
  <si>
    <t>铝接线管 240mm2</t>
  </si>
  <si>
    <t>交流电铃 Φ200</t>
  </si>
  <si>
    <t>磁化线圈 BLX-35</t>
  </si>
  <si>
    <t>铭牌 搪瓷</t>
  </si>
  <si>
    <t>铅标志牌</t>
  </si>
  <si>
    <t>避雷针 1.5m</t>
  </si>
  <si>
    <t>避雷针 7m</t>
  </si>
  <si>
    <t>氧化锌避雷器 HY5WS1-17/50</t>
  </si>
  <si>
    <t>氧化锌式避雷器 Y5WS1-12.7/50</t>
  </si>
  <si>
    <t>防腐降阻接地极 离子型</t>
  </si>
  <si>
    <t>低电阻非金属接地模块</t>
  </si>
  <si>
    <t>避雷器固定支架 ∠50×5×300</t>
  </si>
  <si>
    <t>放电记录器</t>
  </si>
  <si>
    <t>铜接线端子 DT-2～6</t>
  </si>
  <si>
    <t>铜接线端子 DT-10～16</t>
  </si>
  <si>
    <t>铜接线端子 DT-35</t>
  </si>
  <si>
    <t>铜接线端子 DT-50</t>
  </si>
  <si>
    <t>铜接线端子 DT-70</t>
  </si>
  <si>
    <t>铜接线端子 DT-120</t>
  </si>
  <si>
    <t>铜接线端子 DT-240</t>
  </si>
  <si>
    <t>铜接线端子 20A</t>
  </si>
  <si>
    <t>铜接线端子 50A</t>
  </si>
  <si>
    <t>铜接线端子 75A</t>
  </si>
  <si>
    <t>铜接线端子 100A</t>
  </si>
  <si>
    <t>铜接线端子 150A</t>
  </si>
  <si>
    <t>铜铝接线端子 DTL-10</t>
  </si>
  <si>
    <t>铜铝接线端子 DTL-70</t>
  </si>
  <si>
    <t>铜铝接线端子 DTL-120</t>
  </si>
  <si>
    <t>铝芯塑料线 BLV 500V 35mm2</t>
  </si>
  <si>
    <t>铝芯塑料线 BLV 500V 120mm2</t>
  </si>
  <si>
    <t>铜芯橡皮线 BX 500V 2.5mm2</t>
  </si>
  <si>
    <t>铜芯橡皮线 BX 500V 6mm2</t>
  </si>
  <si>
    <t>铜芯橡皮线 BX 500V 16mm2</t>
  </si>
  <si>
    <t>铜芯塑料线 BV 500V 2.5mm2</t>
  </si>
  <si>
    <t>铜芯塑料线 BV 500V 4mm2</t>
  </si>
  <si>
    <t>铜芯塑料线 BV 500V 6mm2</t>
  </si>
  <si>
    <t>铜芯塑料线 BV 500V 10mm2</t>
  </si>
  <si>
    <t>铜芯塑料线 BV 500V 16mm2</t>
  </si>
  <si>
    <t>铜芯塑料线 BV 500V 25mm2</t>
  </si>
  <si>
    <t>铜芯塑料线 BV 500V 35mm2</t>
  </si>
  <si>
    <t>铜芯塑料线 BV 500V 50mm2</t>
  </si>
  <si>
    <t>铜芯塑料线 BV 500V 95mm2</t>
  </si>
  <si>
    <t>铜芯塑料线 BV 500V 120mm2</t>
  </si>
  <si>
    <t>铜芯塑料软线 BVR 500V 1.5mm2</t>
  </si>
  <si>
    <t>铜芯塑料软线 BVR 500V 2.5mm2</t>
  </si>
  <si>
    <t>铜芯塑料软线 BVR 500V 4mm2</t>
  </si>
  <si>
    <t>阻燃铜芯塑料软线 ZR-BVR 500V 0.75mm2</t>
  </si>
  <si>
    <t>阻燃铜芯塑料软线 ZR-BVR 500V 1.5mm2</t>
  </si>
  <si>
    <t>阻燃铜芯塑料软线 ZR-BVR 500V 4mm2</t>
  </si>
  <si>
    <t>阻燃铜芯塑料软线 ZR－BVR6mm2</t>
  </si>
  <si>
    <t>阻燃铜芯塑料软线 ZR－BVR16mm2</t>
  </si>
  <si>
    <t>阻燃铜芯塑料软线 ZR－BVR10mm2</t>
  </si>
  <si>
    <t>阻燃线 ZR-RV 250V 0.4mm2</t>
  </si>
  <si>
    <t>铜芯塑料绞型软线 RVS 0.4mm2</t>
  </si>
  <si>
    <t>铜芯塑料绞型软线 RVS 2.5mm2</t>
  </si>
  <si>
    <t>铜芯丁腈软线 RFB 0.3mm2</t>
  </si>
  <si>
    <t>电灯花线 RXS 0.4mm2</t>
  </si>
  <si>
    <t>橡套软线 YHZ 2芯 1.5mm2</t>
  </si>
  <si>
    <t>接地电缆 10mm2</t>
  </si>
  <si>
    <t>接地电缆 25mm2</t>
  </si>
  <si>
    <t>接地电缆 70mm2</t>
  </si>
  <si>
    <t>接地电缆 50mm2</t>
  </si>
  <si>
    <t>接地裸铜线 50mm2</t>
  </si>
  <si>
    <t>室内接地用网状扁平铜线 10mm2</t>
  </si>
  <si>
    <t>电力电缆 VV 0.6/1kV 3芯 4mm2</t>
  </si>
  <si>
    <t>电力电缆 VV 0.6/1kV 3芯 10mm2</t>
  </si>
  <si>
    <t>电力电缆 VV 0.6/1kV 3芯 16mm2</t>
  </si>
  <si>
    <t>电力电缆 VV 0.6/1kV 2芯 10mm2</t>
  </si>
  <si>
    <t>电力电缆 VV 0.6/1kV 2芯 25mm2</t>
  </si>
  <si>
    <t>电力电缆 VV29 1kV 2芯 1.5mm2</t>
  </si>
  <si>
    <t>电力电缆 VV29 1kV 2芯 2.5mm2</t>
  </si>
  <si>
    <t>电力电缆 VV22 1kV 1芯 120mm2</t>
  </si>
  <si>
    <t>电力电缆 VV22 1kV 2芯 6mm2</t>
  </si>
  <si>
    <t>电力电缆 VV22 1kV 2芯 10mm2</t>
  </si>
  <si>
    <t>电力电缆 VV22 1kV 2芯 16mm2</t>
  </si>
  <si>
    <t>电力电缆 VV22 1kV 3芯 6mm2</t>
  </si>
  <si>
    <t>电力电缆 VV22 1kV 3芯 10mm2</t>
  </si>
  <si>
    <t>电力电缆 VV22 1kV 4×6＋1×4mm2</t>
  </si>
  <si>
    <t>电力电缆 VV22 1kV 4×10＋1×6mm2</t>
  </si>
  <si>
    <t>电力电缆 VV22 1kV 4×16＋1×10mm2</t>
  </si>
  <si>
    <t>电力电缆 YJV22 10kV 3芯 50mm2</t>
  </si>
  <si>
    <t>电力电缆 YJV22 1kV 1芯 150mm2</t>
  </si>
  <si>
    <t>电力电缆 YJV22 1kV 1芯 400mm2</t>
  </si>
  <si>
    <t>电力电缆 YJV22 1kV 2芯 50mm2</t>
  </si>
  <si>
    <t>电力电缆 YJV22 1kV 4芯 10mm2</t>
  </si>
  <si>
    <t>电力电缆 YJV22 1kV 4芯 25mm2</t>
  </si>
  <si>
    <t>电力电缆 YJV22 1kV 4芯 120mm2</t>
  </si>
  <si>
    <t>阻燃电力电缆 ZR-XV 500V 2×4mm2</t>
  </si>
  <si>
    <t>阻燃电力电缆 ZR-XV 500V 2×6mm2</t>
  </si>
  <si>
    <t>阻燃电力电缆 ZR-XV 500V 3×2.5mm2</t>
  </si>
  <si>
    <t>阻燃电力电缆 ZR-XV 500V 3×4mm2</t>
  </si>
  <si>
    <t>阻燃电力电缆 ZR-XV 500V 3×6mm2</t>
  </si>
  <si>
    <t>阻燃电力电缆 ZR-XV 500V 3×10mm2</t>
  </si>
  <si>
    <t>铝芯绝缘架空电缆 10kV JKLYJ 70mm2</t>
  </si>
  <si>
    <t>铝芯绝缘架空电缆 10kV JKLYJ 120mm2</t>
  </si>
  <si>
    <t>交联聚乙烯绝缘导线 WDZN-BYJ 450/750V  25mm2</t>
  </si>
  <si>
    <t>交联聚乙烯绝缘导线 WDZ-BYJ 450/750V  4mm2</t>
  </si>
  <si>
    <t>交联聚乙烯绝缘导线 WDZ-BYJ 450/750V  6mm2</t>
  </si>
  <si>
    <t>电力电缆 WDZN-YJY23 0.6/1kV  5×16mm2</t>
  </si>
  <si>
    <t>控制电缆 WDZ-KYJY23 450/750V 4×2.5mm2</t>
  </si>
  <si>
    <t>控制电缆 WDZ-KYJY23 450/750V 7×2.5mm2</t>
  </si>
  <si>
    <t>控制电缆 WDZ-KYJY23 450/750V 10×2.5mm2</t>
  </si>
  <si>
    <t>控制电缆 KVV 500V 5芯 2.5mm2</t>
  </si>
  <si>
    <t>控制电缆 KVV 500V 7芯 1.5mm2</t>
  </si>
  <si>
    <t>控制电缆 KVV 500V 7芯 2.5mm2</t>
  </si>
  <si>
    <t>控制电缆 KVV 500V 10芯 2.5mm2</t>
  </si>
  <si>
    <t>控制电缆 KVV 500V 19芯 2.5mm2</t>
  </si>
  <si>
    <t>控制电缆 KVV22 500V 19芯 1.5mm2</t>
  </si>
  <si>
    <t>控制电缆 KVV22 500V 7芯 2.5mm2</t>
  </si>
  <si>
    <t>电缆卡子 3×50</t>
  </si>
  <si>
    <t>电缆卡子 3×80</t>
  </si>
  <si>
    <t>电缆挂架SDJ</t>
  </si>
  <si>
    <t>槽道铰链 自制</t>
  </si>
  <si>
    <t>控制电缆头套管 KT2-7 14芯以下</t>
  </si>
  <si>
    <t>控制电缆头套管 KT2-10 24芯以下</t>
  </si>
  <si>
    <t>镀彩钢制槽式桥架 200×150</t>
  </si>
  <si>
    <t>镀彩钢制托盘式桥架 200×150</t>
  </si>
  <si>
    <t>塑料电缆中间接线盒 LSV-1</t>
  </si>
  <si>
    <t>塑料分支手套 ST-41</t>
  </si>
  <si>
    <t>塑料分支手套 ST-43</t>
  </si>
  <si>
    <t>槽道盖 钢板2×218×841</t>
  </si>
  <si>
    <t>热缩式电缆终端头 RST-1 1kV</t>
  </si>
  <si>
    <t>热缩式电缆终端头 RST-2 1kV</t>
  </si>
  <si>
    <t>热缩式电缆终端头 RST-3 1kV</t>
  </si>
  <si>
    <t>热缩式中间电缆头 RSJ-1 1kV</t>
  </si>
  <si>
    <t>10kV户内三芯冷缩电缆终端头 95～120mm2</t>
  </si>
  <si>
    <t>10kV户外三芯冷缩电缆终端头 95～120mm2</t>
  </si>
  <si>
    <t>10kV户外三芯冷缩电缆终端头 240～400mm2</t>
  </si>
  <si>
    <t>35kV户外三芯冷缩电缆终端头 50～95mm2</t>
  </si>
  <si>
    <t>高压瓷横担绝缘子 S-210Z/250</t>
  </si>
  <si>
    <t>高压瓷横担绝缘子 S-210/250</t>
  </si>
  <si>
    <t>高压拉紧绝缘子 J-4.5</t>
  </si>
  <si>
    <t>高压拉紧绝缘子 J-9</t>
  </si>
  <si>
    <t>高压瓷拉棒绝缘子 XS-10/2T</t>
  </si>
  <si>
    <t>高压针式绝缘子 PS-20</t>
  </si>
  <si>
    <t>户外棒形支柱绝缘子 ZS-35/6L</t>
  </si>
  <si>
    <t>直瓷管 Φ15×305</t>
  </si>
  <si>
    <t>瓷接头 Φ16×25</t>
  </si>
  <si>
    <t>瓷接头 双路</t>
  </si>
  <si>
    <t>挂环 ZH-7</t>
  </si>
  <si>
    <t>直角挂板 Z1-6</t>
  </si>
  <si>
    <t>直角挂板 Z-12</t>
  </si>
  <si>
    <t>平行挂板 PS-7</t>
  </si>
  <si>
    <t>平行挂板 P-7</t>
  </si>
  <si>
    <t>平行挂板 PD-7</t>
  </si>
  <si>
    <t>平行挂板 PD-10</t>
  </si>
  <si>
    <t>平行挂板 PD-12</t>
  </si>
  <si>
    <t>双板平行挂板 P-7</t>
  </si>
  <si>
    <t>设备线夹 SY-35</t>
  </si>
  <si>
    <t>并钩线夹 JB-1</t>
  </si>
  <si>
    <t>胶木线夹</t>
  </si>
  <si>
    <t>耐张线夹(不可调式) NU-3</t>
  </si>
  <si>
    <t>横担 ∠50×5×1800</t>
  </si>
  <si>
    <t>横担 ∠63×6×680</t>
  </si>
  <si>
    <t>横担 ∠63×6×1500(高压)</t>
  </si>
  <si>
    <t>横担(七) ∠63×6×2846</t>
  </si>
  <si>
    <t>横担(六) ∠63×6×3139</t>
  </si>
  <si>
    <t>横担 ∠75×8×1500(高压)</t>
  </si>
  <si>
    <t>横担(Ⅲ) ∠90×8×1500</t>
  </si>
  <si>
    <t>上横担 ∠75×6×1280</t>
  </si>
  <si>
    <t>下横担 ∠75×6×3670</t>
  </si>
  <si>
    <t>Ｕ形抱箍 Φ16×710</t>
  </si>
  <si>
    <t>Ｕ形抱箍 Φ18×710</t>
  </si>
  <si>
    <t>Ｕ形抱箍 Φ20×710</t>
  </si>
  <si>
    <t>Ｕ形抱箍(Ⅳ)</t>
  </si>
  <si>
    <t>Ｕ形抱箍(Ⅴ)</t>
  </si>
  <si>
    <t>镀锌Ｕ形抱箍</t>
  </si>
  <si>
    <t>拉线抱箍 D200 扁钢5×50</t>
  </si>
  <si>
    <t>拉线抱箍 D200 扁钢6×60</t>
  </si>
  <si>
    <t>拉线抱箍(加强型) D200 扁钢7×70</t>
  </si>
  <si>
    <t>防扭抱箍</t>
  </si>
  <si>
    <t>电缆抱箍(Ⅱ8) 扁钢4×40 R160</t>
  </si>
  <si>
    <t>抱箍(二) 扁钢3×30</t>
  </si>
  <si>
    <t>抱箍 扁钢3×30</t>
  </si>
  <si>
    <t>抱箍(一) 扁钢6×80</t>
  </si>
  <si>
    <t>抱箍 扁钢8×80×484</t>
  </si>
  <si>
    <t>隔离开关操作机构抱箍 扁钢6×40 D320</t>
  </si>
  <si>
    <t>撑角抱箍(Ⅲ)</t>
  </si>
  <si>
    <t>三极隔离开关操作杆抱箍</t>
  </si>
  <si>
    <t>中导线抱箍</t>
  </si>
  <si>
    <t>电线管抱箍 D230</t>
  </si>
  <si>
    <t>电线管抱箍 D270</t>
  </si>
  <si>
    <t>电线管抱箍 D310</t>
  </si>
  <si>
    <t>支座抱箍(单) D193</t>
  </si>
  <si>
    <t>支座抱箍(双) D193</t>
  </si>
  <si>
    <t>拉线联板 V-2015</t>
  </si>
  <si>
    <t>拉线联板 V-3018</t>
  </si>
  <si>
    <t>拉线棒 Φ16×2700</t>
  </si>
  <si>
    <t>拉线棒 Φ19×2700</t>
  </si>
  <si>
    <t>拉线棒 Φ20×3300</t>
  </si>
  <si>
    <t>横担支铁 扁钢4×40×250</t>
  </si>
  <si>
    <t>针式绝缘子固定支架 扁钢5×50×250</t>
  </si>
  <si>
    <t>电缆终端盒固定支架 扁钢8×80</t>
  </si>
  <si>
    <t>熔断器固定支架 扁钢5×50×177</t>
  </si>
  <si>
    <t>滑轮及托架</t>
  </si>
  <si>
    <t>三级隔离开关托架 ∠63×6×2200</t>
  </si>
  <si>
    <t>Ｍ形抱铁(Ⅲ) 5×60×290</t>
  </si>
  <si>
    <t>Ｍ形抱铁(Ⅳ) 5×60×310</t>
  </si>
  <si>
    <t>斜撑 ∠63×6×620</t>
  </si>
  <si>
    <t>拉板 扁钢5×50×160</t>
  </si>
  <si>
    <t>镀锌拉板 扁钢4×40×200～350</t>
  </si>
  <si>
    <t>隔离开关托架撑角 ∠50×5×1096</t>
  </si>
  <si>
    <t>钢管固定卡子 M10</t>
  </si>
  <si>
    <t>三极隔离开关操作杆卡箍</t>
  </si>
  <si>
    <t>隔离开关传动杆 Φ25×9m</t>
  </si>
  <si>
    <t>支架 扁钢5×50×177</t>
  </si>
  <si>
    <t>五孔连板(Ⅱ) 6×60×575</t>
  </si>
  <si>
    <t>五孔连板(Ⅳ) 6×60×595</t>
  </si>
  <si>
    <t>连板 扁钢6×60×575</t>
  </si>
  <si>
    <t>弯板 扁钢6×60×205</t>
  </si>
  <si>
    <t>电线管卡箍 扁钢4×40×189</t>
  </si>
  <si>
    <t>吊杆 扁钢4×50×1180～1210</t>
  </si>
  <si>
    <t>吊杆 扁钢4×50×1705</t>
  </si>
  <si>
    <t>吊杆 扁钢4×50×1870</t>
  </si>
  <si>
    <t>吊杆 扁钢4×50×3340</t>
  </si>
  <si>
    <t>不锈钢上下邦</t>
  </si>
  <si>
    <t>地脚螺栓 M8×100</t>
  </si>
  <si>
    <t>地脚螺栓 M12×140</t>
  </si>
  <si>
    <t>地脚螺栓 M12×160</t>
  </si>
  <si>
    <t>地脚螺栓 M24×950</t>
  </si>
  <si>
    <t>地脚螺栓带帽 M12×130</t>
  </si>
  <si>
    <t>地脚螺栓带帽 M18×65</t>
  </si>
  <si>
    <t>地脚螺栓带帽 M22×250</t>
  </si>
  <si>
    <t>地脚螺栓带帽 M24×300</t>
  </si>
  <si>
    <t>地脚螺栓带帽 M24×852</t>
  </si>
  <si>
    <t>Ｕ形螺栓 U-1600</t>
  </si>
  <si>
    <t>Ｕ形螺栓带帽 R160</t>
  </si>
  <si>
    <t>Ｕ形螺栓带帽 M8</t>
  </si>
  <si>
    <t>Ｕ形螺栓带帽 M16×290</t>
  </si>
  <si>
    <t>心形环</t>
  </si>
  <si>
    <t>拉线地锚 Φ25×600</t>
  </si>
  <si>
    <t>镀锌铁拉板</t>
  </si>
  <si>
    <t>防震锤 FD-1</t>
  </si>
  <si>
    <t>防震锤 FD-2</t>
  </si>
  <si>
    <t>弹力Ｗ形垫铁</t>
  </si>
  <si>
    <t>镀锌铁件</t>
  </si>
  <si>
    <t>胶木板 δ=20</t>
  </si>
  <si>
    <t>自粘性橡胶带 0.22×25</t>
  </si>
  <si>
    <t>白纱带 宽20 长20m</t>
  </si>
  <si>
    <t>黑胶布 宽20 长20m</t>
  </si>
  <si>
    <t>黑胶布 宽20 长30m</t>
  </si>
  <si>
    <t>黄漆布带 宽20 长40m</t>
  </si>
  <si>
    <t>黄蜡带 宽20 长40m</t>
  </si>
  <si>
    <t>塑料绝缘胶粘带 三色</t>
  </si>
  <si>
    <t>聚氯乙烯带 2.23×25</t>
  </si>
  <si>
    <t>塑料胶布带 宽20 长50m</t>
  </si>
  <si>
    <t>电力复合脂 一级</t>
  </si>
  <si>
    <t>有机堵料</t>
  </si>
  <si>
    <t>无机堵料</t>
  </si>
  <si>
    <t>阻燃槽盒</t>
  </si>
  <si>
    <t>防火隔板</t>
  </si>
  <si>
    <t>基础螺栓</t>
  </si>
  <si>
    <t>镀锌基础螺栓 Q345(16Mn)</t>
  </si>
  <si>
    <t>防盗螺栓 M16</t>
  </si>
  <si>
    <t>锚板拉杆 Φ25×4050 双环 电化1600-09</t>
  </si>
  <si>
    <t>环形等径预应力混凝土接触网支柱 Φ350 100/9FL</t>
  </si>
  <si>
    <t>钢筋混凝土垫板 600×600×120</t>
  </si>
  <si>
    <t>镀锌角钢桥钢柱、接腿、支架 (Q235)</t>
  </si>
  <si>
    <t>镀锌钢柱、硬横梁(Q345)</t>
  </si>
  <si>
    <t>镀锌桥钢柱、接腿、支架(Q345)</t>
  </si>
  <si>
    <t>镀锌钢管柱 无缝 ( Q345)</t>
  </si>
  <si>
    <t>镀锌三角钢管硬横梁  ( Q345)</t>
  </si>
  <si>
    <t>H型钢柱Q345(镀锌)</t>
  </si>
  <si>
    <t>声屏障H形钢立柱</t>
  </si>
  <si>
    <t>大限界底座框架(Ⅰ) JL371-94</t>
  </si>
  <si>
    <t>大限界底座框架(Ⅱ) JL371-94</t>
  </si>
  <si>
    <t>底座抱箍 JL28(Y)</t>
  </si>
  <si>
    <t>单/双拉线底板</t>
  </si>
  <si>
    <t>定位绳弹性张力补偿器</t>
  </si>
  <si>
    <t>连接板 JL41</t>
  </si>
  <si>
    <t>承锚角钢 60 JL51</t>
  </si>
  <si>
    <t>定位器电连接线</t>
  </si>
  <si>
    <t>防风吊线</t>
  </si>
  <si>
    <t>钢柱底座槽钢 G10 JL67</t>
  </si>
  <si>
    <t>固定Ｕ形螺栓 电化1417-2</t>
  </si>
  <si>
    <t>接触线放线滑轮（带S钩）</t>
  </si>
  <si>
    <t>中心锚结底座</t>
  </si>
  <si>
    <t>承力索补偿棘轮下锚底座 混凝土柱</t>
  </si>
  <si>
    <t>接触线补偿棘轮下锚底座 混凝土柱</t>
  </si>
  <si>
    <t>单腕臂底座及槽钢 Φ400圆柱、钢管柱</t>
  </si>
  <si>
    <t>单腕臂底座及槽钢 H形钢柱</t>
  </si>
  <si>
    <t>双腕臂底座及槽钢 Φ400圆柱</t>
  </si>
  <si>
    <t>双腕臂底座及槽钢 T型吊柱</t>
  </si>
  <si>
    <t>双支平腕臂底座及槽钢 钢柱</t>
  </si>
  <si>
    <t>承锚抱箍 Y300 JL51</t>
  </si>
  <si>
    <t>承锚抱箍 Y400 JL51</t>
  </si>
  <si>
    <t>“机车合”、“动车合”标志牌 夜间反光</t>
  </si>
  <si>
    <t>销钉 SJL40(20×130)</t>
  </si>
  <si>
    <t>开关托架 SJL56</t>
  </si>
  <si>
    <t>附加线预绞式等距线夹</t>
  </si>
  <si>
    <t>预绞式耐张线夹 铝包钢125mm2</t>
  </si>
  <si>
    <t>预绞式耐张线夹 铝包钢200mm2</t>
  </si>
  <si>
    <t>隧内中心锚结锚固底座</t>
  </si>
  <si>
    <t>底座 SXW01-81改</t>
  </si>
  <si>
    <t>对向下锚抱箍 Y8633</t>
  </si>
  <si>
    <t>GW线支架 Y8637</t>
  </si>
  <si>
    <t>承锚角钢 Y8638</t>
  </si>
  <si>
    <t>承锚底座 Y8640</t>
  </si>
  <si>
    <t>承锚底座 Y8641</t>
  </si>
  <si>
    <t>支柱号码牌（双面、反光）</t>
  </si>
  <si>
    <t>断、合标志牌（反光）</t>
  </si>
  <si>
    <t>禁止双弓牌(反光)</t>
  </si>
  <si>
    <t>安全作业标(反光)</t>
  </si>
  <si>
    <t>终端警告牌(反光)</t>
  </si>
  <si>
    <t>高压危险牌(反光)</t>
  </si>
  <si>
    <t>号码牌肩架 钢柱</t>
  </si>
  <si>
    <t>号码牌肩架 圆柱</t>
  </si>
  <si>
    <t>标志牌柱体及连接件</t>
  </si>
  <si>
    <t>单肩槽钢肩架 #6.3×2686 600S GDL1</t>
  </si>
  <si>
    <t>混凝土柱单支下锚角钢 GDL4(250)</t>
  </si>
  <si>
    <t>混凝土柱单支下锚角钢 GDL4(560)</t>
  </si>
  <si>
    <t>角钢 GDL4-01(400)</t>
  </si>
  <si>
    <t>斜撑角钢 GDL8-85</t>
  </si>
  <si>
    <t>单肩斜撑固定角钢 GDL9(265)Y</t>
  </si>
  <si>
    <t>单肩斜撑固定角钢 GDL9(515)Y</t>
  </si>
  <si>
    <t>下锚固定角钢 GDL12(460)</t>
  </si>
  <si>
    <t>固定角钢 GDL13(265)</t>
  </si>
  <si>
    <t>固定角钢 GDL13(400)</t>
  </si>
  <si>
    <t>吊钩 GDL15</t>
  </si>
  <si>
    <t>单肩角钢肩架  Y或Z 250B GDL18</t>
  </si>
  <si>
    <t>单肩角钢肩架  Y或Z 500B GDL18</t>
  </si>
  <si>
    <t>防疲劳型预绞式铜护线条</t>
  </si>
  <si>
    <t>预绞式短护线条 铝包钢315mm2</t>
  </si>
  <si>
    <t>预绞式短护线条 铝包钢125mm2</t>
  </si>
  <si>
    <t>预绞式导线接续条 铝包钢125mm2</t>
  </si>
  <si>
    <t>AP线肩架 170W JL321</t>
  </si>
  <si>
    <t>回流线肩架 J1350 HL01</t>
  </si>
  <si>
    <t>对向下锚角钢 470 HL07</t>
  </si>
  <si>
    <t>接地跳线肩架 H7.8 R或L JL323</t>
  </si>
  <si>
    <t>跳线肩架 B或B1 JL326</t>
  </si>
  <si>
    <t>跳线卡箍 JL328</t>
  </si>
  <si>
    <t>GW线支架 JL334(560)</t>
  </si>
  <si>
    <t>架空地线肩架 JL361(G15A)</t>
  </si>
  <si>
    <t>悬式绝缘子 XWP2-70</t>
  </si>
  <si>
    <t>悬式绝缘子 XWP2-70T</t>
  </si>
  <si>
    <t>户内支柱绝缘子 ZA-35T</t>
  </si>
  <si>
    <t>合成绝缘子 FQX-25/160</t>
  </si>
  <si>
    <t>棒形悬式合成绝缘子 FQXG-25/120QH</t>
  </si>
  <si>
    <t>棒形悬式合成绝缘子 FQXG-25/160QH</t>
  </si>
  <si>
    <t>高压拉紧绝缘子 J-2</t>
  </si>
  <si>
    <t>低压蝶式绝缘子 ED-2</t>
  </si>
  <si>
    <t>铜(银合金)接触线</t>
  </si>
  <si>
    <t>硬铜绞线</t>
  </si>
  <si>
    <t>高强铜镁合金绞线 1×19</t>
  </si>
  <si>
    <t>软铜绞线</t>
  </si>
  <si>
    <t>硬铝绞线</t>
  </si>
  <si>
    <t>铝包钢芯铝绞线</t>
  </si>
  <si>
    <t>镀铝锌钢绞线</t>
  </si>
  <si>
    <t>镀铝锌铁线</t>
  </si>
  <si>
    <t>承力索座 GDA1</t>
  </si>
  <si>
    <t>管帽 G60</t>
  </si>
  <si>
    <t>限位定位器 L13</t>
  </si>
  <si>
    <t>定位支座 RL</t>
  </si>
  <si>
    <t>定位线夹</t>
  </si>
  <si>
    <t>定位环 G60</t>
  </si>
  <si>
    <t>定位管 L=1200 G48×3.5</t>
  </si>
  <si>
    <t>普通定位器 G3</t>
  </si>
  <si>
    <t>锚支定位卡子 G50</t>
  </si>
  <si>
    <t>定位环线夹</t>
  </si>
  <si>
    <t>锥套型接触线终端锚固线夹 150</t>
  </si>
  <si>
    <t>锥套型承力索终端锚固线夹 120</t>
  </si>
  <si>
    <t>双耳楔型接触线终端锚固线夹 85～120</t>
  </si>
  <si>
    <t>双耳楔型承力索终端锚固线夹 70～95</t>
  </si>
  <si>
    <t>双耳楔型承力索终端锚固线夹 120～150</t>
  </si>
  <si>
    <t>接触线中心锚结线夹 H、Y1、Y2</t>
  </si>
  <si>
    <t>承力索中心锚结线夹 Ⅰ～Ⅴ</t>
  </si>
  <si>
    <t>整体吊弦 A</t>
  </si>
  <si>
    <t>整体吊弦 B</t>
  </si>
  <si>
    <t>整体吊弦 C</t>
  </si>
  <si>
    <t>接触线吊弦线夹</t>
  </si>
  <si>
    <t>接触线电联接线夹 JX、JT</t>
  </si>
  <si>
    <t>承力索电联接线夹 C型</t>
  </si>
  <si>
    <t>承力索电联接线夹 CT型</t>
  </si>
  <si>
    <t>并钩电联接线夹</t>
  </si>
  <si>
    <t>T型电联接线夹</t>
  </si>
  <si>
    <t>线岔 Y2型</t>
  </si>
  <si>
    <t>补偿滑轮组 G1:3</t>
  </si>
  <si>
    <t>D型连接器</t>
  </si>
  <si>
    <t>双环杆 Φ16-250</t>
  </si>
  <si>
    <t>双环杆 Φ16-770</t>
  </si>
  <si>
    <t>棘轮本体 1∶3</t>
  </si>
  <si>
    <t>坠砣限制架 H170</t>
  </si>
  <si>
    <t>坠砣限制架 Y350</t>
  </si>
  <si>
    <t>埋入式限制架底座 A</t>
  </si>
  <si>
    <t>固定式限制架底座 B</t>
  </si>
  <si>
    <t>坠砣杆 T20</t>
  </si>
  <si>
    <t>坠砣 F 25kg</t>
  </si>
  <si>
    <t>调整螺栓 J20</t>
  </si>
  <si>
    <t>钩螺栓 130</t>
  </si>
  <si>
    <t>带耳定位环线夹</t>
  </si>
  <si>
    <t>夹环 G型</t>
  </si>
  <si>
    <t>夹环 T型</t>
  </si>
  <si>
    <t>双耳连接器</t>
  </si>
  <si>
    <t>杵环杆 Φ16-175</t>
  </si>
  <si>
    <t>杵环杆 Φ16-1130</t>
  </si>
  <si>
    <t>杵环杆 Φ16-1530</t>
  </si>
  <si>
    <t>杵环杆 Φ16-2930</t>
  </si>
  <si>
    <t>杵环杆 Φ20-1530</t>
  </si>
  <si>
    <t>双耳楔形线夹 50</t>
  </si>
  <si>
    <t>双耳楔形线夹 70</t>
  </si>
  <si>
    <t>横承力索线夹</t>
  </si>
  <si>
    <t>软横跨悬吊滑轮 T1</t>
  </si>
  <si>
    <t>软横跨悬吊滑轮 T2</t>
  </si>
  <si>
    <t>接地线连接线夹</t>
  </si>
  <si>
    <t>杵座鞍子 DL</t>
  </si>
  <si>
    <t>双耳鞍子 L</t>
  </si>
  <si>
    <t>长吊环</t>
  </si>
  <si>
    <t>可调整底座 A</t>
  </si>
  <si>
    <t>弓形腕臂 R＜1800m及缓曲 G1</t>
  </si>
  <si>
    <t>弓形腕臂 R≥1800m及缓曲 G2</t>
  </si>
  <si>
    <t>隧内限位定位器 XG800</t>
  </si>
  <si>
    <t>重型锚臂 900A、B</t>
  </si>
  <si>
    <t>重型锚臂 1800A、B</t>
  </si>
  <si>
    <t>隧内下锚拉杆底座</t>
  </si>
  <si>
    <t>隧内下锚可调拉杆 L800</t>
  </si>
  <si>
    <t>隧内下锚可调拉杆 L1150</t>
  </si>
  <si>
    <t>动滑轮</t>
  </si>
  <si>
    <t>转向定滑轮</t>
  </si>
  <si>
    <t>隧道内下锚坠砣限制架 406</t>
  </si>
  <si>
    <t>悬垂线夹 CGU-4</t>
  </si>
  <si>
    <t>耐张线夹 NLD-1</t>
  </si>
  <si>
    <t>耐张线夹 NLD-2</t>
  </si>
  <si>
    <t>耐张线夹 NLD-3</t>
  </si>
  <si>
    <t>耐张线夹 NLD-4</t>
  </si>
  <si>
    <t>耐张线夹 NUT-2</t>
  </si>
  <si>
    <t>耐张线夹 NUT-3</t>
  </si>
  <si>
    <t>耐张线夹 NX-2</t>
  </si>
  <si>
    <t>双设备线夹 SL1-TL-2×400</t>
  </si>
  <si>
    <t>0°压接铜铝设备线夹 SY1-TL-150-4</t>
  </si>
  <si>
    <t>设备线夹 SL-3A</t>
  </si>
  <si>
    <t>设备线夹 SLG-3A(B)</t>
  </si>
  <si>
    <t>设备线夹 SY1-J-400</t>
  </si>
  <si>
    <t>Ｔ形线夹 TY-400</t>
  </si>
  <si>
    <t>Ｔ形线夹 TL-44</t>
  </si>
  <si>
    <t>楔形拉线线夹 LX-3</t>
  </si>
  <si>
    <t>并沟线夹 JBB-2</t>
  </si>
  <si>
    <t>并沟线夹 JB-0</t>
  </si>
  <si>
    <t>并沟线夹 JB-2</t>
  </si>
  <si>
    <t>并沟线夹 JB-3</t>
  </si>
  <si>
    <t>并沟线夹 JB-4</t>
  </si>
  <si>
    <t>并沟线夹 JBB-1</t>
  </si>
  <si>
    <t>铜铝过渡板 MG-63×10</t>
  </si>
  <si>
    <t>软母线间隔棒 MRJ-4/120</t>
  </si>
  <si>
    <t>矩形母线固定金具 MWP-104×125</t>
  </si>
  <si>
    <t>球头挂环 Q-7</t>
  </si>
  <si>
    <t>球头挂环 QP-7</t>
  </si>
  <si>
    <t>碗头挂板 W-7A</t>
  </si>
  <si>
    <t>碗头挂板 W-7B</t>
  </si>
  <si>
    <t>碗头挂板 WS-7</t>
  </si>
  <si>
    <t>碗头挂板 WS-10</t>
  </si>
  <si>
    <t>连接板 BL04-87</t>
  </si>
  <si>
    <t>Ｕ形挂环 U-7</t>
  </si>
  <si>
    <t>直角挂板 Z-7</t>
  </si>
  <si>
    <t>球头挂环 QP-16</t>
  </si>
  <si>
    <t>UL型挂环</t>
  </si>
  <si>
    <t>预绞式悬垂线夹</t>
  </si>
  <si>
    <t>高速电接触导电膏</t>
  </si>
  <si>
    <t>35kV GK避雷器支架</t>
  </si>
  <si>
    <t>避雷器支架 FZ-220J 单台</t>
  </si>
  <si>
    <t>阻尼器支架 ∠63×6×750</t>
  </si>
  <si>
    <t>阻尼器支架 ∠63×6×320</t>
  </si>
  <si>
    <t>氧化锌避雷器支架</t>
  </si>
  <si>
    <t>操动机构支架 槽钢#12.6×410</t>
  </si>
  <si>
    <t>放电器支架 ∠50×5×560</t>
  </si>
  <si>
    <t>220kV 三极隔离开关支架</t>
  </si>
  <si>
    <t>电压（流）互感器支架 220kV</t>
  </si>
  <si>
    <t>避雷器托架</t>
  </si>
  <si>
    <t>操作机构托架 YD YGL06-87</t>
  </si>
  <si>
    <t>托架 ∠63×5×950</t>
  </si>
  <si>
    <t>托架 ∠63×5×1450</t>
  </si>
  <si>
    <t>35(60)kV绝缘子横担</t>
  </si>
  <si>
    <t>开关底座 YD YGL03-87</t>
  </si>
  <si>
    <t>操作机构托架 GL06(G15)-87</t>
  </si>
  <si>
    <t>铜连接板 GL04(S)-87</t>
  </si>
  <si>
    <t>底座角钢 GL10(408)-87</t>
  </si>
  <si>
    <t>开关底座槽钢</t>
  </si>
  <si>
    <t>避雷针底脚 30×260×260</t>
  </si>
  <si>
    <t>10kV户外隔离开关（三极）</t>
  </si>
  <si>
    <t>避雷器固定架 BL01-87</t>
  </si>
  <si>
    <t>操作机构固定板 8×125×230</t>
  </si>
  <si>
    <t>操作机构固定板 8×230×235</t>
  </si>
  <si>
    <t>操作机构固定板 8×400×640</t>
  </si>
  <si>
    <t>Ｕ形抱箍 Φ300</t>
  </si>
  <si>
    <t>Ｕ形抱箍(Ⅱ) BLJ-10</t>
  </si>
  <si>
    <t>Ｕ形抱箍(Ⅲ) BLJ-10</t>
  </si>
  <si>
    <t>杆顶支座抱箍 单 R192</t>
  </si>
  <si>
    <t>爬梯上双扶手 BLJ-70</t>
  </si>
  <si>
    <t>节</t>
  </si>
  <si>
    <t>爬梯(中) BLJ-69</t>
  </si>
  <si>
    <t>爬梯(下) BLJ-69</t>
  </si>
  <si>
    <t>爬梯用抱箍(Ⅰ) BLJ-71</t>
  </si>
  <si>
    <t>爬梯用支持板(Ⅱ) BLJ-71</t>
  </si>
  <si>
    <t>栅网 δ=2</t>
  </si>
  <si>
    <t>拉杆 Φ25×2000</t>
  </si>
  <si>
    <t>驱鸟装置</t>
  </si>
  <si>
    <t>集油井盖</t>
  </si>
  <si>
    <t>固定钩 扁钢4×25×150</t>
  </si>
  <si>
    <t>卡子 4×25×180</t>
  </si>
  <si>
    <t>加强筋 10×115×385</t>
  </si>
  <si>
    <t>隔离开关操作杆 Φ32</t>
  </si>
  <si>
    <t>销钉 TB1288(16×50)-78</t>
  </si>
  <si>
    <t>安装板 3×500×600</t>
  </si>
  <si>
    <t>设备安装板 8×80×120</t>
  </si>
  <si>
    <t>压板 扁钢5×50×95</t>
  </si>
  <si>
    <t>M形垫板 Φ300</t>
  </si>
  <si>
    <t>接地极 ∠50×5×2500</t>
  </si>
  <si>
    <t>指示灯泡 DC24-10</t>
  </si>
  <si>
    <t>高压熔断器 RW7-10</t>
  </si>
  <si>
    <t>跌落式熔断器 HRW4-10/50</t>
  </si>
  <si>
    <t>熔体 R1-4A</t>
  </si>
  <si>
    <t>熔体 R1-6A</t>
  </si>
  <si>
    <t>熔体 RL1-50A</t>
  </si>
  <si>
    <t>熔体 RS0-50A</t>
  </si>
  <si>
    <t>放电电流记录器</t>
  </si>
  <si>
    <t>轨地电流互感器</t>
  </si>
  <si>
    <t>铝包带 1×10</t>
  </si>
  <si>
    <t>绝缘胶木板 10×200×400</t>
  </si>
  <si>
    <t>黑胶布 20×10m</t>
  </si>
  <si>
    <t>沥青绝缘胶</t>
  </si>
  <si>
    <t>硬铜母线 TMY</t>
  </si>
  <si>
    <t>单模光缆 GYTA53 8芯</t>
  </si>
  <si>
    <t>光缆GYTZA53-8芯  (阻燃型)</t>
  </si>
  <si>
    <t>低烟无卤阻燃光缆 GJFZY 8芯</t>
  </si>
  <si>
    <t>低烟无卤阻燃光缆 GJFZY 12芯</t>
  </si>
  <si>
    <t>低烟无卤阻燃光缆 GJFZY 24芯</t>
  </si>
  <si>
    <t>低烟无卤阻燃光缆 GYTZA 4芯</t>
  </si>
  <si>
    <t>低烟无卤阻燃光缆 GYTZA 8芯</t>
  </si>
  <si>
    <t>低烟无卤阻燃光缆 GYTZA 12芯</t>
  </si>
  <si>
    <t>低烟无卤阻燃光缆 GYTZA 24芯</t>
  </si>
  <si>
    <t>低烟无卤阻燃光缆 GJFZY 48芯</t>
  </si>
  <si>
    <t>单模尾纤 10m 单头</t>
  </si>
  <si>
    <t>单模尾纤 10m 双头</t>
  </si>
  <si>
    <t>低烟无卤阻燃双芯跳纤 10m FC-FC 9/125um</t>
  </si>
  <si>
    <t>高频电缆 HYFQ22 4×4×0.9</t>
  </si>
  <si>
    <t>市话电缆 HYAT53 20×2×0.5</t>
  </si>
  <si>
    <t>市话电缆 HYA 10×2×0.5</t>
  </si>
  <si>
    <t>市话电缆 HYA 20×2×0.5</t>
  </si>
  <si>
    <t>市话电缆 HYA 50×2×0.5</t>
  </si>
  <si>
    <t>市话电缆 HYA 100×2×0.5</t>
  </si>
  <si>
    <t>局用电缆 HJVV 42×0.5</t>
  </si>
  <si>
    <t>同轴缆 SYWV75-7</t>
  </si>
  <si>
    <t>射频电缆 SYV-50-9-4</t>
  </si>
  <si>
    <t>射频同轴电缆  LCF78-50J</t>
  </si>
  <si>
    <t>射频同轴电缆  LCF158-50J</t>
  </si>
  <si>
    <t>聚氯乙烯绝缘屏蔽电线 BVVP 2芯 1mm2</t>
  </si>
  <si>
    <t>非屏蔽对绞电缆 8芯</t>
  </si>
  <si>
    <t>低烟无卤阻燃六类屏蔽跳线 3m</t>
  </si>
  <si>
    <t>低烟无卤阻燃三类非屏蔽对绞电缆  50对</t>
  </si>
  <si>
    <t>低烟无卤阻燃三类非屏蔽对绞电缆 100对</t>
  </si>
  <si>
    <t>低烟无卤阻燃六类4对非屏蔽双绞线  UTP-21-6</t>
  </si>
  <si>
    <t>低烟无卤阻燃六类4对屏蔽双绞线  STP-21-6</t>
  </si>
  <si>
    <t>同轴软线 SFF-75-2</t>
  </si>
  <si>
    <t>无卤低烟阻燃软线 WDZ-RYY 3芯1.5mm2</t>
  </si>
  <si>
    <t>无卤低烟阻燃软线 WDZ-RYY 2芯2.0mm2</t>
  </si>
  <si>
    <t>无卤低烟阻燃软线 WDZ-RYY 6芯2.0mm2</t>
  </si>
  <si>
    <t>无卤低烟阻燃软线 WDZ-RYY 8芯2.0mm2</t>
  </si>
  <si>
    <t>无卤低烟阻燃软线 WDZ-RYY 3芯2.5mm2</t>
  </si>
  <si>
    <t>无卤低烟阻燃软线 WDZ-RYY 4芯2.5mm2</t>
  </si>
  <si>
    <t>无卤低烟阻燃软线 WDZ-RYY 6芯2.5mm2</t>
  </si>
  <si>
    <t>低烟无卤阻燃型铜芯聚氯乙烯屏蔽软线 WDZ-RYYP   4芯1.0mm2</t>
  </si>
  <si>
    <t>低烟无卤阻燃型铜芯聚氯乙烯屏蔽软线 WDZ-RYYP   6芯1.0mm2</t>
  </si>
  <si>
    <t>无卤低烟阻燃软线 WDZ-RYYP 2芯2.5mm2</t>
  </si>
  <si>
    <t>无卤低烟阻燃软线 WDZ-RYYP 3芯2.5mm2</t>
  </si>
  <si>
    <t>拉线环 3×65×57/2.5×65×49</t>
  </si>
  <si>
    <t>拉线抱箍</t>
  </si>
  <si>
    <t>900MHz漏泄电缆卡具普通型</t>
  </si>
  <si>
    <t>900MHz漏缆洞内防火卡具普通型</t>
  </si>
  <si>
    <t>镀锌无头穿钉 M19×800～900</t>
  </si>
  <si>
    <t>Ｕ形穿钉 R90 铁担用</t>
  </si>
  <si>
    <t>镀锌穿钉含帽 M8×50</t>
  </si>
  <si>
    <t>镀锌穿钉含帽 M12×30</t>
  </si>
  <si>
    <t>镀锌穿钉含帽 M12×110</t>
  </si>
  <si>
    <t>镀锌穿钉含帽 M14×70</t>
  </si>
  <si>
    <t>镀锌穿钉含帽 M16×50</t>
  </si>
  <si>
    <t>镀锌穿钉含帽 M16×60</t>
  </si>
  <si>
    <t>镀锌穿钉含帽 M16×300</t>
  </si>
  <si>
    <t>镀锌穿钉含帽 M16×350</t>
  </si>
  <si>
    <t>镀锌穿钉含帽 M16×450</t>
  </si>
  <si>
    <t>镀锌穿钉含帽 M16×500</t>
  </si>
  <si>
    <t>地线盘 10×150×400</t>
  </si>
  <si>
    <t>固定接口尼龙卡带</t>
  </si>
  <si>
    <t>光缆接头盒  ≤60芯</t>
  </si>
  <si>
    <t>光缆终端盒(含接续材料) 20芯</t>
  </si>
  <si>
    <t>光缆终端盒(含接续材料) 28芯</t>
  </si>
  <si>
    <t>光缆终端盒(含接续材料) 48芯</t>
  </si>
  <si>
    <t>热缩端帽(带气门)</t>
  </si>
  <si>
    <t>热缩端帽(不带气门)</t>
  </si>
  <si>
    <t>充油膏接头套管 RSPT-30/12-250</t>
  </si>
  <si>
    <t>充油膏接头套管 RSPTF-30/12-250</t>
  </si>
  <si>
    <t>充油膏接头套管 RSPTF-60/22-500</t>
  </si>
  <si>
    <t>铜接线管 d3×120</t>
  </si>
  <si>
    <t>电缆托架  甲型</t>
  </si>
  <si>
    <t>电缆托架  乙型</t>
  </si>
  <si>
    <t>电缆托架穿钉 M16</t>
  </si>
  <si>
    <t>光缆接头盒减震支架</t>
  </si>
  <si>
    <t>电缆人孔口圈 车行道用</t>
  </si>
  <si>
    <t>积水罐带盖</t>
  </si>
  <si>
    <t>拉力环</t>
  </si>
  <si>
    <t>同轴电缆接头SYWV-75-7</t>
  </si>
  <si>
    <t>终端头卡子 1.5×20</t>
  </si>
  <si>
    <t>终端头卡子 1.5×32</t>
  </si>
  <si>
    <t>终端头卡子 1.5×40</t>
  </si>
  <si>
    <t>终端头卡子 3×50</t>
  </si>
  <si>
    <t>终端头卡子 3×80</t>
  </si>
  <si>
    <t>中频电缆插头 SYV-75-5-2</t>
  </si>
  <si>
    <t>光缆绝缘盒</t>
  </si>
  <si>
    <t>电缆绝缘节</t>
  </si>
  <si>
    <t>光电缆保护钢槽 80×45</t>
  </si>
  <si>
    <t>光电缆保护钢槽 100×50</t>
  </si>
  <si>
    <t>光电缆保护钢槽 120×55</t>
  </si>
  <si>
    <t>光电缆保护钢槽  200×150</t>
  </si>
  <si>
    <t>电缆挂钩 25</t>
  </si>
  <si>
    <t>室内分线盒 NF-1 10对</t>
  </si>
  <si>
    <t>室内分线盒 NF-1 20对</t>
  </si>
  <si>
    <t>室内分线盒 NF-1 50对</t>
  </si>
  <si>
    <t>室内分线盒 NF-1 100对</t>
  </si>
  <si>
    <t>终端电缆盒 HZ-6附配线连接管及一个基础</t>
  </si>
  <si>
    <t>主槽道或过桥槽道 210×450</t>
  </si>
  <si>
    <t>主槽道或过桥槽道 210×650</t>
  </si>
  <si>
    <t>汇流条槽道 270×120</t>
  </si>
  <si>
    <t>光纤走线槽240mm×100mm</t>
  </si>
  <si>
    <t>交流电源插座</t>
  </si>
  <si>
    <t>电缆卡环</t>
  </si>
  <si>
    <t>终端支架</t>
  </si>
  <si>
    <t>接头固定夹(带螺栓) 3×30×160</t>
  </si>
  <si>
    <t>7/8馈线接地卡</t>
  </si>
  <si>
    <t>馈线接头</t>
  </si>
  <si>
    <t>900M漏缆接头</t>
  </si>
  <si>
    <t>漏缆终端负载（G网）</t>
  </si>
  <si>
    <t>漏缆直流阻断器</t>
  </si>
  <si>
    <t>漏缆接地件</t>
  </si>
  <si>
    <t>钢管塔</t>
  </si>
  <si>
    <t>单根馈线固定卡子</t>
  </si>
  <si>
    <t>环氧酚醛玻璃布板 3240 δ=8</t>
  </si>
  <si>
    <t>金属软管 D25</t>
  </si>
  <si>
    <t>金属软管接头</t>
  </si>
  <si>
    <t>室内镀锌钢槽 宽+高=150 δ=1.5</t>
  </si>
  <si>
    <t>室内镀锌钢槽 宽+高=200 δ=1.5</t>
  </si>
  <si>
    <t>室内镀锌钢槽 宽+高=400 δ=1.5</t>
  </si>
  <si>
    <t>室内电缆防护钢槽托臂 宽400</t>
  </si>
  <si>
    <t>室内电缆防护钢槽吊架 宽200</t>
  </si>
  <si>
    <t>室内电缆防护钢槽吊架 宽400</t>
  </si>
  <si>
    <t>六类非屏蔽8位模块式信息插座 双口（含面板）</t>
  </si>
  <si>
    <t>信息插座底盒</t>
  </si>
  <si>
    <t>室内电缆防护钢槽吊架 宽700</t>
  </si>
  <si>
    <t>室内电缆防护钢槽托臂 宽700</t>
  </si>
  <si>
    <t>室内镀锌钢槽 宽+高=600 δ=2.0</t>
  </si>
  <si>
    <t>PDP屏/LCD屏吊架</t>
  </si>
  <si>
    <t>PDP屏/LCD屏支架</t>
  </si>
  <si>
    <t>LED屏吊装结构件</t>
  </si>
  <si>
    <t>LED屏壁装结构件</t>
  </si>
  <si>
    <t>有柱雨棚吊杆法兰(上)</t>
  </si>
  <si>
    <t>有柱雨棚吊杆法兰(下)</t>
  </si>
  <si>
    <t>有柱雨棚吊杆</t>
  </si>
  <si>
    <t>抱柱安装件</t>
  </si>
  <si>
    <t>室内镀锌钢槽 宽+高=400 δ=1.5（带两块隔板）</t>
  </si>
  <si>
    <t>室内镀锌钢槽 宽+高=600 δ=2.0（带两块隔板）</t>
  </si>
  <si>
    <t>室内镀锌钢槽 宽+高=800 δ=2.0（带两块隔板）</t>
  </si>
  <si>
    <t>信号电缆 PY22 250V 4芯</t>
  </si>
  <si>
    <t>信号电缆 PTYA23 (PTYAH23)型 6芯</t>
  </si>
  <si>
    <t>信号电缆 PTYA23 (PTYAH23)型 8芯</t>
  </si>
  <si>
    <t>信号电缆 PTYA23 (PTYAH23)型 9芯</t>
  </si>
  <si>
    <t>信号电缆 PTYA23 (PTYAH23)型 16芯</t>
  </si>
  <si>
    <t>信号电缆 PTYL23 (PTYLH23)型 21芯</t>
  </si>
  <si>
    <t>信号电缆 PTYL23 (PTYLH23)型 24芯</t>
  </si>
  <si>
    <t>信号电缆 PTYL23 (PTYLH23)型 28芯</t>
  </si>
  <si>
    <t>内屏蔽数字信号电缆 SPTYWPA23-16B 芯</t>
  </si>
  <si>
    <t>内屏蔽数字信号电缆 SPTYWPL23-16B 芯</t>
  </si>
  <si>
    <t>数字信号电缆SPTYWA23型 4芯</t>
  </si>
  <si>
    <t>数字信号电缆SPTYWA23型 8芯</t>
  </si>
  <si>
    <t>数字信号电缆SPTYWA23型 12芯</t>
  </si>
  <si>
    <t>数字信号电缆SPTYWL23型 4芯</t>
  </si>
  <si>
    <t>数字信号电缆SPTYWL23型 12芯</t>
  </si>
  <si>
    <t>信号软电缆 PVVR 250V 3芯</t>
  </si>
  <si>
    <t>7.5屏蔽网 RAY-101-7.5</t>
  </si>
  <si>
    <t>屏蔽纽绞电缆 RVVP－1对</t>
  </si>
  <si>
    <t>网线－超五类线</t>
  </si>
  <si>
    <t>阻燃屏蔽线 ZR-BVVP 2×0.3mm2</t>
  </si>
  <si>
    <t>阻燃屏蔽线 ZR-BVVP 2×16×0.15mm2</t>
  </si>
  <si>
    <t>阻燃对绞屏蔽线 ZR-RVVP型 2×23×0.15mm2</t>
  </si>
  <si>
    <t>阻燃屏蔽线 ZR-BVP 2×0.4mm2</t>
  </si>
  <si>
    <t>阻燃扭绞线 ZR-RVS 2×32/0.2mm2</t>
  </si>
  <si>
    <t>阻燃屏蔽线ZR-BVVR  2×0.3mm2</t>
  </si>
  <si>
    <t>阻燃信号电缆 ZR-PTY03 500V 6芯</t>
  </si>
  <si>
    <t>阻燃信号电缆 ZR-PTY03 500V 24芯</t>
  </si>
  <si>
    <t>阻燃信号电缆 ZR-PTY03 500V 28芯</t>
  </si>
  <si>
    <t>阻燃信号电缆 ZR-PTY03 500V 30芯</t>
  </si>
  <si>
    <t>阻燃信号电缆 ZR-PTY03 500V 33芯</t>
  </si>
  <si>
    <t>阻燃信号软电缆 ZR-PVVR 250V 3芯</t>
  </si>
  <si>
    <t>阻燃信号软电缆 ZR-PVVR 250V 33芯</t>
  </si>
  <si>
    <t>阻燃型微机配线电缆 16对 0.75mm2</t>
  </si>
  <si>
    <t>阻燃型微机配线电缆 24对 0.75mm2</t>
  </si>
  <si>
    <t>金属护套环保型接地铜缆 35mm2</t>
  </si>
  <si>
    <t>开关柱</t>
  </si>
  <si>
    <t>点灯监测单元（站内）</t>
  </si>
  <si>
    <t>台</t>
  </si>
  <si>
    <t>LED型 航空障碍灯</t>
  </si>
  <si>
    <t>铝合金色灯信号机构 XSL-A2 矮型二显示</t>
  </si>
  <si>
    <t>铝合金色灯信号机构 XSL-A3 矮型三显示</t>
  </si>
  <si>
    <t>铝合金色灯信号机构 XSL-G2 高柱二显示</t>
  </si>
  <si>
    <t>铝合金色灯信号机构 XSL-G3 高柱三显示</t>
  </si>
  <si>
    <t>铝合金引导信号机构 XSL-Y</t>
  </si>
  <si>
    <t>铝合金高柱复示信号机构 XSL-GF</t>
  </si>
  <si>
    <t>铝合金进站灯列式复示信号机构 XSL-F1</t>
  </si>
  <si>
    <t>色灯信号机镀锌梯子 8.5m</t>
  </si>
  <si>
    <t>架</t>
  </si>
  <si>
    <t>色灯信号机镀锌梯子 10m</t>
  </si>
  <si>
    <t>色灯信号机镀锌梯子 11m</t>
  </si>
  <si>
    <t>色灯信号机引入管 高柱用 直</t>
  </si>
  <si>
    <t>色灯信号机引入管 矮型用 单曲</t>
  </si>
  <si>
    <t>铁路信号灯泡 TX12-25/25A</t>
  </si>
  <si>
    <t>钢筋混凝土信号机柱 Φ150×8.5m</t>
  </si>
  <si>
    <t>钢筋混凝土信号机柱 Φ150×10m</t>
  </si>
  <si>
    <t>钢筋混凝土信号机柱 Φ150×11m</t>
  </si>
  <si>
    <t>机车信号通断标</t>
  </si>
  <si>
    <t>接续标</t>
  </si>
  <si>
    <t>数码牌</t>
  </si>
  <si>
    <t>机车信号环线固定卡</t>
  </si>
  <si>
    <t>机车信号接收线圈 JY·J</t>
  </si>
  <si>
    <t>速度传感器安装板</t>
  </si>
  <si>
    <t>点式应答器安装用卡具</t>
  </si>
  <si>
    <t>电缆固定卡具</t>
  </si>
  <si>
    <t>防护套管 内径18mm</t>
  </si>
  <si>
    <t>驼峰无线机车信号、遥控车载控制主机 安装支架</t>
  </si>
  <si>
    <t>驼峰无线机车信号、遥控车载天线 安装支架</t>
  </si>
  <si>
    <t>驼峰无线机车遥控车载连接线缆（含插接件）</t>
  </si>
  <si>
    <t>驼峰无线机车信号、遥控车载应答器 连接线缆（含插接件）</t>
  </si>
  <si>
    <t>应答器车载设备天线安装支架</t>
  </si>
  <si>
    <t>驼峰无线机车信号、遥控地面主机安装支架</t>
  </si>
  <si>
    <t>驼峰无线机车信号、遥控楼内天线安装支架</t>
  </si>
  <si>
    <t>驼峰无线机车遥控地面连接线缆（含插接件）</t>
  </si>
  <si>
    <t>机车信号测试区段接收线圈安装固定架</t>
  </si>
  <si>
    <t>机车信号发码箱安放小方桌 800×500×800</t>
  </si>
  <si>
    <t>多功能熔丝报警器</t>
  </si>
  <si>
    <t>30件插接件</t>
  </si>
  <si>
    <t>插头 DB-25</t>
  </si>
  <si>
    <t>插头 DB-9</t>
  </si>
  <si>
    <t>插座板</t>
  </si>
  <si>
    <t>组合架侧面配线槽道 50×35</t>
  </si>
  <si>
    <t>铝合金走线架 宽400mm</t>
  </si>
  <si>
    <t>热镀锌电缆走线架</t>
  </si>
  <si>
    <t>弹簧端子组合柜</t>
  </si>
  <si>
    <t>室外变压器箱用断路器 SA-B型</t>
  </si>
  <si>
    <t>组合用断路器 SA2-G2型 220V</t>
  </si>
  <si>
    <t>组合用断路器 SA4－G2型 380V</t>
  </si>
  <si>
    <t>组合用断路器 SA2－H2型 DC24/220V</t>
  </si>
  <si>
    <t>组合用断路器 SA3－H3型 DC220V</t>
  </si>
  <si>
    <t>SA型断路器安装底板</t>
  </si>
  <si>
    <t>断路器防护罩</t>
  </si>
  <si>
    <t>组合排架报警器</t>
  </si>
  <si>
    <t>30位插座板</t>
  </si>
  <si>
    <t>计算机联锁接口柜</t>
  </si>
  <si>
    <t>计算机联锁接口插接件</t>
  </si>
  <si>
    <t>电缆成端柜</t>
  </si>
  <si>
    <t>轨道变压器 BG-50</t>
  </si>
  <si>
    <t>中继变压器 BZ-4A</t>
  </si>
  <si>
    <t>97型轨道变压器 BG3-130/25（50HZ）</t>
  </si>
  <si>
    <t>氧化锌压敏电阻器 68V/5kA</t>
  </si>
  <si>
    <t>固定抽头限流电阻 RJ-2.2/220</t>
  </si>
  <si>
    <t>固定抽头限流电阻 RJ-4.4/440</t>
  </si>
  <si>
    <t>Ａ型插座 CB2-30K</t>
  </si>
  <si>
    <t>钮子开关 KN2-2</t>
  </si>
  <si>
    <t>熔断器座</t>
  </si>
  <si>
    <t>端子 二柱瓷座</t>
  </si>
  <si>
    <t>冷压端子 Φ6孔</t>
  </si>
  <si>
    <t>冷压端子 Φ8孔</t>
  </si>
  <si>
    <t>室内继电器名牌</t>
  </si>
  <si>
    <t>室内组合名牌</t>
  </si>
  <si>
    <t>室内组合排架名牌</t>
  </si>
  <si>
    <t>分线盘端子配线名牌</t>
  </si>
  <si>
    <t>室外箱盒端子配线名牌</t>
  </si>
  <si>
    <t>电缆去向名牌</t>
  </si>
  <si>
    <t>信号配线软套管 d6×1</t>
  </si>
  <si>
    <t>线号机打字色带</t>
  </si>
  <si>
    <t>塑料配线名牌</t>
  </si>
  <si>
    <t>电动转辙机安装装置内锁闭 （60kg/m、9、12号、AT轨、2个牵引点）</t>
  </si>
  <si>
    <t>电动转辙机安装装置内锁闭  （60kg/m、9、12号、AT轨、1个牵引点）</t>
  </si>
  <si>
    <t>电液转辙机安装装置 （50kg/m、9、12号、1个牵引点）</t>
  </si>
  <si>
    <t>电液转辙机安装装置内锁闭 （60kg/m、9、12号、AT轨、2个牵引点）</t>
  </si>
  <si>
    <t>电液转辙机安装装置 （60kg/m、9、12号、AT轨、2个牵引点）</t>
  </si>
  <si>
    <t>电液道岔外锁闭装置 （60kg/m、9、12号、AT轨、2个牵引点）</t>
  </si>
  <si>
    <t>道岔转换电路用整流盒</t>
  </si>
  <si>
    <t>高强度钢轨绝缘 43kg</t>
  </si>
  <si>
    <t>高强度钢轨绝缘 50kg</t>
  </si>
  <si>
    <t>高强度钢轨绝缘 60kg</t>
  </si>
  <si>
    <t>道岔连接杆绝缘</t>
  </si>
  <si>
    <t>钢轨引接线 1×19 L=1600</t>
  </si>
  <si>
    <t>扼流变压器钢轨引线 1.2×37×2 L=1600</t>
  </si>
  <si>
    <t>扼流变压器钢轨引线 1.2×37×2 L=3600</t>
  </si>
  <si>
    <t>扼流变压器等阻、冗余、防腐钢轨引线 (400A)二长二短</t>
  </si>
  <si>
    <t>扼流变压器等阻、冗余、防腐钢轨引线 (600A)二长二短</t>
  </si>
  <si>
    <t>扼流变压器等阻、冗余、防腐钢轨引线 (800A)二长二短</t>
  </si>
  <si>
    <t>护套钢轨引接线 Φ1.2×19 L=1600</t>
  </si>
  <si>
    <t>护套钢轨引接线 φ1.2×19 L=3600</t>
  </si>
  <si>
    <t>钢丝绳道岔跳线 φ9.3 L=900</t>
  </si>
  <si>
    <t>钢丝绳道岔跳线 φ9.3 L=1500</t>
  </si>
  <si>
    <t>钢丝绳道岔跳线 φ9.3 L=3000</t>
  </si>
  <si>
    <t>护套道岔跳线 φ1.2×19 L=900</t>
  </si>
  <si>
    <t>护套道岔跳线 φ1.2×19 L=1500</t>
  </si>
  <si>
    <t>护套道岔跳线 φ1.2×19 L=3000</t>
  </si>
  <si>
    <t>钢轨接续线 Φ5×940</t>
  </si>
  <si>
    <t>钢轨接续线 Φ5×1100</t>
  </si>
  <si>
    <t>挤压焊接式钢轨接续线</t>
  </si>
  <si>
    <t>扼流变压器中点连接板≤1000A</t>
  </si>
  <si>
    <t>中间连接线 φ1.2×37×2 L=2000</t>
  </si>
  <si>
    <t>中间连接线 φ1.2×37×2 L=5000</t>
  </si>
  <si>
    <t>中间连接线 φ1.2×61×2 L=25000</t>
  </si>
  <si>
    <t>钢丝绳抗流连接线 φ9.3 L=3600</t>
  </si>
  <si>
    <t>钢丝绳卡具 混凝土枕通用</t>
  </si>
  <si>
    <t>室内接地汇流箱(防雷用)</t>
  </si>
  <si>
    <t>10mm2多股绝缘铜线</t>
  </si>
  <si>
    <t>道岔转辙机用整流盒 5A（含电阻）</t>
  </si>
  <si>
    <t>补偿电容防护盒</t>
  </si>
  <si>
    <t>ZPW-2000  补偿电容 CBG1</t>
  </si>
  <si>
    <t>轨枕式补偿电容防护盒</t>
  </si>
  <si>
    <t>驼峰用点式应答器</t>
  </si>
  <si>
    <t>终端电缆盒 HZ-12</t>
  </si>
  <si>
    <t>电缆成端盒</t>
  </si>
  <si>
    <t>卡箍</t>
  </si>
  <si>
    <t>分支型电缆接续材料</t>
  </si>
  <si>
    <t>干线型电缆接续材料</t>
  </si>
  <si>
    <t>模胎</t>
  </si>
  <si>
    <t>U形连接卡</t>
  </si>
  <si>
    <t>屏蔽连接用铜套管</t>
  </si>
  <si>
    <t>屏蔽连接用铜端头</t>
  </si>
  <si>
    <t>免维护地下电缆接续盒 HDM-T</t>
  </si>
  <si>
    <t>免维护地下电缆接续盒 HDM-T-P</t>
  </si>
  <si>
    <t>防盗型SMC复合材料 变压器箱XB1</t>
  </si>
  <si>
    <t>防盗型SMC复合材料 变压器箱XB2</t>
  </si>
  <si>
    <t>防盗型SMC复合材料 电缆盒HZ-12</t>
  </si>
  <si>
    <t>防盗型SMC复合材料 电缆盒HZ-24</t>
  </si>
  <si>
    <t>防盗型SMC复合材料 电缆盒HF4</t>
  </si>
  <si>
    <t>防盗型SMC复合材料 电缆盒HF7</t>
  </si>
  <si>
    <t>信号锁 40</t>
  </si>
  <si>
    <t>把</t>
  </si>
  <si>
    <t>聚氯乙烯软管电器套管 1.5×0.4</t>
  </si>
  <si>
    <t>阻燃型复合材料电缆槽 80直型</t>
  </si>
  <si>
    <t>阻燃型复合材料电缆槽 120直型</t>
  </si>
  <si>
    <t>阻燃型复合材料电缆槽 180直型</t>
  </si>
  <si>
    <t>阻燃型复合材料电缆槽 270直型</t>
  </si>
  <si>
    <t>阻燃型复合材料电缆槽 420直型</t>
  </si>
  <si>
    <t>混凝土电缆槽道盖板（1000×700×120）</t>
  </si>
  <si>
    <t>防火防鼠堵料</t>
  </si>
  <si>
    <t>UPVC-PVR钢轨连接线防护管 φ100</t>
  </si>
  <si>
    <t>室内宽型镀锌走线槽（含盖）200×600</t>
  </si>
  <si>
    <t>镀锌角型铁拉板</t>
  </si>
  <si>
    <t>室内镀锌走线槽（含盖）150×200</t>
  </si>
  <si>
    <t>方向盒热镀锌金属基础支架　地面用</t>
  </si>
  <si>
    <t>终端盒热镀锌金属基础支架   地面用</t>
  </si>
  <si>
    <t>变压器箱热镀锌金属基础支架   地面用</t>
  </si>
  <si>
    <t>扼流变压器箱热镀锌金属基础支架　地面用</t>
  </si>
  <si>
    <t>矮型信号机金属基础支架　一机构   地面用</t>
  </si>
  <si>
    <t>柱式信号机连接器　一机构　地面用</t>
  </si>
  <si>
    <t>机柜镀锌底座支架</t>
  </si>
  <si>
    <t>固定连接线小水泥枕</t>
  </si>
  <si>
    <t>双灯双丝定焦盘灯组（含灯泡）</t>
  </si>
  <si>
    <t>固定卡具   各型</t>
  </si>
  <si>
    <t>热镀锌金属卡具   各型</t>
  </si>
  <si>
    <t>弹簧端子用插接线帽</t>
  </si>
  <si>
    <t>四芯阻燃屏蔽线 4×16×0.15mm2</t>
  </si>
  <si>
    <t>RE500凝固胶</t>
  </si>
  <si>
    <t>筒</t>
  </si>
  <si>
    <t>泡沫填充剂(0.4kg)</t>
  </si>
  <si>
    <t>防磨卡</t>
  </si>
  <si>
    <t>塑料固线器</t>
  </si>
  <si>
    <t>开孔器 40mm</t>
  </si>
  <si>
    <t>不锈钢喉箍</t>
  </si>
  <si>
    <t>二维码标牌</t>
  </si>
  <si>
    <t>信号设备反光型标牌</t>
  </si>
  <si>
    <t>标志牌粉末渗锌金属支架 (隧道壁)</t>
  </si>
  <si>
    <t>电气控制柜热镀锌金属基础</t>
  </si>
  <si>
    <t>隔离变压器热镀锌金属支架</t>
  </si>
  <si>
    <t>防盗型接线盒</t>
  </si>
  <si>
    <t>接线盒热镀锌金属支架</t>
  </si>
  <si>
    <t>防松螺母M8~10</t>
  </si>
  <si>
    <t>防松螺母M12</t>
  </si>
  <si>
    <t>防松螺母M16</t>
  </si>
  <si>
    <t>化学锚栓含帽（M10×200～250）</t>
  </si>
  <si>
    <t>矮型信号机金属基础支架　双机构   地面用</t>
  </si>
  <si>
    <t>黑色橡胶输水胶管Φ38</t>
  </si>
  <si>
    <t>黑色橡胶输水胶管Φ60</t>
  </si>
  <si>
    <t>热缩管Φ100</t>
  </si>
  <si>
    <t>胶堵</t>
  </si>
  <si>
    <t>铜螺栓带帽</t>
  </si>
  <si>
    <t>金属护套环保型接地铜缆 50mm2</t>
  </si>
  <si>
    <t>隔栅</t>
  </si>
  <si>
    <t>环氧树脂板</t>
  </si>
  <si>
    <t>高强度尼龙螺栓</t>
  </si>
  <si>
    <t>高强尼龙螺栓带帽 M12×50</t>
  </si>
  <si>
    <t>波纹管</t>
  </si>
  <si>
    <t>胶管接头 电动转辙机用</t>
  </si>
  <si>
    <t>阻燃屏蔽信号软电缆 32芯</t>
  </si>
  <si>
    <t>接地电缆 阻燃型 6mm2</t>
  </si>
  <si>
    <t>接地电缆 阻燃型25mm2</t>
  </si>
  <si>
    <t>接地电缆 阻燃型50mm2</t>
  </si>
  <si>
    <t>接地电缆 阻燃型1.5mm2</t>
  </si>
  <si>
    <t>接地电缆 阻燃型4mm2</t>
  </si>
  <si>
    <t>防水胶泥</t>
  </si>
  <si>
    <t>防火胶泥</t>
  </si>
  <si>
    <t>1/2英寸超柔跳线</t>
  </si>
  <si>
    <t>防火胶带</t>
  </si>
  <si>
    <t>不锈钢U型卡具</t>
  </si>
  <si>
    <t>不锈钢金属软管Φ50</t>
  </si>
  <si>
    <t>镀锌视频钢杆 六棱　8m</t>
  </si>
  <si>
    <t>光电缆警示牌</t>
  </si>
  <si>
    <t>其他材料费</t>
  </si>
  <si>
    <t>元</t>
  </si>
  <si>
    <t>运输折旧费</t>
  </si>
  <si>
    <t>水</t>
  </si>
  <si>
    <t>电</t>
  </si>
  <si>
    <t>kWh</t>
  </si>
  <si>
    <t>五金配件</t>
  </si>
  <si>
    <t>履带式液压单斗挖掘机 ≤0.6m3</t>
  </si>
  <si>
    <t>台班</t>
  </si>
  <si>
    <t>履带式液压单斗挖掘机 ≤0.8m3</t>
  </si>
  <si>
    <t>履带式液压单斗挖掘机 ≤1.0m3</t>
  </si>
  <si>
    <t>履带式液压单斗挖掘机 ≤1.4m3</t>
  </si>
  <si>
    <t>履带式液压单斗挖掘机 ≤2.0m3</t>
  </si>
  <si>
    <t>履带式液压单斗挖掘机 ≤2.5m3</t>
  </si>
  <si>
    <t>履带式液压破碎锤 ≤200kW</t>
  </si>
  <si>
    <t>履带式推土机 ≤75kW</t>
  </si>
  <si>
    <t>履带式推土机 ≤105kW</t>
  </si>
  <si>
    <t>履带式推土机 ≤135kW</t>
  </si>
  <si>
    <t>履带式推土机 ≤165kW</t>
  </si>
  <si>
    <t>轮胎式拖拉机 ≤21kW</t>
  </si>
  <si>
    <t>轮胎式拖拉机 ≤41kW</t>
  </si>
  <si>
    <t>静作用压路机 ≤8t</t>
  </si>
  <si>
    <t>静作用压路机 ≤12t</t>
  </si>
  <si>
    <t>静作用压路机 ≤15t</t>
  </si>
  <si>
    <t>自行式振动压路机 ≤0.7t</t>
  </si>
  <si>
    <t>自行式振动压路机 ≤2t</t>
  </si>
  <si>
    <t>自行式振动压路机 ≤8t</t>
  </si>
  <si>
    <t>自行式振动压路机 ≤15t</t>
  </si>
  <si>
    <t>自行式振动压路机 ≤25t</t>
  </si>
  <si>
    <t>双钢轮振动压路机≤15t</t>
  </si>
  <si>
    <t>冲击式压路机 ≤25t</t>
  </si>
  <si>
    <t>轮胎式压路机 ≤25t</t>
  </si>
  <si>
    <t>前钢后胶组合式压路机 ≤3t</t>
  </si>
  <si>
    <t>平地机 ≤120kW</t>
  </si>
  <si>
    <t>蛙式夯 ≤250Nm</t>
  </si>
  <si>
    <t>蛙式夯 ≤700Nm</t>
  </si>
  <si>
    <t>内燃打夯机≤7kW</t>
  </si>
  <si>
    <t>拖式双筒羊足碾 ≤6t</t>
  </si>
  <si>
    <t>旋耕机 ≤75kW</t>
  </si>
  <si>
    <t>稳定土拌合机 ≤120kW</t>
  </si>
  <si>
    <t>稳定土拌合站 ≤300t/h</t>
  </si>
  <si>
    <t>沥青混凝土摊铺机 ≤8m</t>
  </si>
  <si>
    <t>沥青混凝土摊铺机 ≤13m</t>
  </si>
  <si>
    <t>沥青混凝土搅拌站 ≤320t/h</t>
  </si>
  <si>
    <t>汽车式沥青喷洒机 ≤3500L</t>
  </si>
  <si>
    <t>液压喷播植草机 ≤4000L</t>
  </si>
  <si>
    <t>轮胎式装载机 ≤2m3</t>
  </si>
  <si>
    <t>轮胎式装载机 ≤2.5m3</t>
  </si>
  <si>
    <t>轮胎式装载机 ≤3m3</t>
  </si>
  <si>
    <t>履带式装载机 ≤2m3</t>
  </si>
  <si>
    <t>履带式电动潜孔钻机 d≤150</t>
  </si>
  <si>
    <t>动力头式液压钻机 ≤400Nm</t>
  </si>
  <si>
    <t>导向水平钻孔拉管机</t>
  </si>
  <si>
    <t>地质勘探钻机 深度≤100m</t>
  </si>
  <si>
    <t>气腿式凿岩机</t>
  </si>
  <si>
    <t>气镐 ≤10kg</t>
  </si>
  <si>
    <t>液压锻钎机 d≤90</t>
  </si>
  <si>
    <t>气动锻钎机 d≤90</t>
  </si>
  <si>
    <t>钻头磨床</t>
  </si>
  <si>
    <t>轮胎式三臂液压凿岩台车</t>
  </si>
  <si>
    <t>装药台车</t>
  </si>
  <si>
    <t>铁路双线隧道衬砌智能养护台车</t>
  </si>
  <si>
    <t>隧道液压多功能钻机（带预报系统）</t>
  </si>
  <si>
    <t>升降平台车  8t载货汽车改制</t>
  </si>
  <si>
    <t>三臂拱架安装机</t>
  </si>
  <si>
    <t>悬臂式隧道掘进机 ≤260kW</t>
  </si>
  <si>
    <t>轴流通风机 ≤40kW-480m3/min</t>
  </si>
  <si>
    <t>轴流通风机 ≤150kW-1250m3/min</t>
  </si>
  <si>
    <t>电动空气压缩机 ≤0.3m3/min</t>
  </si>
  <si>
    <t>电动空气压缩机 ≤0.6m3/min</t>
  </si>
  <si>
    <t>电动空气压缩机 ≤1m3/min</t>
  </si>
  <si>
    <t>电动空气压缩机 ≤3m3/min</t>
  </si>
  <si>
    <t>电动空气压缩机 ≤6m3/min</t>
  </si>
  <si>
    <t>电动空气压缩机 ≤9m3/min</t>
  </si>
  <si>
    <t>电动空气压缩机 ≤20m3/min</t>
  </si>
  <si>
    <t>电动空气压缩机 ≤30m3/min</t>
  </si>
  <si>
    <t>内燃空气压缩机 ≤3m3/min</t>
  </si>
  <si>
    <t>内燃空气压缩机 ≤9m3/min</t>
  </si>
  <si>
    <t>电动螺杆空气压缩机 ≤20m3/min</t>
  </si>
  <si>
    <t>汽油发电机组 ≤1.5kW</t>
  </si>
  <si>
    <t>汽油发电机组 ≤10kW</t>
  </si>
  <si>
    <t>柴油发电机组 ≤50kW</t>
  </si>
  <si>
    <t>柴油发电机组 ≤60kW</t>
  </si>
  <si>
    <t>工业燃油锅炉 ≤4t/h</t>
  </si>
  <si>
    <t>电力变压器 ≤320kVA</t>
  </si>
  <si>
    <t>电力变压器 ≤560kVA</t>
  </si>
  <si>
    <t>爬升式塔式起重机 ≤50m×1.2/6t,h=40m</t>
  </si>
  <si>
    <t>爬升式塔式起重机≤320tm</t>
  </si>
  <si>
    <t>汽车起重机 ≤5t</t>
  </si>
  <si>
    <t>汽车起重机 ≤8t</t>
  </si>
  <si>
    <t>汽车起重机 ≤12t</t>
  </si>
  <si>
    <t>汽车起重机 ≤16t</t>
  </si>
  <si>
    <t>汽车起重机 ≤20t</t>
  </si>
  <si>
    <t>汽车起重机 ≤25t</t>
  </si>
  <si>
    <t>汽车起重机 ≤30t</t>
  </si>
  <si>
    <t>汽车起重机 ≤50t</t>
  </si>
  <si>
    <t>汽车起重机 ≤75t</t>
  </si>
  <si>
    <t>汽车起重机 ≤100t</t>
  </si>
  <si>
    <t>汽车起重机 ≤150t</t>
  </si>
  <si>
    <t>汽车起重机 ≤200t</t>
  </si>
  <si>
    <t>轮胎式起重机 ≤16t</t>
  </si>
  <si>
    <t>履带式起重机 ≤15t</t>
  </si>
  <si>
    <t>履带式起重机 ≤25t</t>
  </si>
  <si>
    <t>履带式起重机 ≤40t</t>
  </si>
  <si>
    <t>履带式起重机 ≤50t</t>
  </si>
  <si>
    <t>轨道式内燃起重机 ≤16t</t>
  </si>
  <si>
    <t>门式起重机 ≤5t-22m</t>
  </si>
  <si>
    <t>门式起重机 ≤10t-22m</t>
  </si>
  <si>
    <t>门式起重机 ≤20t-22m</t>
  </si>
  <si>
    <t>门式起重机 ≤50t-40m</t>
  </si>
  <si>
    <t>门式起重机 ≤80t-36m</t>
  </si>
  <si>
    <t>门式起重机 ≤75t-36m</t>
  </si>
  <si>
    <t>门式起重机 ≤150t-36m</t>
  </si>
  <si>
    <t>斜撑桅杆式起重机 ≤20t</t>
  </si>
  <si>
    <t>少先式起重机 ≤1t</t>
  </si>
  <si>
    <t>内燃叉车 ≤1t</t>
  </si>
  <si>
    <t>内燃叉车 ≤3t</t>
  </si>
  <si>
    <t>内燃叉车 ≤6t</t>
  </si>
  <si>
    <t>电动葫芦 ≤2t-9m</t>
  </si>
  <si>
    <t>电动葫芦 ≤3t-9m</t>
  </si>
  <si>
    <t>电动葫芦 ≤5t-9m</t>
  </si>
  <si>
    <t>单筒慢速卷扬机 ≤10kN</t>
  </si>
  <si>
    <t>单筒慢速卷扬机 ≤20kN</t>
  </si>
  <si>
    <t>单筒慢速卷扬机 ≤30kN</t>
  </si>
  <si>
    <t>单筒慢速卷扬机 ≤50kN</t>
  </si>
  <si>
    <t>单筒快速卷扬机 ≤10kN</t>
  </si>
  <si>
    <t>单筒快速卷扬机 ≤20kN</t>
  </si>
  <si>
    <t>单筒快速卷扬机 ≤30kN</t>
  </si>
  <si>
    <t>双筒慢速卷扬机 ≤30kN</t>
  </si>
  <si>
    <t>双筒慢速卷扬机 ≤50kN</t>
  </si>
  <si>
    <t>双笼升降机 24人-2t ≤220m</t>
  </si>
  <si>
    <t>液压滑升机械（含50个千斤顶）</t>
  </si>
  <si>
    <t>液压千斤顶 ≤200t</t>
  </si>
  <si>
    <t>液压千斤顶 ≤500t</t>
  </si>
  <si>
    <t>载重汽车 ≤2t</t>
  </si>
  <si>
    <t>载重汽车 ≤4t</t>
  </si>
  <si>
    <t>载重汽车 ≤6t</t>
  </si>
  <si>
    <t>载重汽车 ≤8t</t>
  </si>
  <si>
    <t>载重汽车 ≤10t</t>
  </si>
  <si>
    <t>载重汽车 ≤15t</t>
  </si>
  <si>
    <t>自卸汽车 ≤6t</t>
  </si>
  <si>
    <t>自卸汽车 ≤8t</t>
  </si>
  <si>
    <t>自卸汽车 ≤10t</t>
  </si>
  <si>
    <t>自卸汽车 ≤12t</t>
  </si>
  <si>
    <t>自卸汽车 ≤15t</t>
  </si>
  <si>
    <t>自卸汽车 ≤20t</t>
  </si>
  <si>
    <t>自卸汽车 ≤25t</t>
  </si>
  <si>
    <t>带盖自卸汽车 ≤12t</t>
  </si>
  <si>
    <t>洒水车 ≤5000L</t>
  </si>
  <si>
    <t>洒水车 ≤9600L</t>
  </si>
  <si>
    <t>平板运输车 ≤15t</t>
  </si>
  <si>
    <t>平板运输车 ≤20t</t>
  </si>
  <si>
    <t>小型运输车 ≤1t</t>
  </si>
  <si>
    <t>混凝土搅拌输送车 ≤6m3</t>
  </si>
  <si>
    <t>混凝土搅拌输送车 ≤8m3</t>
  </si>
  <si>
    <t>混凝土搅拌输送车 ≤10m3</t>
  </si>
  <si>
    <t>泥浆运输车 ≤4000L</t>
  </si>
  <si>
    <t>沥青混凝土运输车≤40t</t>
  </si>
  <si>
    <t>内燃机车</t>
  </si>
  <si>
    <t>电力机车</t>
  </si>
  <si>
    <t>轨道车 ≤220kW</t>
  </si>
  <si>
    <t>轨道平车 ≤8t</t>
  </si>
  <si>
    <t>轨道平车 ≤16t</t>
  </si>
  <si>
    <t>轨道平车 ≤60t</t>
  </si>
  <si>
    <t>电气综合试验车</t>
  </si>
  <si>
    <t>带式输送机 ≤10m</t>
  </si>
  <si>
    <t>带式输送机 ≤15m</t>
  </si>
  <si>
    <t>带式输送机 ≤20m</t>
  </si>
  <si>
    <t>内燃拖轮 ≤230kW-150t</t>
  </si>
  <si>
    <t>内燃拖轮 ≤300kW-200t</t>
  </si>
  <si>
    <t>运输驳船 ≤100t</t>
  </si>
  <si>
    <t>运输驳船 ≤300t</t>
  </si>
  <si>
    <t>混凝土搅拌机 ≤250L</t>
  </si>
  <si>
    <t>混凝土搅拌机 ≤400L</t>
  </si>
  <si>
    <t>混凝土搅拌机 ≤600L</t>
  </si>
  <si>
    <t>混凝土搅拌站 ≤50m3/h</t>
  </si>
  <si>
    <t>混凝土搅拌站 ≤60m3/h</t>
  </si>
  <si>
    <t>混凝土搅拌站 ≤100m3/h</t>
  </si>
  <si>
    <t>混凝土搅拌站 ≤120m3/h</t>
  </si>
  <si>
    <t>混凝土插入式振动器</t>
  </si>
  <si>
    <t>混凝土附着式振动器</t>
  </si>
  <si>
    <t>混凝土平板振动器</t>
  </si>
  <si>
    <t>混凝土高频振动器 ≤1.5kW</t>
  </si>
  <si>
    <t>悬挂式提浆整平机</t>
  </si>
  <si>
    <t>混凝土喷射机械手20m3/h</t>
  </si>
  <si>
    <t>混凝土湿喷机 ≤7m3/h</t>
  </si>
  <si>
    <t>注浆用灰浆搅拌机 ≤2×400L</t>
  </si>
  <si>
    <t>液压注浆泵 ≤140L/min</t>
  </si>
  <si>
    <t>注浆制浆一体机 ≤4m3/h</t>
  </si>
  <si>
    <t>气动灌浆机 ≤3m3/h</t>
  </si>
  <si>
    <t>电动灌浆机 ≤3m3/h</t>
  </si>
  <si>
    <t>混凝土泵 ≤30m3/h</t>
  </si>
  <si>
    <t>混凝土泵 ≤60m3/h</t>
  </si>
  <si>
    <t>混凝土泵 ≤80m3/h</t>
  </si>
  <si>
    <t>混凝土输送泵车 ≤60m3/h</t>
  </si>
  <si>
    <t>混凝土输送泵车 ≤75m3/h</t>
  </si>
  <si>
    <t>混凝土输送泵车 ≤85m3/h</t>
  </si>
  <si>
    <t>混凝土布料机 ≤21m</t>
  </si>
  <si>
    <t>灰浆搅拌机 ≤200L</t>
  </si>
  <si>
    <t>灰浆搅拌机 ≤400L</t>
  </si>
  <si>
    <t>灰浆输送泵 ≤3m3/h</t>
  </si>
  <si>
    <t>预拌干混砂浆储料罐≤5m3/h</t>
  </si>
  <si>
    <t>混凝土振动台 ≤2.4m×6.2m</t>
  </si>
  <si>
    <t>预应力钢筋液压张拉设备 ≤650kN</t>
  </si>
  <si>
    <t>预应力钢筋液压张拉设备 ≤900kN</t>
  </si>
  <si>
    <t>预应力钢筋液压张拉设备 ≤1200kN</t>
  </si>
  <si>
    <t>预应力钢筋液压张拉设备 ≤2000kN</t>
  </si>
  <si>
    <t>预应力钢筋液压张拉设备 ≤4000kN</t>
  </si>
  <si>
    <t>液压墙锯机</t>
  </si>
  <si>
    <t>切砖机 ≤5.5kW</t>
  </si>
  <si>
    <t>路面切割机</t>
  </si>
  <si>
    <t>轨道式柴油打桩机 ≤1.8t</t>
  </si>
  <si>
    <t>轨道式柴油打桩机 ≤2.5t</t>
  </si>
  <si>
    <t>振动沉拔桩机 ≤400kN</t>
  </si>
  <si>
    <t>振动沉拔桩机 ≤500kN</t>
  </si>
  <si>
    <t>转盘钻孔机 ≤80kNm</t>
  </si>
  <si>
    <t>转盘钻孔机 ≤200kNm</t>
  </si>
  <si>
    <t>汽车式钻孔机 d≤0.4m</t>
  </si>
  <si>
    <t>汽车式钻孔机 d≤1m</t>
  </si>
  <si>
    <t>汽车式钻孔机 d≤1.5m</t>
  </si>
  <si>
    <t>履带式长螺旋钻孔机 d≤0.4m</t>
  </si>
  <si>
    <t>冲击成孔机 d≤1m</t>
  </si>
  <si>
    <t>冲击成孔机 d≤1.5m</t>
  </si>
  <si>
    <t>浆液喷射搅拌成桩机组（单轴）</t>
  </si>
  <si>
    <t>浆液喷射搅拌成桩机组（双轴）</t>
  </si>
  <si>
    <t>双向搅拌成桩机组 d≤800</t>
  </si>
  <si>
    <t>旋喷注浆成桩机组（单管）</t>
  </si>
  <si>
    <t>旋挖钻机 ≤100kNm</t>
  </si>
  <si>
    <t>旋挖钻机 ≤220kNm</t>
  </si>
  <si>
    <t>旋挖钻机 ≤280kNm</t>
  </si>
  <si>
    <t>旋挖钻机 ≤360kNm</t>
  </si>
  <si>
    <t>单级离心清水泵 ≤12.5m3/h-20m</t>
  </si>
  <si>
    <t>单级离心清水泵 ≤12.5m3/h-32m</t>
  </si>
  <si>
    <t>单级离心清水泵 ≤12.5m3/h-50m</t>
  </si>
  <si>
    <t>单级离心清水泵 ≤25m3/h-20m</t>
  </si>
  <si>
    <t>单级离心清水泵 ≤25m3/h-32m</t>
  </si>
  <si>
    <t>单级离心清水泵 ≤25m3/h-50m</t>
  </si>
  <si>
    <t>单级离心清水泵 ≤50m3/h-38m</t>
  </si>
  <si>
    <t>单级离心清水泵 ≤60m3/h-50m</t>
  </si>
  <si>
    <t>单级离心清水泵 ≤170m3/h-26m</t>
  </si>
  <si>
    <t>单级离心清水泵 ≤280m3/h-29m</t>
  </si>
  <si>
    <t>多级离心清水泵 ≤32m3/h-125m</t>
  </si>
  <si>
    <t>离心式泥浆泵 ≤47m3/h-19m</t>
  </si>
  <si>
    <t>离心式泥浆泵 ≤108m3/h-21m</t>
  </si>
  <si>
    <t>离心式泥浆泵 ≤150m3/h-39m</t>
  </si>
  <si>
    <t>离心式泥浆泵 ≤280m3/h-26m</t>
  </si>
  <si>
    <t>往复式泥浆泵 ≤15m3/h-250m</t>
  </si>
  <si>
    <t>射流泵 ≤45m3/h</t>
  </si>
  <si>
    <t>泥浆搅拌机 ≤150L</t>
  </si>
  <si>
    <t>泥浆搅拌机 ≤2200L</t>
  </si>
  <si>
    <t>水环式真空泵 ≤204m3/h</t>
  </si>
  <si>
    <t>试压泵 ≤25MPa-40L/h</t>
  </si>
  <si>
    <t>高压油泵 ≤63MPa</t>
  </si>
  <si>
    <t>高压油泵 ≤80MPa</t>
  </si>
  <si>
    <t>箱涵顶进设备 ≤1000t</t>
  </si>
  <si>
    <t>箱涵顶进设备 ≤2000t</t>
  </si>
  <si>
    <t>箱涵顶进设备 ≤4000t</t>
  </si>
  <si>
    <t>箱涵顶进设备 ≤5000t</t>
  </si>
  <si>
    <t>单筒慢速卷扬机 ≤100kN</t>
  </si>
  <si>
    <t>挤压法顶管设备 d≤1000</t>
  </si>
  <si>
    <t>工程驳船 ≤400t</t>
  </si>
  <si>
    <t>交流弧焊机 ≤21kVA</t>
  </si>
  <si>
    <t>交流弧焊机 ≤32kVA</t>
  </si>
  <si>
    <t>交流弧焊机 ≤42kVA</t>
  </si>
  <si>
    <t>直流弧焊机 ≤10kW</t>
  </si>
  <si>
    <t>直流弧焊机 ≤20kW</t>
  </si>
  <si>
    <t>直流弧焊机 ≤32kW</t>
  </si>
  <si>
    <t>硅整流弧焊机 ≤42kVA</t>
  </si>
  <si>
    <t>半自动切割机 h≤100</t>
  </si>
  <si>
    <t>氩弧焊机 ≤500A</t>
  </si>
  <si>
    <t>电焊条烘干箱 ≤600×500×750</t>
  </si>
  <si>
    <t>点焊机 ≤100kVA</t>
  </si>
  <si>
    <t>对焊机 ≤75kVA</t>
  </si>
  <si>
    <t>对焊机 ≤100kVA</t>
  </si>
  <si>
    <t>光纤熔接机</t>
  </si>
  <si>
    <t>塑料管热熔对接焊机 d≤100</t>
  </si>
  <si>
    <t>塑料管热熔对接焊机 d≤200</t>
  </si>
  <si>
    <t>塑料管热熔对接焊机 d≤400</t>
  </si>
  <si>
    <t>塑料管电熔套接焊机 d≤110</t>
  </si>
  <si>
    <t>铺轨机 25m</t>
  </si>
  <si>
    <t>铺轨滚筒平车 ≤12t</t>
  </si>
  <si>
    <t>铺轨滚筒平车 ≤60t</t>
  </si>
  <si>
    <t>轨排钉联机 25m</t>
  </si>
  <si>
    <t>液压起拨道机 ≤15kW</t>
  </si>
  <si>
    <t>液压捣固机 ≤240根/h</t>
  </si>
  <si>
    <t>起拨道捣固车 ≤1100m/h</t>
  </si>
  <si>
    <t>道岔捣固车</t>
  </si>
  <si>
    <t>配砟整形车 ≤12000m/h</t>
  </si>
  <si>
    <t>长轨线路铺砟机</t>
  </si>
  <si>
    <t>长轨运输平车</t>
  </si>
  <si>
    <t>移动式焊轨车组</t>
  </si>
  <si>
    <t>长轨铝热焊机组</t>
  </si>
  <si>
    <t>钢轨液压拉伸机 ≤900kN</t>
  </si>
  <si>
    <t>手持式锯轨机</t>
  </si>
  <si>
    <t>动力稳定车</t>
  </si>
  <si>
    <t>轨道打磨列车</t>
  </si>
  <si>
    <t>架桥机 ≤130t</t>
  </si>
  <si>
    <t>架桥机（公铁两用） ≤160t</t>
  </si>
  <si>
    <t>轮胎式运梁车 ≤160t</t>
  </si>
  <si>
    <t>轮胎式搬梁机≤600t</t>
  </si>
  <si>
    <t>电气化立杆作业车</t>
  </si>
  <si>
    <t>电气化安装作业车（液力传动）</t>
  </si>
  <si>
    <t>电气化架线作业车（液力传动）</t>
  </si>
  <si>
    <t>电气化线盘车</t>
  </si>
  <si>
    <t>电气化恒张力架线作业车</t>
  </si>
  <si>
    <t>接触网导线液压切断器</t>
  </si>
  <si>
    <t>SF6气体回收净化充放装置5~7kW</t>
  </si>
  <si>
    <t>颚式破碎机 ≤750×1060</t>
  </si>
  <si>
    <t>偏心式振动筛</t>
  </si>
  <si>
    <t>普通车床 ≤400×2000</t>
  </si>
  <si>
    <t>普通车床 ≤630×2000</t>
  </si>
  <si>
    <t>牛头刨床 L≤650</t>
  </si>
  <si>
    <t>立式钻床 d≤25</t>
  </si>
  <si>
    <t>立式钻床 d≤50</t>
  </si>
  <si>
    <t>摇臂钻床 d≤63</t>
  </si>
  <si>
    <t>台式钻床 d≤16</t>
  </si>
  <si>
    <t>螺栓套丝机 d≤39</t>
  </si>
  <si>
    <t>管子切断机 d≤150</t>
  </si>
  <si>
    <t>套丝切管机 d≤159</t>
  </si>
  <si>
    <t>钢管相贯线切割机 d≤219</t>
  </si>
  <si>
    <t>多功能电锤钻</t>
  </si>
  <si>
    <t>水钻打孔机 ≤150mm</t>
  </si>
  <si>
    <t>钢轨钻孔机</t>
  </si>
  <si>
    <t>联合冲剪机 h≤16</t>
  </si>
  <si>
    <t>型钢剪切机 ≤1000kN</t>
  </si>
  <si>
    <t>刨边机 L≤1.2m</t>
  </si>
  <si>
    <t>剪板机 ≤10×2500</t>
  </si>
  <si>
    <t>剪板机 ≤20×2500</t>
  </si>
  <si>
    <t>卷板机 ≤2×1600</t>
  </si>
  <si>
    <t>卷板机 ≤20×2000</t>
  </si>
  <si>
    <t>四柱万能液压机 ≤1000kN</t>
  </si>
  <si>
    <t>板材校平机 ≤10×2000</t>
  </si>
  <si>
    <t>型钢校正机 ≤1000kN</t>
  </si>
  <si>
    <t>液压弯管机 d≤108</t>
  </si>
  <si>
    <t>法兰卷圆机 ∠40×4</t>
  </si>
  <si>
    <t>型钢弯拱机 ≤50kN</t>
  </si>
  <si>
    <t>咬口机 h≤1.5</t>
  </si>
  <si>
    <t>折方机 ≤4×2000</t>
  </si>
  <si>
    <t>手持式坡口机</t>
  </si>
  <si>
    <t>超声波探伤机 CTS-22</t>
  </si>
  <si>
    <t>高频电磁炉 ≤10kW</t>
  </si>
  <si>
    <t>保温分离机</t>
  </si>
  <si>
    <t>钢筋调直机 d≤14</t>
  </si>
  <si>
    <t>钢筋切断机 d≤40</t>
  </si>
  <si>
    <t>钢筋弯曲机 d≤40</t>
  </si>
  <si>
    <t>钢筋挤压连接机 d≤45</t>
  </si>
  <si>
    <t>木工圆锯机 d≤500</t>
  </si>
  <si>
    <t>木工圆锯机 d≤1000</t>
  </si>
  <si>
    <t>木工单面压刨床 B≤600</t>
  </si>
  <si>
    <t>除锈喷砂机 ≤3m3/min</t>
  </si>
  <si>
    <t>压力式滤油机 ≤100L/min</t>
  </si>
  <si>
    <t>鼓风机 ≤18m3/min</t>
  </si>
  <si>
    <t>鼓风机 ≤8m3/min</t>
  </si>
  <si>
    <t>吹风机 ≤4m3/min</t>
  </si>
  <si>
    <t>中英文线号机</t>
  </si>
  <si>
    <t>抛光打磨机</t>
  </si>
  <si>
    <t>彩钢压型板咬边机</t>
  </si>
  <si>
    <t>标准信号发生器 10kHz～1025MHz</t>
  </si>
  <si>
    <t>音频信号发生器 50Hz～20kHz</t>
  </si>
  <si>
    <t>微波信号发生器 10MHz～20GHz</t>
  </si>
  <si>
    <t>电视测试信号发生器</t>
  </si>
  <si>
    <t>矢量信号发生器</t>
  </si>
  <si>
    <t>精密交直流稳压电源</t>
  </si>
  <si>
    <t>数字电压表 0～0.2～1000mA</t>
  </si>
  <si>
    <t>数字万用表</t>
  </si>
  <si>
    <t>数字多用表 200mV～1000V,200μA～2000mA</t>
  </si>
  <si>
    <t>数字兆欧表 1000～2500V,0～20GΩ/200GΩ/∞</t>
  </si>
  <si>
    <t>数字兆欧表 250V～1kV,1000MΩ</t>
  </si>
  <si>
    <t>活塞式压力计 1～6MPa</t>
  </si>
  <si>
    <t>场强仪 5MHz～1GHz,－10～130dBμV</t>
  </si>
  <si>
    <t>选频仪 1700、2000、2300、2600kHz</t>
  </si>
  <si>
    <t>频谱分析仪 9kHz～26.5GHz</t>
  </si>
  <si>
    <t>功率计 10MHz～18GHz</t>
  </si>
  <si>
    <t>失真仪 2Hz～200kHz,0.1％～100％</t>
  </si>
  <si>
    <t>杂音计 15Hz～30kHz,－100～200dB</t>
  </si>
  <si>
    <t>精密声级计 20Hz～18kHz,38～140dB</t>
  </si>
  <si>
    <t>噪声测试仪 10MHz～26.5GHz,0～30dB</t>
  </si>
  <si>
    <t>误码率测试仪 2Mb/s</t>
  </si>
  <si>
    <t>误码率测试仪 622Mb/s</t>
  </si>
  <si>
    <t>误码率测试仪 10Gb/s</t>
  </si>
  <si>
    <t>逻辑分析仪 100MHz.80通道</t>
  </si>
  <si>
    <t>网络分析仪 10MHz～110GHz</t>
  </si>
  <si>
    <t>示波器 1MHz,100μV/div</t>
  </si>
  <si>
    <t>示波器 100MHz,双通道</t>
  </si>
  <si>
    <t>数字存储示波器 12GHz～20GHz,＞2通道</t>
  </si>
  <si>
    <t>彩色监视器 14英寸</t>
  </si>
  <si>
    <t>台式光万用表 含光源、光功率计</t>
  </si>
  <si>
    <t>手持式光万用表 含光源、光功率计</t>
  </si>
  <si>
    <t>光时域反射仪 1310/1550nm</t>
  </si>
  <si>
    <t>光可变衰耗器 1310/1550nm,0～60dB</t>
  </si>
  <si>
    <t>偏振模色散分析仪 1500～1600nm,0.1～75ps</t>
  </si>
  <si>
    <t>PCM2Mb/s测试仪 2048kb/s</t>
  </si>
  <si>
    <t>PCM话路特性测试仪 200～4000Hz,－60～5dBmO</t>
  </si>
  <si>
    <t>PCM呼叫分析仪 300 ～3400Hz,频偏±5％</t>
  </si>
  <si>
    <t>PCM数字通道分析仪 2Mb/s</t>
  </si>
  <si>
    <t>GSM-R基站综合测试仪</t>
  </si>
  <si>
    <t>天馈线综合测试仪</t>
  </si>
  <si>
    <t>灰度测量仪</t>
  </si>
  <si>
    <t>红外激光测量仪</t>
  </si>
  <si>
    <t>SDH/MSTP分析仪（2.5Gb/s及以下）</t>
  </si>
  <si>
    <t>网络测试仪</t>
  </si>
  <si>
    <t>数字数据性能分析仪（2Mb/s及以下）</t>
  </si>
  <si>
    <t>数据接口特性测试仪 64kb/s</t>
  </si>
  <si>
    <t>网络性能测试仪</t>
  </si>
  <si>
    <t>规程分析仪 广域网＋局域网</t>
  </si>
  <si>
    <t>电容藕合测试仪 800～1000Hz</t>
  </si>
  <si>
    <t>电缆探测仪 深2m</t>
  </si>
  <si>
    <t>电缆测试仪</t>
  </si>
  <si>
    <t>低频电缆测试仪 800Hz±2％,0～110dB</t>
  </si>
  <si>
    <t>局域网电缆测试仪 六类</t>
  </si>
  <si>
    <t>接地电阻测试仪 0.1～1200Ω,1mA～30A</t>
  </si>
  <si>
    <t>绝缘电阻测试仪</t>
  </si>
  <si>
    <t>电动仪表综合校验仪</t>
  </si>
  <si>
    <t>无线电综合测试仪 100kHz～1.15GHz</t>
  </si>
  <si>
    <t>电台综合测试仪 0.25～1000MHz</t>
  </si>
  <si>
    <t>轨道电路分路器</t>
  </si>
  <si>
    <t>移频参数在线测试仪</t>
  </si>
  <si>
    <t>机车信号车载系统检测仪</t>
  </si>
  <si>
    <t>轨道几何状态测量仪</t>
  </si>
  <si>
    <t>接触网多功能激光测量仪</t>
  </si>
  <si>
    <t>接触网弹性张力测量仪</t>
  </si>
  <si>
    <t>接触网激光投线仪</t>
  </si>
  <si>
    <t>便携式微机</t>
  </si>
  <si>
    <t>电子水准仪</t>
  </si>
  <si>
    <t>全站仪 1mm+1ppm/＜0.5秒</t>
  </si>
  <si>
    <t>全站仪 5mm+2ppm/＜0.5秒</t>
  </si>
  <si>
    <t>数显扭力扳手 40～200Nm</t>
  </si>
  <si>
    <t>电动扭力扳手 750～4000Nm</t>
  </si>
  <si>
    <t>其他机具使用费</t>
  </si>
  <si>
    <t>河砂</t>
  </si>
  <si>
    <t>橡胶轮缘槽</t>
  </si>
  <si>
    <t>中埋式止水带</t>
  </si>
  <si>
    <t>遇水膨胀止水条</t>
  </si>
  <si>
    <t>凸壳式排水板</t>
  </si>
  <si>
    <t>复合材料smc电缆槽（clf400-250)</t>
  </si>
  <si>
    <t>支座（GBZJ200*200*56（NR））</t>
  </si>
  <si>
    <t>支座（GBZJH150*150*42（NR））</t>
  </si>
  <si>
    <t>D80型伸缩缝</t>
  </si>
  <si>
    <t>米</t>
  </si>
  <si>
    <t>D160型伸缩缝</t>
  </si>
  <si>
    <t>加筋立体植被网垫</t>
  </si>
  <si>
    <t>整体式排水盲沟</t>
  </si>
  <si>
    <t>外购A组料（碎石）</t>
  </si>
  <si>
    <t>外购AB组料（碎石）</t>
  </si>
  <si>
    <t>基本轨扣件、护轨钩螺栓及固定件</t>
  </si>
  <si>
    <t>钢炮钉</t>
  </si>
  <si>
    <t>60kg12号（研线16122）</t>
  </si>
  <si>
    <t>60kg12号（研线16121）</t>
  </si>
  <si>
    <t>60kg9号（研线1609）</t>
  </si>
  <si>
    <t>50kg12号（研线1512）</t>
  </si>
  <si>
    <t>50kg9号（研线1509）</t>
  </si>
  <si>
    <t>防落梁措施 340型缓冲链</t>
  </si>
  <si>
    <t>交叉渡线60kg12号（5.3m间距 研线46122）</t>
  </si>
  <si>
    <t>冻结接头</t>
  </si>
  <si>
    <t>喷涂聚氨酯保温层（5cm）</t>
  </si>
  <si>
    <t>JX抗裂硅质防水剂</t>
  </si>
  <si>
    <t>60KG12号（研线16122）尖轨、基本轨、辙叉</t>
  </si>
  <si>
    <t>60KG12号（研线16121）尖轨、基本轨、辙叉</t>
  </si>
  <si>
    <t>50kg12号（研线1512）尖轨、基本轨、辙叉</t>
  </si>
  <si>
    <t>60KG9号（研线1609）尖轨、基本轨、辙叉</t>
  </si>
  <si>
    <t>50KG9号（研线1509）尖轨、基本轨、辙叉</t>
  </si>
  <si>
    <t>混凝土岔枕 交叉渡线 60kg-12-5.3m尖轨、基本轨、辙叉</t>
  </si>
  <si>
    <t>支座（GYZ200*49(NR)）</t>
  </si>
  <si>
    <t>钢轨热处理</t>
  </si>
  <si>
    <t>多元合金共渗+钝化 加封闭层</t>
  </si>
  <si>
    <t>人行道Q345钢料复合渗层</t>
  </si>
  <si>
    <t>TQZ(XI)-1500-GD</t>
  </si>
  <si>
    <t>TQZ(XI)-1500-HX</t>
  </si>
  <si>
    <t>TQZ(XI)-1500-ZX</t>
  </si>
  <si>
    <t>TQZ(XI)-1500-DX</t>
  </si>
  <si>
    <t>TQZ(XI)-2000-GD</t>
  </si>
  <si>
    <t>TQZ(XI)-2000-ZX</t>
  </si>
  <si>
    <t>TQZ(XI)-2000-DX</t>
  </si>
  <si>
    <t>TQZ(XI)-2000-hX</t>
  </si>
  <si>
    <t>TQZ(XI)-2500-GD</t>
  </si>
  <si>
    <t>TQZ(XI)-2500-ZX</t>
  </si>
  <si>
    <t>TQZ(XI)-2500-DX</t>
  </si>
  <si>
    <t>TQZ(XI)-2500-hX</t>
  </si>
  <si>
    <t>TQZ(XI)-3000-GD</t>
  </si>
  <si>
    <t>TQZ(XI)-3000-ZX</t>
  </si>
  <si>
    <t>TQZ(XI)-3000-DX</t>
  </si>
  <si>
    <t>TQZ(XI)-3000-hX</t>
  </si>
  <si>
    <t>TQZ(XI)-3500-GD</t>
  </si>
  <si>
    <t>TQZ(XI)-3500-ZX</t>
  </si>
  <si>
    <t>TQZ(XI)-3500-DX</t>
  </si>
  <si>
    <t>TQZ(XI)-3500-hX</t>
  </si>
  <si>
    <t>TQZ-4500-ZX</t>
  </si>
  <si>
    <t>TQZ-4500-DX</t>
  </si>
  <si>
    <t>TQZ-17500-GD</t>
  </si>
  <si>
    <t>TQZ-17500-ZX</t>
  </si>
  <si>
    <t>TQZ-17500-DX</t>
  </si>
  <si>
    <t>TQZ-17500-HX</t>
  </si>
  <si>
    <t>多元合金共渗+钝化 不加封闭层</t>
  </si>
  <si>
    <t>改性沥青防水卷材 δ=4.5</t>
  </si>
  <si>
    <t>背贴式止水带</t>
  </si>
  <si>
    <t>RCP-15NG(A)内支撑渗排水管（φ=150mm）</t>
  </si>
  <si>
    <t>双向土工格栅110</t>
  </si>
  <si>
    <t>CRTSIII型板 有机硅酮嵌缝材料</t>
  </si>
  <si>
    <t>CDKN-2型库内固定式挡车器</t>
  </si>
  <si>
    <t>1.2mm厚PE防排水板</t>
  </si>
  <si>
    <t>350mm宽8mm厚中埋式自粘钢边橡胶止水带</t>
  </si>
  <si>
    <t>中埋式自粘钢板止水带</t>
  </si>
  <si>
    <t>350mm宽8mm厚背贴式自粘橡胶止水带</t>
  </si>
  <si>
    <t>玻璃钢防火抗压门（2.2m×1.3m）单扇门</t>
  </si>
  <si>
    <t>反粘式1.5mm厚EVA防水板</t>
  </si>
  <si>
    <t>双向土工格栅（极限抗拉强度不小于200KN/m）</t>
  </si>
  <si>
    <t>透水土工布(400g/m2)（聚丙烯长丝材质）</t>
  </si>
  <si>
    <t>15mm厚RCP渗排水网垫</t>
  </si>
  <si>
    <t>30mm厚RCP渗排水网垫</t>
  </si>
  <si>
    <t>简支T梁球型支座TQZ（T）-3000GD-0.15P</t>
  </si>
  <si>
    <t>简支T梁球型支座TQZ（T）-3000ZX-0.15P</t>
  </si>
  <si>
    <t>LCD车挡</t>
  </si>
  <si>
    <t>反光镜</t>
  </si>
  <si>
    <t>施工警告灯</t>
  </si>
  <si>
    <t>施工标志</t>
  </si>
  <si>
    <t>标志支撑</t>
  </si>
  <si>
    <t>复合材料轨枕、护木及行道板</t>
  </si>
  <si>
    <t>外购土</t>
  </si>
  <si>
    <t>GSM-R电子地图</t>
  </si>
  <si>
    <t>km</t>
  </si>
  <si>
    <t>GIS数据采集</t>
  </si>
  <si>
    <t>GSM-R编号方案</t>
  </si>
  <si>
    <t>动环接入中心软件调试</t>
  </si>
  <si>
    <t>项</t>
  </si>
  <si>
    <t>防火防鼠封堵材料</t>
  </si>
  <si>
    <t>站</t>
  </si>
  <si>
    <t>轨道变压器防混、防腐、防盗引接线</t>
  </si>
  <si>
    <t>继电器 JWXC-1000</t>
  </si>
  <si>
    <t>无极继电器 JWXC-1700</t>
  </si>
  <si>
    <t>继电器 JSBXC3-850</t>
  </si>
  <si>
    <t>继电器 JPXC-1000</t>
  </si>
  <si>
    <t>道岔表示变压器 BD1-7</t>
  </si>
  <si>
    <t>继电器 JYJXC-160/260</t>
  </si>
  <si>
    <t>阻容插接件RC</t>
  </si>
  <si>
    <t>LKJ数据编制及修改</t>
  </si>
  <si>
    <t>次</t>
  </si>
  <si>
    <t>分路不良区段涂渡处理（单轨条）</t>
  </si>
  <si>
    <t>模块式电缆防火封堵</t>
  </si>
  <si>
    <t>信号组合内部配线智能校核系统</t>
  </si>
  <si>
    <t>竣工验交资料管理</t>
  </si>
  <si>
    <t>继电器JZXC-20000</t>
  </si>
  <si>
    <t>EIDS设备迁移费</t>
  </si>
  <si>
    <t>道岔防水罩</t>
  </si>
  <si>
    <t>信号电缆成端阻燃补强</t>
  </si>
  <si>
    <t>STP主机利旧移设</t>
  </si>
  <si>
    <t>计轴主机利旧移设</t>
  </si>
  <si>
    <t>室内外设备铭牌</t>
  </si>
  <si>
    <t>灯丝报警主机</t>
  </si>
  <si>
    <t>皮缆（黑）6*0.4mm2</t>
  </si>
  <si>
    <t>皮缆（黑）12*0.4mm2</t>
  </si>
  <si>
    <t>皮缆（黑）20*0.4mm2</t>
  </si>
  <si>
    <t>皮缆（黑）36*0.4mm2</t>
  </si>
  <si>
    <t>继电器固定卡（组合用）</t>
  </si>
  <si>
    <t>固线器</t>
  </si>
  <si>
    <t>配线止挡冒</t>
  </si>
  <si>
    <t>拼接式硬面化(高柱信号机)</t>
  </si>
  <si>
    <t>处</t>
  </si>
  <si>
    <t>拼接式硬面化（矮型信号机）</t>
  </si>
  <si>
    <t>拼接式硬面化（变压器箱）</t>
  </si>
  <si>
    <t>拼接式硬面化（方向盒）</t>
  </si>
  <si>
    <t>拼接式硬面化（终端盒）</t>
  </si>
  <si>
    <t>钢芯铝绞线 JL/G1A-95</t>
  </si>
  <si>
    <t>铝芯绝缘架空电缆 10KV JKLGYJ 95MM</t>
  </si>
  <si>
    <t>钢筋混凝土电杆 190x12000</t>
  </si>
  <si>
    <t>钢筋混凝土电杆 190x15000</t>
  </si>
  <si>
    <t>变电所局放检测系统安装及调试</t>
  </si>
  <si>
    <t>系统</t>
  </si>
  <si>
    <t>绝缘胶垫</t>
  </si>
  <si>
    <t>电力电缆YJLV22-8.7/15kV-3x70</t>
  </si>
  <si>
    <t>电力电缆YJLV22-26/35kV-3x70</t>
  </si>
  <si>
    <t>WDZB-YJY-0.6/1kV-3*10</t>
  </si>
  <si>
    <t>YJY43-8.7/15kV 3*95MM2</t>
  </si>
  <si>
    <t>YJY43-0.6/1kV-4*16mm2</t>
  </si>
  <si>
    <t>YJY43-0.6/1kV-3*50+1*25mm2</t>
  </si>
  <si>
    <t>YJY43-0.6/1kV-3*70+1*35mm2</t>
  </si>
  <si>
    <t>YJY43-0.6/1kV-3*95+1*50mm2</t>
  </si>
  <si>
    <t>YJY43-0.6/1kV-3*120+1*70mm2</t>
  </si>
  <si>
    <t>YJY43-0.6/1kV-3*150+1*70mm2</t>
  </si>
  <si>
    <t>KYJY43-0.5kV-10*2.5MM2</t>
  </si>
  <si>
    <t>YJY43-0.6/1kV-3*10mm2</t>
  </si>
  <si>
    <t>YJY43-0.6/1kV-3*16mm2</t>
  </si>
  <si>
    <t>YJY43-0.6/1kV-5*25mm2</t>
  </si>
  <si>
    <t>WDZBN-YJY-0.6/1kV-4x95+1x50</t>
  </si>
  <si>
    <t>YJY43-0.6/1kV-3*185+1*95mm2</t>
  </si>
  <si>
    <t>YJY43-0.6/1kV-3*240+1*120mm2</t>
  </si>
  <si>
    <t>电缆槽电缆支架（含隔板）</t>
  </si>
  <si>
    <t>YJY43-8.7/15kV 3*70MM2</t>
  </si>
  <si>
    <t>YJY43-8.7/15kV 3*50MM2</t>
  </si>
  <si>
    <t>架空绝缘铝导线 10kV JKLGJY 70mm2</t>
  </si>
  <si>
    <t>架空绝缘铝导线 10KV JKLGJY 95MM2</t>
  </si>
  <si>
    <t>YJY43-8.7/15KV-3*185MM2</t>
  </si>
  <si>
    <t>YJY43-0.6/1KV-4*95+1*50MM2</t>
  </si>
  <si>
    <t>隧道电缆挂架化学锚栓</t>
  </si>
  <si>
    <t>铝芯绝缘架空电缆 10KV JKLGYJ 185mm2</t>
  </si>
  <si>
    <t>花纹钢盖板</t>
  </si>
  <si>
    <t>平米</t>
  </si>
  <si>
    <t>槽钢10#</t>
  </si>
  <si>
    <t>WDZBN-YJY 4X35+1X16</t>
  </si>
  <si>
    <t>远动工作站、服务器应用软件更新、调试</t>
  </si>
  <si>
    <t>常规接地电阻测试</t>
  </si>
  <si>
    <t>点</t>
  </si>
  <si>
    <t>配电所整定计算</t>
  </si>
  <si>
    <t>所</t>
  </si>
  <si>
    <t>验电接地挂环</t>
  </si>
  <si>
    <t>钳位绝缘子</t>
  </si>
  <si>
    <t>调度中心软件升级扩容</t>
  </si>
  <si>
    <t>YJY43-8.7/15KV-3*240MM2</t>
  </si>
  <si>
    <t>铝芯绝缘架空电缆 10KV JKLGYJ 240mm2</t>
  </si>
  <si>
    <t>钢芯铝绞线 JL/G1A-70</t>
  </si>
  <si>
    <t>T接地方电力线路增容改造费</t>
  </si>
  <si>
    <t>地面电源控制柜馈出电缆</t>
  </si>
  <si>
    <t>YJY43-0.6/1kV-3*300+1*150mm2</t>
  </si>
  <si>
    <t>钢筋混凝土电杆 190x13000</t>
  </si>
  <si>
    <t>YJY43-0.6/1kV-5*4</t>
  </si>
  <si>
    <t>YJY43-0.6/1kV-5*6</t>
  </si>
  <si>
    <t>YJY43-0.6/1kV-5*6+2*2.5</t>
  </si>
  <si>
    <t>YJY43-0.6/1kV-5*10</t>
  </si>
  <si>
    <t>KYJY43-0.5kV-16*2.5MM2</t>
  </si>
  <si>
    <t>铝芯绝缘架空电缆 10KV JKLGYJ 50MM</t>
  </si>
  <si>
    <t>棒形瓷绝缘子QB(S)G-25/12</t>
  </si>
  <si>
    <t>棒形复合绝缘子FQB(S)G-25/12</t>
  </si>
  <si>
    <t>方吊柱腕臂底座及槽钢</t>
  </si>
  <si>
    <t>接触网驱鸟器(风车式或悬垂式)驱鸟器</t>
  </si>
  <si>
    <t>混凝土电缆槽</t>
  </si>
  <si>
    <t>预绞式导线耐张线夹</t>
  </si>
  <si>
    <t>工区接触网备品备件</t>
  </si>
  <si>
    <t>接触网腕臂预配及吊弦精算</t>
  </si>
  <si>
    <t>条公里</t>
  </si>
  <si>
    <t>接触网预埋槽道（含配套螺栓、螺母、垫片）</t>
  </si>
  <si>
    <t>防疲劳铜预绞式护线条</t>
  </si>
  <si>
    <t>硬横梁防鸟网</t>
  </si>
  <si>
    <t>拉拔试验</t>
  </si>
  <si>
    <t>等径圆杆φ350/120-9</t>
  </si>
  <si>
    <t>等径圆杆φ350/120-9.5</t>
  </si>
  <si>
    <t>基坑护壁</t>
  </si>
  <si>
    <t>基础护壁</t>
  </si>
  <si>
    <t>扩底护壁</t>
  </si>
  <si>
    <t>供电线行波监测</t>
  </si>
  <si>
    <t>定位底座(简高)</t>
  </si>
  <si>
    <t>定位线夹(简高)</t>
  </si>
  <si>
    <t>定位立柱(钢)</t>
  </si>
  <si>
    <t>锚支定位卡子(简高)</t>
  </si>
  <si>
    <t>电气跳线(简高)</t>
  </si>
  <si>
    <t>特型定位器(B型)(简高)</t>
  </si>
  <si>
    <t>定位器(1150型)(简高)</t>
  </si>
  <si>
    <t>支撑(腕臂用)-L800(简高)</t>
  </si>
  <si>
    <t>支撑(腕臂用)-L900(简高)</t>
  </si>
  <si>
    <t>支撑(定位管用)-L500(简高)</t>
  </si>
  <si>
    <t>支撑(定位管用)-L900(简高)</t>
  </si>
  <si>
    <t>支撑(定位管用)-L1400(简高)</t>
  </si>
  <si>
    <t>支撑连接器(48型)(简)</t>
  </si>
  <si>
    <t>支撑连接器(60型)(简)</t>
  </si>
  <si>
    <t>腕臂连接器(60型)(简)</t>
  </si>
  <si>
    <t>钢定位管(48型)L=900(简钢)</t>
  </si>
  <si>
    <t>钢定位管(48型)L=1500(简钢)</t>
  </si>
  <si>
    <t>钢定位管(48型)L=2500(简)</t>
  </si>
  <si>
    <t>钢定位管(48型)L=2600(简钢)</t>
  </si>
  <si>
    <t>钢定位管(48型)L=2800(简钢)</t>
  </si>
  <si>
    <t>钢定位管(48型)L=3000(简钢)</t>
  </si>
  <si>
    <t>钢定位管(48型)L=3300(简钢)</t>
  </si>
  <si>
    <t>钢定位管(48型)L=3600(简钢)</t>
  </si>
  <si>
    <t>承力索座(简钢)</t>
  </si>
  <si>
    <t>平腕臂φ60-L2300(简钢)</t>
  </si>
  <si>
    <t>平腕臂φ60-L2600(简钢)</t>
  </si>
  <si>
    <t>平腕臂φ60-L2800(简钢)</t>
  </si>
  <si>
    <t>平腕臂φ60-L3200(简钢)</t>
  </si>
  <si>
    <t>斜腕臂φ60-L2400(简钢)</t>
  </si>
  <si>
    <t>斜腕臂φ60-L2600(简钢)</t>
  </si>
  <si>
    <t>斜腕臂φ60-L2800(简钢)</t>
  </si>
  <si>
    <t>斜腕臂φ60-L2900(简钢)</t>
  </si>
  <si>
    <t>斜腕臂φ60-L3000(简钢)</t>
  </si>
  <si>
    <t>斜腕臂φ60-L3200(简钢)</t>
  </si>
  <si>
    <t>定位环(简钢)</t>
  </si>
  <si>
    <t>粘贴式号码牌</t>
  </si>
  <si>
    <t>QB(S)J-25/12</t>
  </si>
  <si>
    <t>M39螺母</t>
  </si>
  <si>
    <t>35m避雷针</t>
  </si>
  <si>
    <t>JL3/LB20A-300/50-26/7</t>
  </si>
  <si>
    <t>避雷线JG1A-50/7</t>
  </si>
  <si>
    <t>钢钎</t>
  </si>
  <si>
    <t>铜编织带</t>
  </si>
  <si>
    <t>放线架</t>
  </si>
  <si>
    <t>工作服</t>
  </si>
  <si>
    <t>绝缘靴</t>
  </si>
  <si>
    <t>钢管柱（12米）</t>
  </si>
  <si>
    <t>H型钢支柱（3M）</t>
  </si>
  <si>
    <t>门型架构钢柱（14M）</t>
  </si>
  <si>
    <t>架构钢横梁（14M）</t>
  </si>
  <si>
    <t>JL3/LB20A-400/35</t>
  </si>
  <si>
    <t>27.5kV穿墙套管</t>
  </si>
  <si>
    <t>防火封堵</t>
  </si>
  <si>
    <t>泄压阀</t>
  </si>
  <si>
    <t>烘手器</t>
  </si>
  <si>
    <t>防撞墩</t>
  </si>
  <si>
    <t>静态标识(站台)</t>
  </si>
  <si>
    <t>微型消防站</t>
  </si>
  <si>
    <t>候车座椅</t>
  </si>
  <si>
    <t>静态标识</t>
  </si>
  <si>
    <t>站名牌</t>
  </si>
  <si>
    <t>过渡食堂及站舍装修改造</t>
  </si>
  <si>
    <t>防雨百叶 400*400</t>
  </si>
  <si>
    <t>泄水阀 DN25</t>
  </si>
  <si>
    <t>温控阀 DN25</t>
  </si>
  <si>
    <t>钢塑复合管 DN40</t>
  </si>
  <si>
    <t>钢塑复合管 DN50</t>
  </si>
  <si>
    <t>钢塑复合管 DN65</t>
  </si>
  <si>
    <t>钢塑复合管 DN80</t>
  </si>
  <si>
    <t>灭火器箱</t>
  </si>
  <si>
    <t>电动密闭阀 500*500</t>
  </si>
  <si>
    <t>防雨百叶 200*200</t>
  </si>
  <si>
    <t>防雨百叶 600*600</t>
  </si>
  <si>
    <t>防雨百叶 800*800</t>
  </si>
  <si>
    <t>衬塑钢管DN40</t>
  </si>
  <si>
    <t>衬塑钢管DN25</t>
  </si>
  <si>
    <t>衬塑钢管DN20</t>
  </si>
  <si>
    <t>衬塑钢管DN15</t>
  </si>
  <si>
    <t>防雨百叶 500*500</t>
  </si>
  <si>
    <t>PPR热水管DN20</t>
  </si>
  <si>
    <t>金属软管（0.5m）DN15</t>
  </si>
  <si>
    <t>机械式开启泄压阀640*430</t>
  </si>
  <si>
    <t>铸铁无水封带网框地漏</t>
  </si>
  <si>
    <t>污水盆</t>
  </si>
  <si>
    <t>衬塑钢管DN50</t>
  </si>
  <si>
    <t>衬塑钢管DN32</t>
  </si>
  <si>
    <t>远传水表DN50</t>
  </si>
  <si>
    <t>GSM集中器/接收器/水表工作站</t>
  </si>
  <si>
    <t>复合排气阀DN25</t>
  </si>
  <si>
    <t>内外壁热浸锌镀锌钢管 DN100</t>
  </si>
  <si>
    <t>保温层保护层0.5mm镀锌薄钢板</t>
  </si>
  <si>
    <t>40mm玻璃棉绝热材料</t>
  </si>
  <si>
    <t>简易隔油器不锈钢0.5L/S</t>
  </si>
  <si>
    <t>70℃常开防火阀 200*200</t>
  </si>
  <si>
    <t>衬塑钢管DN65</t>
  </si>
  <si>
    <t>PPR热水管DN25</t>
  </si>
  <si>
    <t>动态平衡阀DN32</t>
  </si>
  <si>
    <t>动态平衡阀DN50</t>
  </si>
  <si>
    <t>动态平衡阀DN80</t>
  </si>
  <si>
    <t>抗震支吊架和设备抗震设计</t>
  </si>
  <si>
    <t>球阀 DN25</t>
  </si>
  <si>
    <t>温控阀DN25</t>
  </si>
  <si>
    <t>内外壁热浸锌镀锌钢管 DN150</t>
  </si>
  <si>
    <t>止回阀 320 * 250</t>
  </si>
  <si>
    <t>70℃常开防火阀 320*250</t>
  </si>
  <si>
    <t>电动蝶阀 500*500</t>
  </si>
  <si>
    <t>电动蝶阀 300*300</t>
  </si>
  <si>
    <t>电磁阀DN15</t>
  </si>
  <si>
    <t>低阻力倒流防止器DN15</t>
  </si>
  <si>
    <t>柔性接口排水铸铁管DN300</t>
  </si>
  <si>
    <t>4~单柄铜镀铬混合水嘴</t>
  </si>
  <si>
    <t>过滤器DN50</t>
  </si>
  <si>
    <t>减压阀（自带过滤器和压力表）DN50</t>
  </si>
  <si>
    <t>减压阀（自带过滤器和压力表）DN25</t>
  </si>
  <si>
    <t>内外壁热浸锌镀锌钢管 DN80</t>
  </si>
  <si>
    <t>内外壁热浸锌镀锌钢管 DN25</t>
  </si>
  <si>
    <t>明杆闸阀DN80</t>
  </si>
  <si>
    <t>可曲挠橡胶接头单球DN80</t>
  </si>
  <si>
    <t>压力表DN15</t>
  </si>
  <si>
    <t>铝方通</t>
  </si>
  <si>
    <t>直通型快速除污器 DN100</t>
  </si>
  <si>
    <t>直通型快速除污器 DN80</t>
  </si>
  <si>
    <t>超声波热量表 DN100</t>
  </si>
  <si>
    <t>蝶阀 DN25</t>
  </si>
  <si>
    <t>蝶阀 DN32</t>
  </si>
  <si>
    <t>蝶阀 DN50</t>
  </si>
  <si>
    <t>蝶阀 DN70</t>
  </si>
  <si>
    <t>蝶阀 DN80</t>
  </si>
  <si>
    <t>倒流防止器 DN20</t>
  </si>
  <si>
    <t>Y型过滤器 DN20</t>
  </si>
  <si>
    <t>Y型过滤器 DN50</t>
  </si>
  <si>
    <t>电磁阀DN20</t>
  </si>
  <si>
    <t>传感器</t>
  </si>
  <si>
    <t>离心玻璃棉管壳保温</t>
  </si>
  <si>
    <t>蝶阀 DN100</t>
  </si>
  <si>
    <t>蝶阀 DN125</t>
  </si>
  <si>
    <t>衬塑钢管DN80</t>
  </si>
  <si>
    <t>拖布池</t>
  </si>
  <si>
    <t>直通型快速除污器 DN50</t>
  </si>
  <si>
    <t>超声波热量表 DN50</t>
  </si>
  <si>
    <t>止回阀 400*400</t>
  </si>
  <si>
    <t>橡塑保温材料</t>
  </si>
  <si>
    <t>波纹管补偿器</t>
  </si>
  <si>
    <t>防火板</t>
  </si>
  <si>
    <t>聚氨酯发泡直埋保温管 DN32</t>
  </si>
  <si>
    <t>聚氨酯发泡直埋保温管 DN50</t>
  </si>
  <si>
    <t>聚氨酯发泡直埋保温管 DN65</t>
  </si>
  <si>
    <t>聚氨酯发泡直埋保温管 DN80</t>
  </si>
  <si>
    <t>聚氨酯发泡直埋保温管 DN100</t>
  </si>
  <si>
    <t>聚氨酯发泡直埋保温管 DN125</t>
  </si>
  <si>
    <t>热力入户井 3000x3000x2000mm</t>
  </si>
  <si>
    <t>座</t>
  </si>
  <si>
    <t>热力入户装置</t>
  </si>
  <si>
    <t>聚氨酯发泡直埋保温管 DN150</t>
  </si>
  <si>
    <t>聚氨酯发泡直埋保温管 DN200</t>
  </si>
  <si>
    <t>机械水表DN80</t>
  </si>
  <si>
    <t>衬塑钢管DN100</t>
  </si>
  <si>
    <t>机械水表DN100</t>
  </si>
  <si>
    <t>超声波液位计</t>
  </si>
  <si>
    <t>水力控制遥控浮球阀DN50</t>
  </si>
  <si>
    <t>挡板流量开关DN100</t>
  </si>
  <si>
    <t>旋流防止器DN100</t>
  </si>
  <si>
    <t>管道拆除</t>
  </si>
  <si>
    <t>仿清水混凝土漆</t>
  </si>
  <si>
    <t>站台墙</t>
  </si>
  <si>
    <t>钢塑复合管 DN32</t>
  </si>
  <si>
    <t>钢塑复合管 DN25</t>
  </si>
  <si>
    <t>钢塑复合管 DN20</t>
  </si>
  <si>
    <t>钢塑复合管 DN15</t>
  </si>
  <si>
    <t>电伴热（含控制装置）</t>
  </si>
  <si>
    <t>抗震支吊架</t>
  </si>
  <si>
    <t>既有管道设备拆除</t>
  </si>
  <si>
    <t>新建水暖管道设备等拆除费</t>
  </si>
  <si>
    <t>施工量测 土体分层沉降监测点布设 土体分层沉降《10m</t>
  </si>
  <si>
    <t>施工量测 土体水平位移监测点布设 水平位移《10m</t>
  </si>
  <si>
    <t>施工量测 水位观察孔监测点布设 水位观察孔《10m</t>
  </si>
  <si>
    <t>施工量测 其他地面地表沉降测点布钢管水准点</t>
  </si>
  <si>
    <t>施工量测 建筑物变形测点布设 沉降观察</t>
  </si>
  <si>
    <t>电动密闭阀 600*600</t>
  </si>
  <si>
    <t>电动密闭阀 800*800</t>
  </si>
  <si>
    <t>电动密闭阀 400*400</t>
  </si>
  <si>
    <t>防雨百叶 300*300</t>
  </si>
  <si>
    <t>单层百叶 600*600</t>
  </si>
  <si>
    <t>铜镀铬红外感应水嘴</t>
  </si>
  <si>
    <t>高密度聚乙烯HDPE排水管 DN150</t>
  </si>
  <si>
    <t>吸气阀De110</t>
  </si>
  <si>
    <t>窗帘</t>
  </si>
  <si>
    <t>既有设备及管道恢复</t>
  </si>
  <si>
    <t>水池保温 硬聚氨酯塑料泡沫</t>
  </si>
  <si>
    <t>10m3</t>
  </si>
  <si>
    <t>防寒井盖</t>
  </si>
  <si>
    <t>渗锌机</t>
  </si>
  <si>
    <t>4000L以内沥青洒布机</t>
  </si>
  <si>
    <t>红相8000S大型接地装置测量系统</t>
  </si>
  <si>
    <t>工频大电流接地装置测试系统</t>
  </si>
  <si>
    <t>MEGGER DET2/2接地电阻测试仪</t>
  </si>
  <si>
    <t>SYSCAL JUNIOR 土壤电阻率测试仪</t>
  </si>
  <si>
    <t>接地网导通电阻测试仪</t>
  </si>
  <si>
    <t>角磨机</t>
  </si>
  <si>
    <t>钳形电流表</t>
  </si>
  <si>
    <t>对讲机</t>
  </si>
  <si>
    <t>测试车辆（越野车）</t>
  </si>
  <si>
    <t>笔记本电脑</t>
  </si>
  <si>
    <t>手持式GPS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</si>
</sst>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);[Red]\(0.000\)"/>
    <numFmt numFmtId="178" formatCode="0_ "/>
  </numFmts>
  <fonts count="60"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.5"/>
      <color rgb="FF000000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2"/>
      <name val="黑体"/>
      <family val="3"/>
      <charset val="134"/>
    </font>
    <font>
      <b/>
      <sz val="10.5"/>
      <name val="仿宋_GB2312"/>
      <charset val="134"/>
    </font>
    <font>
      <b/>
      <sz val="10.5"/>
      <name val="仿宋"/>
      <family val="3"/>
      <charset val="134"/>
    </font>
    <font>
      <sz val="10.5"/>
      <name val="仿宋"/>
      <family val="3"/>
      <charset val="134"/>
    </font>
    <font>
      <sz val="10.5"/>
      <name val="仿宋_GB2312"/>
      <charset val="134"/>
    </font>
    <font>
      <sz val="9"/>
      <name val="仿宋_GB2312"/>
      <charset val="134"/>
    </font>
    <font>
      <sz val="9"/>
      <name val="仿宋"/>
      <family val="3"/>
      <charset val="134"/>
    </font>
    <font>
      <b/>
      <sz val="14"/>
      <name val="仿宋"/>
      <family val="3"/>
      <charset val="134"/>
    </font>
    <font>
      <sz val="10.5"/>
      <name val="黑体"/>
      <family val="3"/>
      <charset val="134"/>
    </font>
    <font>
      <b/>
      <sz val="10"/>
      <name val="仿宋_GB2312"/>
      <charset val="134"/>
    </font>
    <font>
      <b/>
      <sz val="10"/>
      <name val="仿宋"/>
      <family val="3"/>
      <charset val="134"/>
    </font>
    <font>
      <sz val="10"/>
      <name val="仿宋"/>
      <family val="3"/>
      <charset val="134"/>
    </font>
    <font>
      <sz val="10"/>
      <name val="仿宋_GB2312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9"/>
      <color rgb="FFFF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vertAlign val="superscript"/>
      <sz val="10.5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vertAlign val="superscript"/>
      <sz val="10"/>
      <name val="仿宋"/>
      <family val="3"/>
      <charset val="134"/>
    </font>
    <font>
      <sz val="9"/>
      <color indexed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4" borderId="38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5" borderId="42" applyNumberFormat="0" applyAlignment="0" applyProtection="0">
      <alignment vertical="center"/>
    </xf>
    <xf numFmtId="0" fontId="48" fillId="6" borderId="43" applyNumberFormat="0" applyAlignment="0" applyProtection="0">
      <alignment vertical="center"/>
    </xf>
    <xf numFmtId="0" fontId="49" fillId="6" borderId="42" applyNumberFormat="0" applyAlignment="0" applyProtection="0">
      <alignment vertical="center"/>
    </xf>
    <xf numFmtId="0" fontId="50" fillId="7" borderId="44" applyNumberFormat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4" fillId="0" borderId="46" applyNumberFormat="0" applyFill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442">
    <xf numFmtId="0" fontId="0" fillId="0" borderId="0" xfId="0">
      <alignment vertical="center"/>
    </xf>
    <xf numFmtId="0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right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vertical="center" wrapText="1"/>
    </xf>
    <xf numFmtId="176" fontId="1" fillId="0" borderId="0" xfId="0" applyNumberFormat="1" applyFont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20" xfId="0" applyBorder="1" applyAlignment="1">
      <alignment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177" fontId="1" fillId="0" borderId="9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77" fontId="1" fillId="0" borderId="10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7" fontId="1" fillId="0" borderId="2" xfId="49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9" xfId="0" applyBorder="1">
      <alignment vertical="center"/>
    </xf>
    <xf numFmtId="0" fontId="1" fillId="0" borderId="3" xfId="49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5" xfId="0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176" fontId="1" fillId="0" borderId="2" xfId="49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 vertical="center"/>
    </xf>
    <xf numFmtId="0" fontId="30" fillId="0" borderId="27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0" fillId="0" borderId="11" xfId="0" applyFont="1" applyBorder="1">
      <alignment vertical="center"/>
    </xf>
    <xf numFmtId="0" fontId="0" fillId="0" borderId="19" xfId="0" applyFont="1" applyBorder="1">
      <alignment vertical="center"/>
    </xf>
    <xf numFmtId="0" fontId="30" fillId="0" borderId="21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0" xfId="0" applyBorder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3" fillId="0" borderId="9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33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33" fillId="0" borderId="13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35" fillId="0" borderId="23" xfId="0" applyFont="1" applyFill="1" applyBorder="1" applyAlignment="1">
      <alignment horizontal="center" vertical="center"/>
    </xf>
    <xf numFmtId="0" fontId="36" fillId="0" borderId="9" xfId="0" applyFont="1" applyFill="1" applyBorder="1" applyAlignment="1">
      <alignment horizontal="center" vertical="center"/>
    </xf>
    <xf numFmtId="0" fontId="36" fillId="0" borderId="16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49" fontId="13" fillId="0" borderId="9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wrapText="1"/>
    </xf>
    <xf numFmtId="0" fontId="13" fillId="0" borderId="9" xfId="0" applyNumberFormat="1" applyFont="1" applyBorder="1" applyAlignment="1">
      <alignment horizontal="center" vertical="center" wrapText="1"/>
    </xf>
    <xf numFmtId="0" fontId="13" fillId="0" borderId="16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19" xfId="0" applyFont="1" applyBorder="1" applyAlignment="1">
      <alignment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0" fontId="13" fillId="0" borderId="11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3" fillId="0" borderId="33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3" fillId="0" borderId="20" xfId="0" applyNumberFormat="1" applyFont="1" applyBorder="1" applyAlignment="1">
      <alignment horizontal="center" vertical="center" wrapText="1"/>
    </xf>
    <xf numFmtId="0" fontId="13" fillId="0" borderId="10" xfId="0" applyNumberFormat="1" applyFont="1" applyBorder="1" applyAlignment="1">
      <alignment horizontal="center" vertical="center" wrapText="1"/>
    </xf>
    <xf numFmtId="0" fontId="13" fillId="0" borderId="14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3" fillId="0" borderId="34" xfId="0" applyFont="1" applyBorder="1" applyAlignment="1">
      <alignment vertical="center" wrapText="1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13" fillId="0" borderId="3" xfId="0" applyNumberFormat="1" applyFont="1" applyBorder="1" applyAlignment="1">
      <alignment horizontal="center" vertical="center" wrapText="1"/>
    </xf>
    <xf numFmtId="0" fontId="13" fillId="0" borderId="35" xfId="0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4" fillId="0" borderId="9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0" fontId="14" fillId="0" borderId="10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0" fillId="0" borderId="11" xfId="0" applyNumberFormat="1" applyFont="1" applyBorder="1" applyAlignment="1">
      <alignment horizontal="center" vertical="center" wrapText="1"/>
    </xf>
    <xf numFmtId="0" fontId="0" fillId="0" borderId="19" xfId="0" applyNumberFormat="1" applyFont="1" applyBorder="1" applyAlignment="1">
      <alignment horizontal="center" vertical="center" wrapText="1"/>
    </xf>
    <xf numFmtId="0" fontId="1" fillId="0" borderId="19" xfId="0" applyNumberFormat="1" applyFont="1" applyBorder="1" applyAlignment="1">
      <alignment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35" xfId="0" applyNumberFormat="1" applyFont="1" applyBorder="1" applyAlignment="1">
      <alignment horizontal="center" vertical="center" wrapText="1"/>
    </xf>
    <xf numFmtId="0" fontId="0" fillId="0" borderId="30" xfId="0" applyNumberFormat="1" applyFont="1" applyBorder="1" applyAlignment="1">
      <alignment horizontal="center" vertical="center" wrapText="1"/>
    </xf>
    <xf numFmtId="0" fontId="1" fillId="0" borderId="30" xfId="0" applyNumberFormat="1" applyFont="1" applyBorder="1" applyAlignment="1">
      <alignment vertical="center" wrapText="1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0" fontId="0" fillId="0" borderId="35" xfId="0" applyBorder="1">
      <alignment vertical="center"/>
    </xf>
    <xf numFmtId="0" fontId="1" fillId="0" borderId="10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6" xfId="0" applyBorder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 wrapText="1"/>
    </xf>
    <xf numFmtId="0" fontId="30" fillId="0" borderId="0" xfId="0" applyFont="1">
      <alignment vertical="center"/>
    </xf>
    <xf numFmtId="49" fontId="1" fillId="0" borderId="2" xfId="0" applyNumberFormat="1" applyFont="1" applyBorder="1" applyAlignment="1">
      <alignment horizontal="left" vertical="center" wrapText="1"/>
    </xf>
    <xf numFmtId="0" fontId="1" fillId="0" borderId="0" xfId="0" applyNumberFormat="1" applyFont="1" applyAlignment="1">
      <alignment horizontal="right" vertical="center" wrapText="1"/>
    </xf>
    <xf numFmtId="0" fontId="14" fillId="0" borderId="2" xfId="0" applyFont="1" applyBorder="1">
      <alignment vertical="center"/>
    </xf>
    <xf numFmtId="0" fontId="1" fillId="0" borderId="2" xfId="0" applyNumberFormat="1" applyFont="1" applyBorder="1" applyAlignment="1">
      <alignment horizontal="right" vertical="center" wrapText="1"/>
    </xf>
    <xf numFmtId="0" fontId="0" fillId="0" borderId="3" xfId="0" applyBorder="1">
      <alignment vertical="center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14" fillId="0" borderId="35" xfId="0" applyFont="1" applyBorder="1">
      <alignment vertical="center"/>
    </xf>
    <xf numFmtId="0" fontId="14" fillId="0" borderId="2" xfId="0" applyNumberFormat="1" applyFont="1" applyBorder="1" applyAlignment="1">
      <alignment horizontal="right" vertical="center" wrapText="1"/>
    </xf>
    <xf numFmtId="49" fontId="1" fillId="0" borderId="36" xfId="50" applyNumberFormat="1" applyFont="1" applyBorder="1" applyAlignment="1">
      <alignment horizontal="center" vertical="center" wrapText="1"/>
    </xf>
    <xf numFmtId="0" fontId="1" fillId="0" borderId="36" xfId="5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/>
    </xf>
    <xf numFmtId="49" fontId="1" fillId="0" borderId="37" xfId="50" applyNumberFormat="1" applyFont="1" applyBorder="1" applyAlignment="1">
      <alignment horizontal="center" vertical="center" wrapText="1"/>
    </xf>
    <xf numFmtId="0" fontId="1" fillId="0" borderId="37" xfId="50" applyFont="1" applyBorder="1" applyAlignment="1">
      <alignment horizontal="center" vertical="center" wrapText="1"/>
    </xf>
    <xf numFmtId="49" fontId="1" fillId="0" borderId="37" xfId="50" applyNumberFormat="1" applyFont="1" applyBorder="1" applyAlignment="1">
      <alignment vertical="center" wrapText="1"/>
    </xf>
    <xf numFmtId="0" fontId="1" fillId="0" borderId="37" xfId="50" applyFont="1" applyBorder="1" applyAlignment="1">
      <alignment horizontal="right" vertical="center" wrapText="1"/>
    </xf>
    <xf numFmtId="0" fontId="30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0" fillId="0" borderId="27" xfId="0" applyBorder="1">
      <alignment vertical="center"/>
    </xf>
    <xf numFmtId="176" fontId="14" fillId="0" borderId="2" xfId="0" applyNumberFormat="1" applyFont="1" applyBorder="1">
      <alignment vertical="center"/>
    </xf>
    <xf numFmtId="49" fontId="2" fillId="0" borderId="2" xfId="0" applyNumberFormat="1" applyFont="1" applyBorder="1" applyAlignment="1">
      <alignment horizontal="left" vertical="center" wrapText="1"/>
    </xf>
    <xf numFmtId="0" fontId="31" fillId="0" borderId="2" xfId="0" applyNumberFormat="1" applyFont="1" applyBorder="1" applyAlignment="1">
      <alignment horizontal="right" vertical="center" wrapText="1"/>
    </xf>
    <xf numFmtId="0" fontId="14" fillId="0" borderId="27" xfId="0" applyFont="1" applyBorder="1">
      <alignment vertical="center"/>
    </xf>
    <xf numFmtId="0" fontId="0" fillId="0" borderId="26" xfId="0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 wrapText="1"/>
    </xf>
    <xf numFmtId="0" fontId="14" fillId="0" borderId="3" xfId="0" applyNumberFormat="1" applyFont="1" applyBorder="1" applyAlignment="1">
      <alignment horizontal="right" vertical="center" wrapText="1"/>
    </xf>
    <xf numFmtId="0" fontId="14" fillId="0" borderId="0" xfId="0" applyFont="1">
      <alignment vertical="center"/>
    </xf>
    <xf numFmtId="176" fontId="14" fillId="0" borderId="33" xfId="0" applyNumberFormat="1" applyFont="1" applyBorder="1">
      <alignment vertical="center"/>
    </xf>
    <xf numFmtId="49" fontId="37" fillId="0" borderId="2" xfId="0" applyNumberFormat="1" applyFont="1" applyBorder="1" applyAlignment="1">
      <alignment horizontal="left" vertical="center" wrapText="1"/>
    </xf>
    <xf numFmtId="49" fontId="37" fillId="0" borderId="2" xfId="0" applyNumberFormat="1" applyFont="1" applyBorder="1" applyAlignment="1">
      <alignment horizontal="center" vertical="center" wrapText="1"/>
    </xf>
    <xf numFmtId="0" fontId="38" fillId="0" borderId="2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4" fillId="0" borderId="33" xfId="0" applyNumberFormat="1" applyFont="1" applyBorder="1" applyAlignment="1">
      <alignment horizontal="right" vertical="center" wrapText="1"/>
    </xf>
    <xf numFmtId="0" fontId="14" fillId="0" borderId="3" xfId="0" applyFont="1" applyBorder="1">
      <alignment vertical="center"/>
    </xf>
    <xf numFmtId="0" fontId="31" fillId="0" borderId="5" xfId="0" applyNumberFormat="1" applyFont="1" applyBorder="1" applyAlignment="1">
      <alignment horizontal="right" vertical="center" wrapText="1"/>
    </xf>
    <xf numFmtId="0" fontId="31" fillId="0" borderId="0" xfId="0" applyNumberFormat="1" applyFont="1" applyAlignment="1">
      <alignment horizontal="right" vertical="center" wrapText="1"/>
    </xf>
    <xf numFmtId="0" fontId="30" fillId="0" borderId="2" xfId="0" applyFont="1" applyBorder="1">
      <alignment vertical="center"/>
    </xf>
    <xf numFmtId="0" fontId="1" fillId="0" borderId="0" xfId="0" applyNumberFormat="1" applyFont="1" applyAlignment="1">
      <alignment vertical="center" wrapText="1"/>
    </xf>
    <xf numFmtId="0" fontId="30" fillId="0" borderId="2" xfId="0" applyNumberFormat="1" applyFont="1" applyBorder="1" applyAlignment="1">
      <alignment horizontal="center" vertical="center" wrapText="1"/>
    </xf>
    <xf numFmtId="0" fontId="30" fillId="0" borderId="11" xfId="0" applyNumberFormat="1" applyFont="1" applyBorder="1" applyAlignment="1">
      <alignment horizontal="center" vertical="center" wrapText="1"/>
    </xf>
    <xf numFmtId="0" fontId="30" fillId="0" borderId="19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left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11" xfId="0" applyNumberFormat="1" applyFont="1" applyBorder="1" applyAlignment="1">
      <alignment horizontal="center"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left" vertical="center" wrapText="1"/>
    </xf>
    <xf numFmtId="0" fontId="0" fillId="0" borderId="10" xfId="0" applyNumberFormat="1" applyFont="1" applyBorder="1" applyAlignment="1">
      <alignment horizontal="center" vertical="center" wrapText="1"/>
    </xf>
    <xf numFmtId="0" fontId="0" fillId="0" borderId="14" xfId="0" applyNumberFormat="1" applyFont="1" applyBorder="1" applyAlignment="1">
      <alignment horizontal="center" vertical="center" wrapText="1"/>
    </xf>
    <xf numFmtId="0" fontId="0" fillId="0" borderId="20" xfId="0" applyNumberFormat="1" applyFont="1" applyBorder="1" applyAlignment="1">
      <alignment horizontal="center" vertical="center" wrapText="1"/>
    </xf>
    <xf numFmtId="49" fontId="0" fillId="0" borderId="9" xfId="0" applyNumberFormat="1" applyFont="1" applyBorder="1" applyAlignment="1">
      <alignment horizontal="center" vertical="center" wrapText="1"/>
    </xf>
    <xf numFmtId="0" fontId="0" fillId="0" borderId="16" xfId="0" applyNumberFormat="1" applyFont="1" applyBorder="1" applyAlignment="1">
      <alignment horizontal="center" vertical="center" wrapText="1"/>
    </xf>
    <xf numFmtId="0" fontId="0" fillId="0" borderId="29" xfId="0" applyNumberFormat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49" fontId="0" fillId="0" borderId="3" xfId="0" applyNumberFormat="1" applyFont="1" applyBorder="1" applyAlignment="1">
      <alignment horizontal="center" vertical="center" wrapText="1"/>
    </xf>
    <xf numFmtId="0" fontId="0" fillId="0" borderId="35" xfId="0" applyNumberFormat="1" applyFont="1" applyBorder="1" applyAlignment="1">
      <alignment horizontal="center" vertical="center" wrapText="1"/>
    </xf>
    <xf numFmtId="0" fontId="0" fillId="0" borderId="30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49" fontId="31" fillId="0" borderId="13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0" fontId="1" fillId="0" borderId="35" xfId="0" applyNumberFormat="1" applyFont="1" applyBorder="1" applyAlignment="1">
      <alignment horizontal="center" vertical="center" wrapText="1"/>
    </xf>
    <xf numFmtId="0" fontId="1" fillId="0" borderId="25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49" fontId="31" fillId="0" borderId="2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9" fontId="0" fillId="0" borderId="22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49" fontId="0" fillId="0" borderId="9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35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right" vertical="center" wrapText="1"/>
    </xf>
    <xf numFmtId="0" fontId="0" fillId="0" borderId="35" xfId="0" applyBorder="1" applyAlignment="1">
      <alignment horizontal="center" vertical="center"/>
    </xf>
    <xf numFmtId="0" fontId="36" fillId="0" borderId="2" xfId="0" applyFont="1" applyFill="1" applyBorder="1" applyAlignment="1" quotePrefix="1">
      <alignment horizontal="center" vertical="center"/>
    </xf>
    <xf numFmtId="0" fontId="36" fillId="0" borderId="10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  <cellStyle name="Normal" xfId="50"/>
  </cellStyles>
  <tableStyles count="0" defaultTableStyle="TableStyleMedium2" defaultPivotStyle="PivotStyleLight16"/>
  <colors>
    <mruColors>
      <color rgb="00FFFFFF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opLeftCell="A21" workbookViewId="0">
      <selection activeCell="D22" sqref="D22:D31"/>
    </sheetView>
  </sheetViews>
  <sheetFormatPr defaultColWidth="8.79464285714286" defaultRowHeight="17.6" outlineLevelCol="7"/>
  <cols>
    <col min="1" max="1" width="10.7946428571429" customWidth="1"/>
    <col min="2" max="2" width="22.1964285714286" customWidth="1"/>
    <col min="3" max="3" width="11.6964285714286" customWidth="1"/>
    <col min="4" max="4" width="16.7946428571429" customWidth="1"/>
    <col min="5" max="5" width="8.69642857142857" customWidth="1"/>
    <col min="6" max="6" width="12.0982142857143" customWidth="1"/>
    <col min="7" max="7" width="36.5" customWidth="1"/>
    <col min="8" max="8" width="10.5"/>
  </cols>
  <sheetData>
    <row r="1" ht="40" customHeight="1" spans="1:8">
      <c r="A1" s="291" t="s">
        <v>0</v>
      </c>
      <c r="B1" s="357" t="s">
        <v>1</v>
      </c>
      <c r="C1" s="357"/>
      <c r="D1" s="358"/>
      <c r="E1" s="359" t="s">
        <v>2</v>
      </c>
      <c r="F1" s="359" t="s">
        <v>3</v>
      </c>
      <c r="G1" s="209" t="s">
        <v>4</v>
      </c>
    </row>
    <row r="2" ht="27" customHeight="1" spans="1:8">
      <c r="A2" s="291" t="s">
        <v>5</v>
      </c>
      <c r="B2" s="360" t="s">
        <v>6</v>
      </c>
      <c r="C2" s="361" t="s">
        <v>7</v>
      </c>
      <c r="D2" s="292" t="s">
        <v>8</v>
      </c>
      <c r="E2" s="293"/>
      <c r="F2" s="293"/>
      <c r="G2" s="362"/>
    </row>
    <row r="3" ht="27" customHeight="1" spans="1:8">
      <c r="A3" s="363" t="s">
        <v>9</v>
      </c>
      <c r="B3" s="363" t="s">
        <v>10</v>
      </c>
      <c r="C3" s="364" t="s">
        <v>11</v>
      </c>
      <c r="D3" s="365" t="s">
        <v>12</v>
      </c>
      <c r="E3" s="293"/>
      <c r="F3" s="293"/>
      <c r="G3" s="362"/>
    </row>
    <row r="4" s="356" customFormat="1" ht="27" customHeight="1" spans="1:8">
      <c r="A4" s="291" t="s">
        <v>13</v>
      </c>
      <c r="B4" s="360" t="s">
        <v>14</v>
      </c>
      <c r="C4" s="361"/>
      <c r="D4" s="292">
        <v>0</v>
      </c>
      <c r="E4" s="293"/>
      <c r="F4" s="293"/>
      <c r="G4" s="294"/>
    </row>
    <row r="5" s="356" customFormat="1" ht="27" customHeight="1" spans="1:8">
      <c r="A5" s="291" t="s">
        <v>15</v>
      </c>
      <c r="B5" s="360" t="s">
        <v>16</v>
      </c>
      <c r="C5" s="361" t="s">
        <v>17</v>
      </c>
      <c r="D5" s="292">
        <v>2441006.63</v>
      </c>
      <c r="E5" s="293"/>
      <c r="F5" s="293"/>
      <c r="G5" s="294" t="s">
        <v>18</v>
      </c>
    </row>
    <row r="6" s="356" customFormat="1" ht="27" customHeight="1" spans="1:8">
      <c r="A6" s="291" t="s">
        <v>19</v>
      </c>
      <c r="B6" s="360" t="s">
        <v>20</v>
      </c>
      <c r="C6" s="361" t="s">
        <v>17</v>
      </c>
      <c r="D6" s="292">
        <v>11543</v>
      </c>
      <c r="E6" s="293"/>
      <c r="F6" s="293"/>
      <c r="G6" s="294"/>
    </row>
    <row r="7" s="356" customFormat="1" ht="27" customHeight="1" spans="1:8">
      <c r="A7" s="291" t="s">
        <v>21</v>
      </c>
      <c r="B7" s="360" t="s">
        <v>22</v>
      </c>
      <c r="C7" s="361" t="s">
        <v>17</v>
      </c>
      <c r="D7" s="292">
        <v>653551.46</v>
      </c>
      <c r="E7" s="293"/>
      <c r="F7" s="293"/>
      <c r="G7" s="294" t="s">
        <v>23</v>
      </c>
    </row>
    <row r="8" s="356" customFormat="1" ht="27" customHeight="1" spans="1:8">
      <c r="A8" s="291" t="s">
        <v>24</v>
      </c>
      <c r="B8" s="360" t="s">
        <v>25</v>
      </c>
      <c r="C8" s="361" t="s">
        <v>17</v>
      </c>
      <c r="D8" s="292">
        <v>1131488.69</v>
      </c>
      <c r="E8" s="293"/>
      <c r="F8" s="293"/>
      <c r="G8" s="294" t="s">
        <v>26</v>
      </c>
    </row>
    <row r="9" s="356" customFormat="1" ht="27" customHeight="1" spans="1:8">
      <c r="A9" s="291" t="s">
        <v>27</v>
      </c>
      <c r="B9" s="360" t="s">
        <v>28</v>
      </c>
      <c r="C9" s="361" t="s">
        <v>29</v>
      </c>
      <c r="D9" s="292">
        <v>76825.25</v>
      </c>
      <c r="E9" s="293"/>
      <c r="F9" s="293"/>
      <c r="G9" s="294"/>
    </row>
    <row r="10" s="356" customFormat="1" ht="27" customHeight="1" spans="1:8">
      <c r="A10" s="291" t="s">
        <v>30</v>
      </c>
      <c r="B10" s="360" t="s">
        <v>31</v>
      </c>
      <c r="C10" s="361" t="s">
        <v>32</v>
      </c>
      <c r="D10" s="292">
        <v>20547.98</v>
      </c>
      <c r="E10" s="293"/>
      <c r="F10" s="293"/>
      <c r="G10" s="294"/>
    </row>
    <row r="11" s="356" customFormat="1" ht="27" customHeight="1" spans="1:8">
      <c r="A11" s="291" t="s">
        <v>33</v>
      </c>
      <c r="B11" s="360" t="s">
        <v>34</v>
      </c>
      <c r="C11" s="361" t="s">
        <v>17</v>
      </c>
      <c r="D11" s="292">
        <v>116679.28</v>
      </c>
      <c r="E11" s="293"/>
      <c r="F11" s="293"/>
      <c r="G11" s="294"/>
    </row>
    <row r="12" s="356" customFormat="1" ht="27" customHeight="1" spans="1:8">
      <c r="A12" s="291" t="s">
        <v>35</v>
      </c>
      <c r="B12" s="360" t="s">
        <v>36</v>
      </c>
      <c r="C12" s="361" t="s">
        <v>29</v>
      </c>
      <c r="D12" s="292">
        <v>109480.58</v>
      </c>
      <c r="E12" s="293"/>
      <c r="F12" s="293"/>
      <c r="G12" s="294"/>
    </row>
    <row r="13" s="356" customFormat="1" ht="27" customHeight="1" spans="1:8">
      <c r="A13" s="290" t="s">
        <v>37</v>
      </c>
      <c r="B13" s="291" t="s">
        <v>38</v>
      </c>
      <c r="C13" s="361" t="s">
        <v>39</v>
      </c>
      <c r="D13" s="292">
        <f>D14+D15</f>
        <v>1294381.94</v>
      </c>
      <c r="E13" s="293"/>
      <c r="F13" s="293"/>
      <c r="G13" s="294"/>
    </row>
    <row r="14" s="356" customFormat="1" ht="27" customHeight="1" spans="1:8">
      <c r="A14" s="295"/>
      <c r="B14" s="360" t="s">
        <v>40</v>
      </c>
      <c r="C14" s="361" t="s">
        <v>17</v>
      </c>
      <c r="D14" s="292">
        <v>499934.75</v>
      </c>
      <c r="E14" s="293"/>
      <c r="F14" s="293"/>
      <c r="G14" s="294" t="s">
        <v>41</v>
      </c>
    </row>
    <row r="15" s="356" customFormat="1" ht="27" customHeight="1" spans="1:8">
      <c r="A15" s="366"/>
      <c r="B15" s="367" t="s">
        <v>42</v>
      </c>
      <c r="C15" s="368" t="s">
        <v>17</v>
      </c>
      <c r="D15" s="369">
        <v>794447.19</v>
      </c>
      <c r="E15" s="370"/>
      <c r="F15" s="370"/>
      <c r="G15" s="294"/>
    </row>
    <row r="16" ht="27" customHeight="1" spans="1:8">
      <c r="A16" s="291" t="s">
        <v>43</v>
      </c>
      <c r="B16" s="371" t="s">
        <v>44</v>
      </c>
      <c r="C16" s="371" t="s">
        <v>45</v>
      </c>
      <c r="D16" s="372">
        <v>794447.19</v>
      </c>
      <c r="E16" s="373"/>
      <c r="F16" s="373"/>
      <c r="G16" s="362"/>
      <c r="H16" s="374"/>
    </row>
    <row r="17" ht="27" customHeight="1" spans="1:8">
      <c r="A17" s="291" t="s">
        <v>46</v>
      </c>
      <c r="B17" s="363" t="s">
        <v>47</v>
      </c>
      <c r="C17" s="363" t="s">
        <v>45</v>
      </c>
      <c r="D17" s="365">
        <v>81403.59</v>
      </c>
      <c r="E17" s="293"/>
      <c r="F17" s="293"/>
      <c r="G17" s="362"/>
      <c r="H17" s="374"/>
    </row>
    <row r="18" ht="27" customHeight="1" spans="1:8">
      <c r="A18" s="291" t="s">
        <v>48</v>
      </c>
      <c r="B18" s="375" t="s">
        <v>49</v>
      </c>
      <c r="C18" s="375" t="s">
        <v>45</v>
      </c>
      <c r="D18" s="376">
        <v>19468.47</v>
      </c>
      <c r="E18" s="377"/>
      <c r="F18" s="377"/>
      <c r="G18" s="362"/>
    </row>
    <row r="19" ht="27" customHeight="1" spans="1:8">
      <c r="A19" s="291" t="s">
        <v>50</v>
      </c>
      <c r="B19" s="363" t="s">
        <v>51</v>
      </c>
      <c r="C19" s="363" t="s">
        <v>52</v>
      </c>
      <c r="D19" s="365">
        <v>454976.4</v>
      </c>
      <c r="E19" s="293"/>
      <c r="F19" s="293"/>
      <c r="G19" s="362"/>
    </row>
    <row r="20" ht="27" customHeight="1" spans="1:8">
      <c r="A20" s="296" t="s">
        <v>53</v>
      </c>
      <c r="B20" s="375" t="s">
        <v>54</v>
      </c>
      <c r="C20" s="375" t="s">
        <v>52</v>
      </c>
      <c r="D20" s="376">
        <v>41303473.24</v>
      </c>
      <c r="E20" s="299"/>
      <c r="F20" s="299"/>
      <c r="G20" s="378"/>
    </row>
    <row r="21" ht="18" spans="1:8">
      <c r="A21" s="379">
        <v>17</v>
      </c>
      <c r="B21" s="379" t="s">
        <v>55</v>
      </c>
      <c r="C21" s="380" t="s">
        <v>45</v>
      </c>
      <c r="D21" s="379"/>
      <c r="E21" s="381"/>
      <c r="F21" s="381"/>
      <c r="G21" s="382" t="s">
        <v>56</v>
      </c>
    </row>
    <row r="22" spans="1:8">
      <c r="A22" s="383" t="s">
        <v>57</v>
      </c>
      <c r="B22" s="384" t="s">
        <v>58</v>
      </c>
      <c r="C22" s="385" t="s">
        <v>59</v>
      </c>
      <c r="D22" s="386">
        <v>119862.03</v>
      </c>
      <c r="E22" s="386">
        <v>279.44</v>
      </c>
      <c r="F22" s="386">
        <f t="shared" ref="F22:F31" si="0">D22*E22</f>
        <v>33494245.6632</v>
      </c>
      <c r="G22" s="387"/>
    </row>
    <row r="23" ht="28" spans="1:8">
      <c r="A23" s="388"/>
      <c r="B23" s="389" t="s">
        <v>60</v>
      </c>
      <c r="C23" s="371" t="s">
        <v>61</v>
      </c>
      <c r="D23" s="390">
        <v>94815.57</v>
      </c>
      <c r="E23" s="390">
        <v>92.62</v>
      </c>
      <c r="F23" s="391">
        <f t="shared" si="0"/>
        <v>8781818.0934</v>
      </c>
      <c r="G23" s="392" t="s">
        <v>62</v>
      </c>
    </row>
    <row r="24" ht="18" spans="1:8">
      <c r="A24" s="388"/>
      <c r="B24" s="279" t="s">
        <v>63</v>
      </c>
      <c r="C24" s="363" t="s">
        <v>61</v>
      </c>
      <c r="D24" s="73">
        <v>25046.46</v>
      </c>
      <c r="E24" s="73">
        <v>96.76</v>
      </c>
      <c r="F24" s="281">
        <f t="shared" si="0"/>
        <v>2423495.4696</v>
      </c>
      <c r="G24" s="393"/>
    </row>
    <row r="25" spans="1:8">
      <c r="A25" s="388"/>
      <c r="B25" s="273" t="s">
        <v>64</v>
      </c>
      <c r="C25" s="273" t="s">
        <v>59</v>
      </c>
      <c r="D25" s="306">
        <v>138699.83</v>
      </c>
      <c r="E25" s="306">
        <v>42.6</v>
      </c>
      <c r="F25" s="394">
        <f t="shared" si="0"/>
        <v>5908612.758</v>
      </c>
      <c r="G25" s="393"/>
    </row>
    <row r="26" spans="1:8">
      <c r="A26" s="388"/>
      <c r="B26" s="273" t="s">
        <v>65</v>
      </c>
      <c r="C26" s="273" t="s">
        <v>59</v>
      </c>
      <c r="D26" s="306">
        <v>133159.3</v>
      </c>
      <c r="E26" s="306">
        <v>123.02</v>
      </c>
      <c r="F26" s="281">
        <f t="shared" si="0"/>
        <v>16381257.086</v>
      </c>
      <c r="G26" s="393"/>
    </row>
    <row r="27" spans="1:8">
      <c r="A27" s="388"/>
      <c r="B27" s="273" t="s">
        <v>66</v>
      </c>
      <c r="C27" s="273" t="s">
        <v>59</v>
      </c>
      <c r="D27" s="306">
        <v>25373.6</v>
      </c>
      <c r="E27" s="306">
        <v>677.87</v>
      </c>
      <c r="F27" s="281">
        <f t="shared" si="0"/>
        <v>17200002.232</v>
      </c>
      <c r="G27" s="393"/>
    </row>
    <row r="28" spans="1:8">
      <c r="A28" s="388"/>
      <c r="B28" s="395" t="s">
        <v>67</v>
      </c>
      <c r="C28" s="273" t="s">
        <v>59</v>
      </c>
      <c r="D28" s="306">
        <v>99637.57</v>
      </c>
      <c r="E28" s="306">
        <v>220</v>
      </c>
      <c r="F28" s="281">
        <f t="shared" si="0"/>
        <v>21920265.4</v>
      </c>
      <c r="G28" s="393"/>
    </row>
    <row r="29" spans="1:8">
      <c r="A29" s="388"/>
      <c r="B29" s="273" t="s">
        <v>64</v>
      </c>
      <c r="C29" s="273" t="s">
        <v>59</v>
      </c>
      <c r="D29" s="306">
        <v>130060.42</v>
      </c>
      <c r="E29" s="306">
        <v>42.6</v>
      </c>
      <c r="F29" s="281">
        <f t="shared" si="0"/>
        <v>5540573.892</v>
      </c>
      <c r="G29" s="393"/>
    </row>
    <row r="30" spans="1:8">
      <c r="A30" s="388"/>
      <c r="B30" s="273" t="s">
        <v>65</v>
      </c>
      <c r="C30" s="273" t="s">
        <v>59</v>
      </c>
      <c r="D30" s="306">
        <v>121112.53</v>
      </c>
      <c r="E30" s="306">
        <v>56.28</v>
      </c>
      <c r="F30" s="281">
        <f t="shared" si="0"/>
        <v>6816213.1884</v>
      </c>
      <c r="G30" s="393"/>
    </row>
    <row r="31" spans="1:8">
      <c r="A31" s="388"/>
      <c r="B31" s="283" t="s">
        <v>68</v>
      </c>
      <c r="C31" s="283" t="s">
        <v>59</v>
      </c>
      <c r="D31" s="396">
        <v>99637.57</v>
      </c>
      <c r="E31" s="396">
        <v>95.99</v>
      </c>
      <c r="F31" s="281">
        <f t="shared" si="0"/>
        <v>9564210.3443</v>
      </c>
      <c r="G31" s="393"/>
    </row>
    <row r="32" ht="18" spans="1:8">
      <c r="A32" s="388"/>
      <c r="B32" s="266" t="s">
        <v>69</v>
      </c>
      <c r="C32" s="371" t="s">
        <v>61</v>
      </c>
      <c r="D32" s="390">
        <v>75004.49</v>
      </c>
      <c r="E32" s="397">
        <v>125.02</v>
      </c>
      <c r="F32" s="397">
        <f t="shared" ref="F32:F39" si="1">D32*E32</f>
        <v>9377061.3398</v>
      </c>
      <c r="G32" s="398"/>
    </row>
    <row r="33" ht="18" spans="1:7">
      <c r="A33" s="388"/>
      <c r="B33" s="266" t="s">
        <v>70</v>
      </c>
      <c r="C33" s="371" t="s">
        <v>61</v>
      </c>
      <c r="D33" s="306">
        <v>53337.95</v>
      </c>
      <c r="E33" s="399">
        <v>58.59</v>
      </c>
      <c r="F33" s="397">
        <f t="shared" si="1"/>
        <v>3125070.4905</v>
      </c>
      <c r="G33" s="276"/>
    </row>
    <row r="34" spans="1:7">
      <c r="A34" s="388"/>
      <c r="G34" s="400"/>
    </row>
    <row r="35" ht="18" spans="1:7">
      <c r="A35" s="388"/>
      <c r="B35" s="401" t="s">
        <v>63</v>
      </c>
      <c r="C35" s="402" t="s">
        <v>61</v>
      </c>
      <c r="D35" s="403">
        <v>99637.57</v>
      </c>
      <c r="E35" s="404">
        <v>95.99</v>
      </c>
      <c r="F35" s="405">
        <f t="shared" si="1"/>
        <v>9564210.3443</v>
      </c>
      <c r="G35" s="400"/>
    </row>
    <row r="36" ht="18" spans="1:7">
      <c r="A36" s="388"/>
      <c r="B36" s="266" t="s">
        <v>71</v>
      </c>
      <c r="C36" s="371" t="s">
        <v>61</v>
      </c>
      <c r="D36" s="406">
        <v>53907.42</v>
      </c>
      <c r="E36" s="407">
        <v>95.59</v>
      </c>
      <c r="F36" s="405">
        <f t="shared" si="1"/>
        <v>5153010.2778</v>
      </c>
      <c r="G36" s="408"/>
    </row>
    <row r="37" ht="18" spans="1:7">
      <c r="A37" s="388"/>
      <c r="B37" s="266" t="s">
        <v>71</v>
      </c>
      <c r="C37" s="371" t="s">
        <v>61</v>
      </c>
      <c r="D37" s="406">
        <v>15607.48</v>
      </c>
      <c r="E37" s="407">
        <v>71.92</v>
      </c>
      <c r="F37" s="405">
        <f t="shared" si="1"/>
        <v>1122489.9616</v>
      </c>
      <c r="G37" s="408"/>
    </row>
    <row r="38" ht="18" spans="1:7">
      <c r="A38" s="388"/>
      <c r="B38" s="266" t="s">
        <v>71</v>
      </c>
      <c r="C38" s="371" t="s">
        <v>61</v>
      </c>
      <c r="D38" s="406">
        <v>93809.24</v>
      </c>
      <c r="E38" s="407">
        <v>98.11</v>
      </c>
      <c r="F38" s="405">
        <f t="shared" si="1"/>
        <v>9203624.5364</v>
      </c>
      <c r="G38" s="408"/>
    </row>
    <row r="39" ht="18" spans="1:7">
      <c r="A39" s="388"/>
      <c r="B39" s="409" t="s">
        <v>71</v>
      </c>
      <c r="C39" s="402" t="s">
        <v>61</v>
      </c>
      <c r="D39" s="410">
        <v>21572.24</v>
      </c>
      <c r="E39" s="411">
        <v>604</v>
      </c>
      <c r="F39" s="405">
        <f t="shared" si="1"/>
        <v>13029632.96</v>
      </c>
      <c r="G39" s="412"/>
    </row>
    <row r="40" ht="18" spans="1:7">
      <c r="A40" s="388"/>
      <c r="B40" s="271" t="s">
        <v>72</v>
      </c>
      <c r="C40" s="363" t="s">
        <v>61</v>
      </c>
      <c r="D40" s="306">
        <v>31270.18</v>
      </c>
      <c r="E40" s="306"/>
      <c r="F40" s="306"/>
      <c r="G40" s="276"/>
    </row>
    <row r="41" ht="22" customHeight="1" spans="1:7">
      <c r="A41" s="268" t="s">
        <v>73</v>
      </c>
      <c r="B41" s="413" t="s">
        <v>66</v>
      </c>
      <c r="C41" s="273" t="s">
        <v>59</v>
      </c>
      <c r="D41" s="306">
        <v>50477.86</v>
      </c>
      <c r="E41" s="306">
        <v>732.03</v>
      </c>
      <c r="F41" s="405">
        <f>D41*E41</f>
        <v>36951307.8558</v>
      </c>
      <c r="G41" s="414"/>
    </row>
    <row r="42" ht="22" customHeight="1" spans="1:7">
      <c r="A42" s="283"/>
      <c r="B42" s="413" t="s">
        <v>74</v>
      </c>
      <c r="C42" s="273" t="s">
        <v>59</v>
      </c>
      <c r="D42" s="306">
        <v>206482.77</v>
      </c>
      <c r="E42" s="306">
        <v>100.1</v>
      </c>
      <c r="F42" s="405">
        <f>D42*E42</f>
        <v>20668925.277</v>
      </c>
      <c r="G42" s="414"/>
    </row>
    <row r="43" ht="22" customHeight="1" spans="1:7">
      <c r="A43" s="415" t="s">
        <v>75</v>
      </c>
      <c r="B43" s="273" t="s">
        <v>66</v>
      </c>
      <c r="C43" s="273" t="s">
        <v>59</v>
      </c>
      <c r="D43" s="276">
        <v>52616.48</v>
      </c>
      <c r="E43" s="416">
        <v>645.27</v>
      </c>
      <c r="F43" s="405">
        <f>D43*E43</f>
        <v>33951836.0496</v>
      </c>
      <c r="G43" s="414"/>
    </row>
    <row r="44" ht="22" customHeight="1" spans="1:7">
      <c r="A44" s="388"/>
      <c r="B44" s="271"/>
      <c r="C44" s="291"/>
      <c r="D44" s="73"/>
      <c r="E44" s="73"/>
      <c r="F44" s="404"/>
      <c r="G44" s="414"/>
    </row>
    <row r="45" ht="22" customHeight="1" spans="1:7">
      <c r="A45" s="417" t="s">
        <v>76</v>
      </c>
      <c r="B45" s="271" t="s">
        <v>77</v>
      </c>
      <c r="C45" s="380" t="s">
        <v>45</v>
      </c>
      <c r="D45" s="73">
        <v>86800</v>
      </c>
      <c r="E45" s="418"/>
      <c r="F45" s="418"/>
      <c r="G45" s="419" t="s">
        <v>78</v>
      </c>
    </row>
    <row r="46" ht="27" customHeight="1" spans="1:7">
      <c r="A46" s="420" t="s">
        <v>79</v>
      </c>
      <c r="B46" s="271" t="s">
        <v>80</v>
      </c>
      <c r="C46" s="380" t="s">
        <v>45</v>
      </c>
      <c r="D46" s="306">
        <v>257061</v>
      </c>
      <c r="E46" s="399"/>
      <c r="F46" s="399"/>
      <c r="G46" s="421" t="s">
        <v>81</v>
      </c>
    </row>
    <row r="47" ht="31" spans="1:7">
      <c r="A47" s="422"/>
      <c r="B47" s="423" t="s">
        <v>82</v>
      </c>
      <c r="C47" s="375" t="s">
        <v>45</v>
      </c>
      <c r="D47" s="424">
        <v>263237</v>
      </c>
      <c r="E47" s="425"/>
      <c r="F47" s="425"/>
      <c r="G47" s="426" t="s">
        <v>83</v>
      </c>
    </row>
    <row r="48" ht="39" customHeight="1" spans="1:7">
      <c r="A48" s="420" t="s">
        <v>79</v>
      </c>
      <c r="B48" s="271" t="s">
        <v>84</v>
      </c>
      <c r="C48" s="380" t="s">
        <v>45</v>
      </c>
      <c r="D48" s="306" t="s">
        <v>85</v>
      </c>
      <c r="E48" s="306"/>
      <c r="F48" s="306"/>
      <c r="G48" s="421" t="s">
        <v>86</v>
      </c>
    </row>
    <row r="49" ht="28" customHeight="1" spans="1:7">
      <c r="A49" s="422"/>
      <c r="B49" s="423" t="s">
        <v>87</v>
      </c>
      <c r="C49" s="375" t="s">
        <v>45</v>
      </c>
      <c r="D49" s="271">
        <v>129190</v>
      </c>
      <c r="E49" s="427"/>
      <c r="F49" s="427"/>
      <c r="G49" s="421" t="s">
        <v>88</v>
      </c>
    </row>
    <row r="50" ht="18" spans="1:7">
      <c r="A50" s="420" t="s">
        <v>79</v>
      </c>
      <c r="B50" s="420" t="s">
        <v>89</v>
      </c>
      <c r="C50" s="375" t="s">
        <v>45</v>
      </c>
      <c r="D50" s="271">
        <v>139674</v>
      </c>
      <c r="E50" s="427"/>
      <c r="F50" s="427"/>
      <c r="G50" s="277" t="s">
        <v>90</v>
      </c>
    </row>
    <row r="51" ht="18" spans="1:7">
      <c r="A51" s="388"/>
      <c r="B51" s="388"/>
      <c r="C51" s="375" t="s">
        <v>45</v>
      </c>
      <c r="D51" s="379">
        <v>56793</v>
      </c>
      <c r="E51" s="428"/>
      <c r="F51" s="428"/>
      <c r="G51" s="277" t="s">
        <v>91</v>
      </c>
    </row>
    <row r="52" ht="18" spans="1:7">
      <c r="A52" s="388"/>
      <c r="B52" s="388"/>
      <c r="C52" s="375" t="s">
        <v>45</v>
      </c>
      <c r="D52" s="429">
        <v>23590</v>
      </c>
      <c r="E52" s="430"/>
      <c r="F52" s="430"/>
      <c r="G52" s="431" t="s">
        <v>92</v>
      </c>
    </row>
    <row r="53" ht="18" spans="1:7">
      <c r="A53" s="388"/>
      <c r="B53" s="388"/>
      <c r="C53" s="375" t="s">
        <v>45</v>
      </c>
      <c r="D53" s="62">
        <v>130358</v>
      </c>
      <c r="E53" s="432"/>
      <c r="F53" s="432"/>
      <c r="G53" s="278" t="s">
        <v>93</v>
      </c>
    </row>
    <row r="54" ht="18" spans="1:7">
      <c r="A54" s="422"/>
      <c r="B54" s="422"/>
      <c r="C54" s="375" t="s">
        <v>45</v>
      </c>
      <c r="D54" s="79">
        <v>100180</v>
      </c>
      <c r="E54" s="433"/>
      <c r="F54" s="433"/>
      <c r="G54" s="434" t="s">
        <v>94</v>
      </c>
    </row>
    <row r="55" spans="1:7">
      <c r="A55" s="279" t="s">
        <v>95</v>
      </c>
      <c r="B55" s="273" t="s">
        <v>96</v>
      </c>
      <c r="C55" s="273" t="s">
        <v>97</v>
      </c>
      <c r="D55" s="306">
        <v>87731</v>
      </c>
      <c r="E55" s="306">
        <v>76.54</v>
      </c>
      <c r="F55" s="435">
        <f t="shared" ref="F55:F61" si="2">D55*E55</f>
        <v>6714930.74</v>
      </c>
      <c r="G55" s="436"/>
    </row>
    <row r="56" spans="1:7">
      <c r="A56" s="279"/>
      <c r="B56" s="273" t="s">
        <v>98</v>
      </c>
      <c r="C56" s="273" t="s">
        <v>97</v>
      </c>
      <c r="D56" s="306">
        <v>11263</v>
      </c>
      <c r="E56" s="306">
        <v>83.19</v>
      </c>
      <c r="F56" s="435">
        <f t="shared" si="2"/>
        <v>936968.97</v>
      </c>
      <c r="G56" s="436"/>
    </row>
    <row r="57" spans="1:7">
      <c r="A57" s="437"/>
      <c r="B57" s="297" t="s">
        <v>99</v>
      </c>
      <c r="C57" s="297" t="s">
        <v>97</v>
      </c>
      <c r="D57" s="424">
        <v>64807</v>
      </c>
      <c r="E57" s="306">
        <v>84.96</v>
      </c>
      <c r="F57" s="435">
        <f t="shared" si="2"/>
        <v>5506002.72</v>
      </c>
      <c r="G57" s="436"/>
    </row>
    <row r="58" spans="1:7">
      <c r="A58" s="438" t="s">
        <v>100</v>
      </c>
      <c r="B58" s="273" t="s">
        <v>101</v>
      </c>
      <c r="C58" s="273" t="s">
        <v>97</v>
      </c>
      <c r="D58" s="306">
        <v>131272</v>
      </c>
      <c r="E58" s="306">
        <v>84.22</v>
      </c>
      <c r="F58" s="435">
        <f t="shared" si="2"/>
        <v>11055727.84</v>
      </c>
      <c r="G58" s="436"/>
    </row>
    <row r="59" spans="1:7">
      <c r="A59" s="438"/>
      <c r="B59" s="273" t="s">
        <v>102</v>
      </c>
      <c r="C59" s="273" t="s">
        <v>97</v>
      </c>
      <c r="D59" s="306">
        <v>77037</v>
      </c>
      <c r="E59" s="306">
        <v>89.9</v>
      </c>
      <c r="F59" s="435">
        <f t="shared" si="2"/>
        <v>6925626.3</v>
      </c>
      <c r="G59" s="436"/>
    </row>
    <row r="60" spans="1:7">
      <c r="A60" s="438"/>
      <c r="B60" s="273" t="s">
        <v>103</v>
      </c>
      <c r="C60" s="273" t="s">
        <v>104</v>
      </c>
      <c r="D60" s="306">
        <v>7967.03</v>
      </c>
      <c r="E60" s="306">
        <v>605.81</v>
      </c>
      <c r="F60" s="435">
        <f t="shared" si="2"/>
        <v>4826506.4443</v>
      </c>
      <c r="G60" s="436"/>
    </row>
    <row r="61" spans="1:7">
      <c r="A61" s="438"/>
      <c r="B61" s="273" t="s">
        <v>105</v>
      </c>
      <c r="C61" s="273" t="s">
        <v>104</v>
      </c>
      <c r="D61" s="306">
        <v>1372</v>
      </c>
      <c r="E61" s="306">
        <v>2952.87</v>
      </c>
      <c r="F61" s="435">
        <f t="shared" si="2"/>
        <v>4051337.64</v>
      </c>
      <c r="G61" s="436"/>
    </row>
    <row r="62" spans="1:7">
      <c r="A62" s="420"/>
      <c r="B62" s="273"/>
      <c r="C62" s="439"/>
      <c r="D62" s="306"/>
      <c r="E62" s="440"/>
      <c r="F62" s="441"/>
      <c r="G62" s="436"/>
    </row>
    <row r="63" spans="1:7">
      <c r="A63" s="420"/>
      <c r="B63" s="273"/>
      <c r="C63" s="439"/>
      <c r="D63" s="306"/>
      <c r="E63" s="440"/>
      <c r="F63" s="441"/>
      <c r="G63" s="436"/>
    </row>
    <row r="64" ht="18" spans="1:7">
      <c r="A64" s="62">
        <v>23</v>
      </c>
      <c r="B64" s="62" t="s">
        <v>106</v>
      </c>
      <c r="C64" s="363" t="s">
        <v>45</v>
      </c>
      <c r="D64" s="62">
        <v>541.7</v>
      </c>
      <c r="E64" s="62"/>
      <c r="F64" s="62"/>
      <c r="G64" s="172"/>
    </row>
    <row r="65" ht="18" spans="1:7">
      <c r="A65" s="62"/>
      <c r="B65" s="62" t="s">
        <v>107</v>
      </c>
      <c r="C65" s="363" t="s">
        <v>45</v>
      </c>
      <c r="D65" s="62">
        <v>3428.71</v>
      </c>
      <c r="E65" s="62"/>
      <c r="F65" s="62"/>
      <c r="G65" s="172"/>
    </row>
    <row r="66" ht="18" spans="1:7">
      <c r="A66" s="95"/>
      <c r="B66" s="95" t="s">
        <v>108</v>
      </c>
      <c r="C66" s="380" t="s">
        <v>45</v>
      </c>
      <c r="D66" s="95">
        <v>1568.21</v>
      </c>
      <c r="E66" s="95"/>
      <c r="F66" s="95"/>
      <c r="G66" s="172"/>
    </row>
  </sheetData>
  <mergeCells count="11">
    <mergeCell ref="B1:D1"/>
    <mergeCell ref="A13:A15"/>
    <mergeCell ref="A22:A40"/>
    <mergeCell ref="A41:A42"/>
    <mergeCell ref="A46:A47"/>
    <mergeCell ref="A48:A49"/>
    <mergeCell ref="A50:A54"/>
    <mergeCell ref="A55:A57"/>
    <mergeCell ref="A58:A61"/>
    <mergeCell ref="A64:A66"/>
    <mergeCell ref="B50:B54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34"/>
  <sheetViews>
    <sheetView topLeftCell="A117" workbookViewId="0">
      <selection activeCell="D83" sqref="D83"/>
    </sheetView>
  </sheetViews>
  <sheetFormatPr defaultColWidth="9" defaultRowHeight="17.6" outlineLevelCol="6"/>
  <cols>
    <col min="1" max="1" width="7.19642857142857" customWidth="1"/>
    <col min="2" max="2" width="27.9017857142857" customWidth="1"/>
    <col min="3" max="3" width="6.79464285714286" customWidth="1"/>
    <col min="4" max="4" width="11.5982142857143" customWidth="1"/>
    <col min="5" max="5" width="11.1964285714286" customWidth="1"/>
    <col min="6" max="6" width="12.5982142857143" customWidth="1"/>
    <col min="7" max="7" width="12.9017857142857" customWidth="1"/>
  </cols>
  <sheetData>
    <row r="2" ht="25" customHeight="1" spans="1:7">
      <c r="A2" s="154" t="s">
        <v>109</v>
      </c>
      <c r="B2" s="155"/>
      <c r="C2" s="155"/>
      <c r="D2" s="155"/>
      <c r="E2" s="155"/>
      <c r="F2" s="155"/>
      <c r="G2" s="155"/>
    </row>
    <row r="3" spans="1:7">
      <c r="A3" s="150" t="s">
        <v>110</v>
      </c>
      <c r="B3" s="150" t="s">
        <v>111</v>
      </c>
      <c r="C3" s="150" t="s">
        <v>11</v>
      </c>
      <c r="D3" s="150" t="s">
        <v>112</v>
      </c>
      <c r="E3" s="150" t="s">
        <v>2</v>
      </c>
      <c r="F3" s="150" t="s">
        <v>3</v>
      </c>
      <c r="G3" s="150" t="s">
        <v>4</v>
      </c>
    </row>
    <row r="4" spans="1:7">
      <c r="A4" s="302"/>
      <c r="B4" s="303" t="s">
        <v>113</v>
      </c>
      <c r="C4" s="304" t="s">
        <v>59</v>
      </c>
      <c r="D4" s="305">
        <f>D5+D6+D18+D21+D23+D24+D28+D29+D32+0</f>
        <v>22113.64</v>
      </c>
      <c r="E4" s="302"/>
      <c r="F4" s="302"/>
      <c r="G4" s="302"/>
    </row>
    <row r="5" spans="1:7">
      <c r="A5" s="62" t="s">
        <v>114</v>
      </c>
      <c r="B5" s="273" t="s">
        <v>115</v>
      </c>
      <c r="C5" s="273" t="s">
        <v>59</v>
      </c>
      <c r="D5" s="306">
        <v>626.16</v>
      </c>
      <c r="E5" s="306">
        <v>11205.58</v>
      </c>
      <c r="F5" s="307">
        <f t="shared" ref="F5:F33" si="0">D5*E5</f>
        <v>7016485.9728</v>
      </c>
      <c r="G5" s="62"/>
    </row>
    <row r="6" spans="1:7">
      <c r="A6" s="62" t="s">
        <v>116</v>
      </c>
      <c r="B6" s="273" t="s">
        <v>117</v>
      </c>
      <c r="C6" s="273" t="s">
        <v>59</v>
      </c>
      <c r="D6" s="306">
        <v>10036.8</v>
      </c>
      <c r="E6" s="307">
        <v>3742.45</v>
      </c>
      <c r="F6" s="307">
        <f t="shared" si="0"/>
        <v>37562222.16</v>
      </c>
      <c r="G6" s="62"/>
    </row>
    <row r="7" spans="1:7">
      <c r="A7" s="62">
        <v>1</v>
      </c>
      <c r="B7" s="273" t="s">
        <v>118</v>
      </c>
      <c r="C7" s="273" t="s">
        <v>59</v>
      </c>
      <c r="D7" s="306">
        <v>595.35</v>
      </c>
      <c r="E7" s="307">
        <v>4206.76</v>
      </c>
      <c r="F7" s="307">
        <f t="shared" si="0"/>
        <v>2504494.566</v>
      </c>
      <c r="G7" s="62"/>
    </row>
    <row r="8" spans="1:7">
      <c r="A8" s="62">
        <v>2</v>
      </c>
      <c r="B8" s="273" t="s">
        <v>119</v>
      </c>
      <c r="C8" s="273" t="s">
        <v>59</v>
      </c>
      <c r="D8" s="306">
        <v>595.35</v>
      </c>
      <c r="E8" s="307">
        <v>4206.76</v>
      </c>
      <c r="F8" s="307">
        <f t="shared" si="0"/>
        <v>2504494.566</v>
      </c>
      <c r="G8" s="62"/>
    </row>
    <row r="9" spans="1:7">
      <c r="A9" s="62">
        <v>3</v>
      </c>
      <c r="B9" s="273" t="s">
        <v>120</v>
      </c>
      <c r="C9" s="273" t="s">
        <v>59</v>
      </c>
      <c r="D9" s="306">
        <v>3419.28</v>
      </c>
      <c r="E9" s="307">
        <v>2673.49</v>
      </c>
      <c r="F9" s="307">
        <f t="shared" si="0"/>
        <v>9141410.8872</v>
      </c>
      <c r="G9" s="62"/>
    </row>
    <row r="10" spans="1:7">
      <c r="A10" s="62">
        <v>4</v>
      </c>
      <c r="B10" s="273" t="s">
        <v>121</v>
      </c>
      <c r="C10" s="273" t="s">
        <v>59</v>
      </c>
      <c r="D10" s="306">
        <v>595.35</v>
      </c>
      <c r="E10" s="307">
        <v>4655.6</v>
      </c>
      <c r="F10" s="307">
        <f t="shared" si="0"/>
        <v>2771711.46</v>
      </c>
      <c r="G10" s="62"/>
    </row>
    <row r="11" spans="1:7">
      <c r="A11" s="62">
        <v>5</v>
      </c>
      <c r="B11" s="273" t="s">
        <v>122</v>
      </c>
      <c r="C11" s="273" t="s">
        <v>59</v>
      </c>
      <c r="D11" s="306">
        <v>595.35</v>
      </c>
      <c r="E11" s="307">
        <v>5404.24</v>
      </c>
      <c r="F11" s="307">
        <f t="shared" si="0"/>
        <v>3217414.284</v>
      </c>
      <c r="G11" s="62"/>
    </row>
    <row r="12" spans="1:7">
      <c r="A12" s="62">
        <v>6</v>
      </c>
      <c r="B12" s="273" t="s">
        <v>123</v>
      </c>
      <c r="C12" s="273" t="s">
        <v>59</v>
      </c>
      <c r="D12" s="306">
        <v>595.35</v>
      </c>
      <c r="E12" s="307">
        <v>4655.6</v>
      </c>
      <c r="F12" s="307">
        <f t="shared" si="0"/>
        <v>2771711.46</v>
      </c>
      <c r="G12" s="62"/>
    </row>
    <row r="13" spans="1:7">
      <c r="A13" s="62">
        <v>7</v>
      </c>
      <c r="B13" s="273" t="s">
        <v>124</v>
      </c>
      <c r="C13" s="273" t="s">
        <v>59</v>
      </c>
      <c r="D13" s="306">
        <v>1259.37</v>
      </c>
      <c r="E13" s="307">
        <v>2888</v>
      </c>
      <c r="F13" s="307">
        <f t="shared" si="0"/>
        <v>3637060.56</v>
      </c>
      <c r="G13" s="62"/>
    </row>
    <row r="14" spans="1:7">
      <c r="A14" s="62">
        <v>8</v>
      </c>
      <c r="B14" s="273" t="s">
        <v>125</v>
      </c>
      <c r="C14" s="273" t="s">
        <v>59</v>
      </c>
      <c r="D14" s="306">
        <v>595.35</v>
      </c>
      <c r="E14" s="307">
        <v>4416.94</v>
      </c>
      <c r="F14" s="307">
        <f t="shared" si="0"/>
        <v>2629625.229</v>
      </c>
      <c r="G14" s="62"/>
    </row>
    <row r="15" spans="1:7">
      <c r="A15" s="62">
        <v>9</v>
      </c>
      <c r="B15" s="273" t="s">
        <v>126</v>
      </c>
      <c r="C15" s="273" t="s">
        <v>59</v>
      </c>
      <c r="D15" s="306">
        <v>595.35</v>
      </c>
      <c r="E15" s="307">
        <v>4416.94</v>
      </c>
      <c r="F15" s="307">
        <f t="shared" si="0"/>
        <v>2629625.229</v>
      </c>
      <c r="G15" s="62"/>
    </row>
    <row r="16" spans="1:7">
      <c r="A16" s="62">
        <v>10</v>
      </c>
      <c r="B16" s="273" t="s">
        <v>127</v>
      </c>
      <c r="C16" s="273" t="s">
        <v>59</v>
      </c>
      <c r="D16" s="306">
        <v>595.35</v>
      </c>
      <c r="E16" s="307">
        <v>4655.52</v>
      </c>
      <c r="F16" s="307">
        <f t="shared" si="0"/>
        <v>2771663.832</v>
      </c>
      <c r="G16" s="62"/>
    </row>
    <row r="17" spans="1:7">
      <c r="A17" s="62">
        <v>11</v>
      </c>
      <c r="B17" s="273" t="s">
        <v>128</v>
      </c>
      <c r="C17" s="273" t="s">
        <v>59</v>
      </c>
      <c r="D17" s="306">
        <v>595.35</v>
      </c>
      <c r="E17" s="307">
        <v>5010.51</v>
      </c>
      <c r="F17" s="307">
        <f t="shared" si="0"/>
        <v>2983007.1285</v>
      </c>
      <c r="G17" s="62"/>
    </row>
    <row r="18" spans="1:7">
      <c r="A18" s="62" t="s">
        <v>129</v>
      </c>
      <c r="B18" s="273" t="s">
        <v>130</v>
      </c>
      <c r="C18" s="273" t="s">
        <v>59</v>
      </c>
      <c r="D18" s="306">
        <v>2084</v>
      </c>
      <c r="E18" s="306">
        <v>2593.34</v>
      </c>
      <c r="F18" s="307">
        <f t="shared" si="0"/>
        <v>5404520.56</v>
      </c>
      <c r="G18" s="62"/>
    </row>
    <row r="19" spans="1:7">
      <c r="A19" s="62">
        <v>12</v>
      </c>
      <c r="B19" s="273" t="s">
        <v>131</v>
      </c>
      <c r="C19" s="273" t="s">
        <v>59</v>
      </c>
      <c r="D19" s="306">
        <v>1042</v>
      </c>
      <c r="E19" s="307">
        <v>2668.87</v>
      </c>
      <c r="F19" s="307">
        <f t="shared" si="0"/>
        <v>2780962.54</v>
      </c>
      <c r="G19" s="62"/>
    </row>
    <row r="20" spans="1:7">
      <c r="A20" s="62">
        <v>13</v>
      </c>
      <c r="B20" s="273" t="s">
        <v>132</v>
      </c>
      <c r="C20" s="273" t="s">
        <v>59</v>
      </c>
      <c r="D20" s="306">
        <v>1042</v>
      </c>
      <c r="E20" s="307">
        <v>2517.81</v>
      </c>
      <c r="F20" s="307">
        <f t="shared" si="0"/>
        <v>2623558.02</v>
      </c>
      <c r="G20" s="62"/>
    </row>
    <row r="21" spans="1:7">
      <c r="A21" s="62" t="s">
        <v>133</v>
      </c>
      <c r="B21" s="273" t="s">
        <v>134</v>
      </c>
      <c r="C21" s="273" t="s">
        <v>59</v>
      </c>
      <c r="D21" s="306">
        <v>2168.16</v>
      </c>
      <c r="E21" s="306">
        <v>4718.7</v>
      </c>
      <c r="F21" s="307">
        <f t="shared" si="0"/>
        <v>10230896.592</v>
      </c>
      <c r="G21" s="62"/>
    </row>
    <row r="22" spans="1:7">
      <c r="A22" s="62">
        <v>14</v>
      </c>
      <c r="B22" s="273" t="s">
        <v>135</v>
      </c>
      <c r="C22" s="273" t="s">
        <v>59</v>
      </c>
      <c r="D22" s="306">
        <v>756.88</v>
      </c>
      <c r="E22" s="306">
        <v>3783.34</v>
      </c>
      <c r="F22" s="307">
        <f t="shared" si="0"/>
        <v>2863534.3792</v>
      </c>
      <c r="G22" s="62"/>
    </row>
    <row r="23" spans="1:7">
      <c r="A23" s="62" t="s">
        <v>136</v>
      </c>
      <c r="B23" s="273" t="s">
        <v>137</v>
      </c>
      <c r="C23" s="273" t="s">
        <v>59</v>
      </c>
      <c r="D23" s="306">
        <v>242.62</v>
      </c>
      <c r="E23" s="306">
        <v>5640.04</v>
      </c>
      <c r="F23" s="307">
        <f t="shared" si="0"/>
        <v>1368386.5048</v>
      </c>
      <c r="G23" s="62"/>
    </row>
    <row r="24" spans="1:7">
      <c r="A24" s="62" t="s">
        <v>138</v>
      </c>
      <c r="B24" s="273" t="s">
        <v>139</v>
      </c>
      <c r="C24" s="273" t="s">
        <v>59</v>
      </c>
      <c r="D24" s="306">
        <v>3659.72</v>
      </c>
      <c r="E24" s="306">
        <v>3041.24</v>
      </c>
      <c r="F24" s="307">
        <f t="shared" si="0"/>
        <v>11130086.8528</v>
      </c>
      <c r="G24" s="110"/>
    </row>
    <row r="25" spans="1:7">
      <c r="A25" s="62">
        <v>16</v>
      </c>
      <c r="B25" s="273" t="s">
        <v>140</v>
      </c>
      <c r="C25" s="273" t="s">
        <v>59</v>
      </c>
      <c r="D25" s="306">
        <v>1367.7</v>
      </c>
      <c r="E25" s="306">
        <v>2752.61</v>
      </c>
      <c r="F25" s="307">
        <f t="shared" si="0"/>
        <v>3764744.697</v>
      </c>
      <c r="G25" s="172"/>
    </row>
    <row r="26" spans="1:7">
      <c r="A26" s="62">
        <v>17</v>
      </c>
      <c r="B26" s="273" t="s">
        <v>141</v>
      </c>
      <c r="C26" s="273" t="s">
        <v>59</v>
      </c>
      <c r="D26" s="306">
        <v>428.22</v>
      </c>
      <c r="E26" s="306">
        <v>5153.58</v>
      </c>
      <c r="F26" s="307">
        <f t="shared" si="0"/>
        <v>2206866.0276</v>
      </c>
      <c r="G26" s="172"/>
    </row>
    <row r="27" ht="24" spans="1:7">
      <c r="A27" s="62">
        <v>18</v>
      </c>
      <c r="B27" s="308" t="s">
        <v>142</v>
      </c>
      <c r="C27" s="273" t="s">
        <v>59</v>
      </c>
      <c r="D27" s="306">
        <v>1863.8</v>
      </c>
      <c r="E27" s="306">
        <v>2767.71</v>
      </c>
      <c r="F27" s="307">
        <f t="shared" si="0"/>
        <v>5158457.898</v>
      </c>
      <c r="G27" s="172"/>
    </row>
    <row r="28" spans="1:7">
      <c r="A28" s="79" t="s">
        <v>143</v>
      </c>
      <c r="B28" s="273" t="s">
        <v>144</v>
      </c>
      <c r="C28" s="273" t="s">
        <v>59</v>
      </c>
      <c r="D28" s="306">
        <v>178.32</v>
      </c>
      <c r="E28" s="306">
        <v>14645.18</v>
      </c>
      <c r="F28" s="307">
        <f t="shared" si="0"/>
        <v>2611528.4976</v>
      </c>
      <c r="G28" s="309"/>
    </row>
    <row r="29" spans="1:7">
      <c r="A29" s="62" t="s">
        <v>145</v>
      </c>
      <c r="B29" s="273" t="s">
        <v>146</v>
      </c>
      <c r="C29" s="273" t="s">
        <v>59</v>
      </c>
      <c r="D29" s="306">
        <v>2570.86</v>
      </c>
      <c r="E29" s="306">
        <v>4276.61</v>
      </c>
      <c r="F29" s="307">
        <f t="shared" si="0"/>
        <v>10994565.5846</v>
      </c>
      <c r="G29" s="172"/>
    </row>
    <row r="30" spans="1:7">
      <c r="A30" s="62">
        <v>20</v>
      </c>
      <c r="B30" s="273" t="s">
        <v>147</v>
      </c>
      <c r="C30" s="273" t="s">
        <v>59</v>
      </c>
      <c r="D30" s="306">
        <v>858</v>
      </c>
      <c r="E30" s="306">
        <v>4446.73</v>
      </c>
      <c r="F30" s="307">
        <f t="shared" si="0"/>
        <v>3815294.34</v>
      </c>
      <c r="G30" s="172"/>
    </row>
    <row r="31" spans="1:7">
      <c r="A31" s="62">
        <v>21</v>
      </c>
      <c r="B31" s="273" t="s">
        <v>148</v>
      </c>
      <c r="C31" s="273" t="s">
        <v>59</v>
      </c>
      <c r="D31" s="306">
        <v>1568.2</v>
      </c>
      <c r="E31" s="306">
        <v>3853.24</v>
      </c>
      <c r="F31" s="307">
        <f t="shared" si="0"/>
        <v>6042650.968</v>
      </c>
      <c r="G31" s="172"/>
    </row>
    <row r="32" spans="1:7">
      <c r="A32" s="62" t="s">
        <v>149</v>
      </c>
      <c r="B32" s="273" t="s">
        <v>150</v>
      </c>
      <c r="C32" s="273" t="s">
        <v>59</v>
      </c>
      <c r="D32" s="306">
        <v>547</v>
      </c>
      <c r="E32" s="306">
        <v>4262.27</v>
      </c>
      <c r="F32" s="307">
        <f t="shared" si="0"/>
        <v>2331461.69</v>
      </c>
      <c r="G32" s="172"/>
    </row>
    <row r="33" spans="1:7">
      <c r="A33" s="62">
        <v>22</v>
      </c>
      <c r="B33" s="273" t="s">
        <v>151</v>
      </c>
      <c r="C33" s="273" t="s">
        <v>59</v>
      </c>
      <c r="D33" s="306">
        <v>547</v>
      </c>
      <c r="E33" s="306">
        <v>4262.27</v>
      </c>
      <c r="F33" s="307">
        <f t="shared" si="0"/>
        <v>2331461.69</v>
      </c>
      <c r="G33" s="172"/>
    </row>
    <row r="34" spans="1:7">
      <c r="A34" s="176"/>
      <c r="B34" s="176"/>
      <c r="C34" s="176"/>
      <c r="D34" s="307"/>
      <c r="E34" s="307"/>
      <c r="F34" s="307"/>
      <c r="G34" s="172"/>
    </row>
    <row r="35" spans="1:7">
      <c r="A35" s="196"/>
      <c r="E35" s="310"/>
      <c r="F35" s="310"/>
      <c r="G35" s="139"/>
    </row>
    <row r="36" spans="1:7">
      <c r="A36" s="311"/>
      <c r="B36" s="311"/>
      <c r="C36" s="311"/>
      <c r="D36" s="311"/>
      <c r="E36" s="311"/>
      <c r="F36" s="311"/>
      <c r="G36" s="312"/>
    </row>
    <row r="37" spans="1:7">
      <c r="A37" s="176"/>
      <c r="E37" s="176"/>
      <c r="F37" s="176"/>
      <c r="G37" s="172"/>
    </row>
    <row r="38" spans="1:7">
      <c r="A38" s="176"/>
      <c r="B38" s="176"/>
      <c r="C38" s="176"/>
      <c r="D38" s="176"/>
      <c r="E38" s="176"/>
      <c r="F38" s="176"/>
      <c r="G38" s="172"/>
    </row>
    <row r="39" spans="1:7">
      <c r="A39" s="176"/>
      <c r="E39" s="176"/>
      <c r="F39" s="176"/>
      <c r="G39" s="172"/>
    </row>
    <row r="40" spans="1:7">
      <c r="A40" s="176"/>
      <c r="B40" s="176"/>
      <c r="C40" s="273" t="s">
        <v>152</v>
      </c>
      <c r="D40" s="176"/>
      <c r="E40" s="176"/>
      <c r="F40" s="176"/>
      <c r="G40" s="172"/>
    </row>
    <row r="41" spans="1:7">
      <c r="A41" s="176"/>
      <c r="B41" s="313" t="s">
        <v>153</v>
      </c>
      <c r="C41" s="304" t="s">
        <v>59</v>
      </c>
      <c r="D41" s="314">
        <v>16055.08</v>
      </c>
      <c r="E41" s="315"/>
      <c r="G41" s="172"/>
    </row>
    <row r="42" spans="1:7">
      <c r="A42" s="176"/>
      <c r="B42" s="176" t="s">
        <v>154</v>
      </c>
      <c r="C42" s="273" t="s">
        <v>59</v>
      </c>
      <c r="D42" s="274">
        <v>208.72</v>
      </c>
      <c r="E42" s="176"/>
      <c r="F42" s="176"/>
      <c r="G42" s="172"/>
    </row>
    <row r="43" spans="1:7">
      <c r="A43" s="176"/>
      <c r="B43" s="316" t="s">
        <v>117</v>
      </c>
      <c r="C43" s="273" t="s">
        <v>59</v>
      </c>
      <c r="D43" s="181">
        <v>8560.81</v>
      </c>
      <c r="E43" s="317">
        <v>4245.24</v>
      </c>
      <c r="F43" s="318">
        <f>D43*E43</f>
        <v>36342693.0444</v>
      </c>
      <c r="G43" s="172"/>
    </row>
    <row r="44" spans="1:7">
      <c r="A44" s="62">
        <v>1</v>
      </c>
      <c r="B44" s="316" t="s">
        <v>155</v>
      </c>
      <c r="C44" s="273" t="s">
        <v>59</v>
      </c>
      <c r="D44" s="181">
        <v>595.35</v>
      </c>
      <c r="E44" s="176"/>
      <c r="F44" s="176"/>
      <c r="G44" s="172"/>
    </row>
    <row r="45" spans="1:7">
      <c r="A45" s="62">
        <v>2</v>
      </c>
      <c r="B45" s="316" t="s">
        <v>156</v>
      </c>
      <c r="C45" s="273" t="s">
        <v>59</v>
      </c>
      <c r="D45" s="274">
        <v>595.35</v>
      </c>
      <c r="E45" s="176"/>
      <c r="F45" s="176"/>
      <c r="G45" s="172"/>
    </row>
    <row r="46" spans="1:7">
      <c r="A46" s="62">
        <v>3</v>
      </c>
      <c r="B46" s="316" t="s">
        <v>157</v>
      </c>
      <c r="C46" s="273" t="s">
        <v>59</v>
      </c>
      <c r="D46" s="274">
        <v>595.35</v>
      </c>
      <c r="E46" s="176"/>
      <c r="F46" s="176"/>
      <c r="G46" s="172"/>
    </row>
    <row r="47" spans="1:7">
      <c r="A47" s="62">
        <v>4</v>
      </c>
      <c r="B47" s="316" t="s">
        <v>158</v>
      </c>
      <c r="C47" s="273" t="s">
        <v>59</v>
      </c>
      <c r="D47" s="274">
        <v>595.35</v>
      </c>
      <c r="E47" s="176"/>
      <c r="F47" s="176"/>
      <c r="G47" s="172"/>
    </row>
    <row r="48" spans="1:7">
      <c r="A48" s="62">
        <v>5</v>
      </c>
      <c r="B48" s="316" t="s">
        <v>159</v>
      </c>
      <c r="C48" s="273" t="s">
        <v>59</v>
      </c>
      <c r="D48" s="274">
        <v>790.48</v>
      </c>
      <c r="E48" s="176"/>
      <c r="F48" s="176"/>
      <c r="G48" s="172"/>
    </row>
    <row r="49" spans="1:7">
      <c r="A49" s="62">
        <v>6</v>
      </c>
      <c r="B49" s="316" t="s">
        <v>160</v>
      </c>
      <c r="C49" s="273" t="s">
        <v>59</v>
      </c>
      <c r="D49" s="274">
        <v>595.35</v>
      </c>
      <c r="E49" s="176"/>
      <c r="F49" s="176"/>
      <c r="G49" s="172"/>
    </row>
    <row r="50" spans="1:7">
      <c r="A50" s="62">
        <v>7</v>
      </c>
      <c r="B50" s="316" t="s">
        <v>161</v>
      </c>
      <c r="C50" s="273" t="s">
        <v>59</v>
      </c>
      <c r="D50" s="274">
        <v>595.35</v>
      </c>
      <c r="E50" s="176"/>
      <c r="F50" s="176"/>
      <c r="G50" s="172"/>
    </row>
    <row r="51" spans="1:7">
      <c r="A51" s="62">
        <v>8</v>
      </c>
      <c r="B51" s="316" t="s">
        <v>162</v>
      </c>
      <c r="C51" s="273" t="s">
        <v>59</v>
      </c>
      <c r="D51" s="274">
        <v>595.35</v>
      </c>
      <c r="E51" s="176"/>
      <c r="F51" s="176"/>
      <c r="G51" s="172"/>
    </row>
    <row r="52" spans="1:7">
      <c r="A52" s="62">
        <v>9</v>
      </c>
      <c r="B52" s="316" t="s">
        <v>163</v>
      </c>
      <c r="C52" s="273" t="s">
        <v>59</v>
      </c>
      <c r="D52" s="274">
        <v>692.08</v>
      </c>
      <c r="E52" s="176"/>
      <c r="F52" s="176"/>
      <c r="G52" s="172"/>
    </row>
    <row r="53" spans="1:7">
      <c r="A53" s="62">
        <v>10</v>
      </c>
      <c r="B53" s="316" t="s">
        <v>164</v>
      </c>
      <c r="C53" s="273" t="s">
        <v>59</v>
      </c>
      <c r="D53" s="274">
        <v>595.35</v>
      </c>
      <c r="E53" s="176"/>
      <c r="F53" s="176"/>
      <c r="G53" s="172"/>
    </row>
    <row r="54" spans="1:7">
      <c r="A54" s="62">
        <v>11</v>
      </c>
      <c r="B54" s="316" t="s">
        <v>165</v>
      </c>
      <c r="C54" s="273" t="s">
        <v>59</v>
      </c>
      <c r="D54" s="274">
        <v>595.35</v>
      </c>
      <c r="E54" s="176"/>
      <c r="F54" s="176"/>
      <c r="G54" s="172"/>
    </row>
    <row r="55" spans="1:7">
      <c r="A55" s="62">
        <v>12</v>
      </c>
      <c r="B55" s="316" t="s">
        <v>166</v>
      </c>
      <c r="C55" s="273" t="s">
        <v>59</v>
      </c>
      <c r="D55" s="274">
        <v>1720.1</v>
      </c>
      <c r="E55" s="176"/>
      <c r="F55" s="176"/>
      <c r="G55" s="172"/>
    </row>
    <row r="56" spans="1:7">
      <c r="A56" s="176"/>
      <c r="B56" s="316" t="s">
        <v>130</v>
      </c>
      <c r="C56" s="273" t="s">
        <v>59</v>
      </c>
      <c r="D56" s="306">
        <v>2084</v>
      </c>
      <c r="E56" s="319">
        <v>2416.86</v>
      </c>
      <c r="F56" s="318">
        <f>D56*E56</f>
        <v>5036736.24</v>
      </c>
      <c r="G56" s="172"/>
    </row>
    <row r="57" spans="1:7">
      <c r="A57" s="62">
        <v>13</v>
      </c>
      <c r="B57" s="316" t="s">
        <v>167</v>
      </c>
      <c r="C57" s="273" t="s">
        <v>59</v>
      </c>
      <c r="D57" s="306">
        <v>1042</v>
      </c>
      <c r="E57" s="176"/>
      <c r="F57" s="176"/>
      <c r="G57" s="172"/>
    </row>
    <row r="58" spans="1:7">
      <c r="A58" s="62">
        <v>14</v>
      </c>
      <c r="B58" s="316" t="s">
        <v>168</v>
      </c>
      <c r="C58" s="273" t="s">
        <v>59</v>
      </c>
      <c r="D58" s="306">
        <v>1042</v>
      </c>
      <c r="E58" s="176"/>
      <c r="F58" s="176"/>
      <c r="G58" s="172"/>
    </row>
    <row r="59" spans="1:7">
      <c r="A59" s="62"/>
      <c r="B59" s="316" t="s">
        <v>134</v>
      </c>
      <c r="C59" s="273" t="s">
        <v>59</v>
      </c>
      <c r="D59" s="306">
        <v>2034.66</v>
      </c>
      <c r="E59" s="176"/>
      <c r="F59" s="176"/>
      <c r="G59" s="172"/>
    </row>
    <row r="60" spans="1:7">
      <c r="A60" s="79">
        <v>15</v>
      </c>
      <c r="B60" s="316" t="s">
        <v>169</v>
      </c>
      <c r="C60" s="273" t="s">
        <v>59</v>
      </c>
      <c r="D60" s="306">
        <v>650.8</v>
      </c>
      <c r="E60" s="176"/>
      <c r="F60" s="176"/>
      <c r="G60" s="172"/>
    </row>
    <row r="61" spans="1:7">
      <c r="A61" s="62">
        <v>16</v>
      </c>
      <c r="B61" s="316" t="s">
        <v>170</v>
      </c>
      <c r="C61" s="273" t="s">
        <v>59</v>
      </c>
      <c r="D61" s="306">
        <v>650.8</v>
      </c>
      <c r="E61" s="176"/>
      <c r="F61" s="176"/>
      <c r="G61" s="172"/>
    </row>
    <row r="62" spans="1:7">
      <c r="A62" s="62">
        <v>17</v>
      </c>
      <c r="B62" s="316" t="s">
        <v>171</v>
      </c>
      <c r="C62" s="273" t="s">
        <v>59</v>
      </c>
      <c r="D62" s="306">
        <v>650.8</v>
      </c>
      <c r="E62" s="176"/>
      <c r="F62" s="176"/>
      <c r="G62" s="172"/>
    </row>
    <row r="63" spans="1:7">
      <c r="A63" s="62">
        <v>18</v>
      </c>
      <c r="B63" s="316" t="s">
        <v>172</v>
      </c>
      <c r="C63" s="273" t="s">
        <v>59</v>
      </c>
      <c r="D63" s="306">
        <v>82.26</v>
      </c>
      <c r="E63" s="176"/>
      <c r="F63" s="176"/>
      <c r="G63" s="172"/>
    </row>
    <row r="64" spans="1:7">
      <c r="A64" s="62"/>
      <c r="B64" s="316" t="s">
        <v>137</v>
      </c>
      <c r="C64" s="273" t="s">
        <v>59</v>
      </c>
      <c r="D64" s="306">
        <v>270.85</v>
      </c>
      <c r="E64" s="176"/>
      <c r="F64" s="176"/>
      <c r="G64" s="172"/>
    </row>
    <row r="65" spans="1:7">
      <c r="A65" s="62">
        <v>19</v>
      </c>
      <c r="B65" s="316" t="s">
        <v>173</v>
      </c>
      <c r="C65" s="273" t="s">
        <v>59</v>
      </c>
      <c r="D65" s="306">
        <v>108.34</v>
      </c>
      <c r="E65" s="176"/>
      <c r="F65" s="176"/>
      <c r="G65" s="172"/>
    </row>
    <row r="66" spans="1:7">
      <c r="A66" s="62">
        <v>20</v>
      </c>
      <c r="B66" s="316" t="s">
        <v>174</v>
      </c>
      <c r="C66" s="273" t="s">
        <v>59</v>
      </c>
      <c r="D66" s="306">
        <v>54.17</v>
      </c>
      <c r="E66" s="176"/>
      <c r="F66" s="176"/>
      <c r="G66" s="172"/>
    </row>
    <row r="67" spans="1:7">
      <c r="A67" s="79">
        <v>21</v>
      </c>
      <c r="B67" s="316" t="s">
        <v>175</v>
      </c>
      <c r="C67" s="273" t="s">
        <v>59</v>
      </c>
      <c r="D67" s="306">
        <v>108.34</v>
      </c>
      <c r="E67" s="320"/>
      <c r="F67" s="320"/>
      <c r="G67" s="309"/>
    </row>
    <row r="68" spans="1:7">
      <c r="A68" s="62"/>
      <c r="B68" s="316" t="s">
        <v>144</v>
      </c>
      <c r="C68" s="273" t="s">
        <v>59</v>
      </c>
      <c r="D68" s="306">
        <v>1242</v>
      </c>
      <c r="E68" s="176"/>
      <c r="F68" s="176"/>
      <c r="G68" s="172"/>
    </row>
    <row r="69" spans="1:7">
      <c r="A69" s="62"/>
      <c r="B69" s="316" t="s">
        <v>176</v>
      </c>
      <c r="C69" s="273" t="s">
        <v>59</v>
      </c>
      <c r="D69" s="306">
        <v>1242</v>
      </c>
      <c r="E69" s="176"/>
      <c r="F69" s="176"/>
      <c r="G69" s="172"/>
    </row>
    <row r="70" spans="1:7">
      <c r="A70" s="62">
        <v>22</v>
      </c>
      <c r="B70" s="316" t="s">
        <v>177</v>
      </c>
      <c r="C70" s="273" t="s">
        <v>59</v>
      </c>
      <c r="D70" s="306">
        <v>28.1</v>
      </c>
      <c r="E70" s="176"/>
      <c r="F70" s="176"/>
      <c r="G70" s="172"/>
    </row>
    <row r="71" spans="1:7">
      <c r="A71" s="62">
        <v>23</v>
      </c>
      <c r="B71" s="316" t="s">
        <v>178</v>
      </c>
      <c r="C71" s="273" t="s">
        <v>59</v>
      </c>
      <c r="D71" s="306">
        <v>28.1</v>
      </c>
      <c r="E71" s="176"/>
      <c r="F71" s="176"/>
      <c r="G71" s="172"/>
    </row>
    <row r="72" spans="1:7">
      <c r="A72" s="62">
        <v>24</v>
      </c>
      <c r="B72" s="316" t="s">
        <v>179</v>
      </c>
      <c r="C72" s="273" t="s">
        <v>59</v>
      </c>
      <c r="D72" s="306">
        <v>28.1</v>
      </c>
      <c r="E72" s="176"/>
      <c r="F72" s="176"/>
      <c r="G72" s="172"/>
    </row>
    <row r="73" spans="1:7">
      <c r="A73" s="62">
        <v>25</v>
      </c>
      <c r="B73" s="316" t="s">
        <v>180</v>
      </c>
      <c r="C73" s="273" t="s">
        <v>59</v>
      </c>
      <c r="D73" s="306">
        <v>28.1</v>
      </c>
      <c r="E73" s="176"/>
      <c r="F73" s="176"/>
      <c r="G73" s="172"/>
    </row>
    <row r="74" spans="1:7">
      <c r="A74" s="79"/>
      <c r="B74" s="321" t="s">
        <v>181</v>
      </c>
      <c r="C74" s="322" t="s">
        <v>59</v>
      </c>
      <c r="D74" s="323">
        <v>1129.6</v>
      </c>
      <c r="E74" s="320"/>
      <c r="F74" s="320"/>
      <c r="G74" s="324" t="s">
        <v>182</v>
      </c>
    </row>
    <row r="75" spans="1:7">
      <c r="A75" s="62"/>
      <c r="B75" s="316" t="s">
        <v>146</v>
      </c>
      <c r="C75" s="273" t="s">
        <v>59</v>
      </c>
      <c r="D75" s="274">
        <v>1654.04</v>
      </c>
      <c r="E75" s="325">
        <v>3593.67</v>
      </c>
      <c r="F75" s="318">
        <f>D75*E75</f>
        <v>5944073.9268</v>
      </c>
      <c r="G75" s="172"/>
    </row>
    <row r="76" spans="1:7">
      <c r="A76" s="62">
        <v>26</v>
      </c>
      <c r="B76" s="316" t="s">
        <v>183</v>
      </c>
      <c r="C76" s="273" t="s">
        <v>59</v>
      </c>
      <c r="D76" s="274">
        <v>1568.2</v>
      </c>
      <c r="E76" s="318"/>
      <c r="F76" s="318"/>
      <c r="G76" s="172"/>
    </row>
    <row r="77" spans="1:7">
      <c r="A77" s="62">
        <v>27</v>
      </c>
      <c r="B77" s="316" t="s">
        <v>184</v>
      </c>
      <c r="C77" s="273" t="s">
        <v>59</v>
      </c>
      <c r="D77" s="274">
        <v>26.63</v>
      </c>
      <c r="E77" s="318"/>
      <c r="F77" s="318"/>
      <c r="G77" s="172"/>
    </row>
    <row r="78" spans="1:7">
      <c r="A78" s="62">
        <v>28</v>
      </c>
      <c r="B78" s="316" t="s">
        <v>185</v>
      </c>
      <c r="C78" s="273" t="s">
        <v>59</v>
      </c>
      <c r="D78" s="274">
        <v>32.58</v>
      </c>
      <c r="E78" s="318"/>
      <c r="F78" s="318"/>
      <c r="G78" s="172"/>
    </row>
    <row r="79" spans="1:7">
      <c r="A79" s="62">
        <v>29</v>
      </c>
      <c r="B79" s="316" t="s">
        <v>186</v>
      </c>
      <c r="C79" s="273" t="s">
        <v>59</v>
      </c>
      <c r="D79" s="274">
        <v>26.63</v>
      </c>
      <c r="E79" s="318"/>
      <c r="F79" s="318"/>
      <c r="G79" s="172"/>
    </row>
    <row r="80" spans="1:7">
      <c r="A80" s="62"/>
      <c r="B80" s="304" t="s">
        <v>187</v>
      </c>
      <c r="C80" s="273"/>
      <c r="D80" s="274"/>
      <c r="E80" s="181"/>
      <c r="F80" s="318"/>
      <c r="G80" s="172"/>
    </row>
    <row r="81" spans="1:7">
      <c r="A81" s="62"/>
      <c r="B81" s="326" t="s">
        <v>188</v>
      </c>
      <c r="C81" s="326" t="s">
        <v>59</v>
      </c>
      <c r="D81" s="327">
        <v>9958.91</v>
      </c>
      <c r="E81" s="327">
        <v>2845.61</v>
      </c>
      <c r="F81" s="181">
        <f t="shared" ref="F81:F86" si="1">D81*E81</f>
        <v>28339173.8851</v>
      </c>
      <c r="G81" s="172"/>
    </row>
    <row r="82" spans="1:7">
      <c r="A82" s="62"/>
      <c r="B82" s="326" t="s">
        <v>115</v>
      </c>
      <c r="C82" s="326" t="s">
        <v>59</v>
      </c>
      <c r="D82" s="327">
        <v>20</v>
      </c>
      <c r="E82" s="327">
        <v>1230.85</v>
      </c>
      <c r="F82" s="181">
        <f t="shared" si="1"/>
        <v>24617</v>
      </c>
      <c r="G82" s="172"/>
    </row>
    <row r="83" spans="1:7">
      <c r="A83" s="62"/>
      <c r="B83" s="326" t="s">
        <v>134</v>
      </c>
      <c r="C83" s="326" t="s">
        <v>59</v>
      </c>
      <c r="D83" s="327">
        <v>1586.24</v>
      </c>
      <c r="E83" s="327">
        <v>3963.31</v>
      </c>
      <c r="F83" s="328">
        <f t="shared" si="1"/>
        <v>6286760.8544</v>
      </c>
      <c r="G83" s="172"/>
    </row>
    <row r="84" spans="1:7">
      <c r="A84" s="62"/>
      <c r="B84" s="326" t="s">
        <v>137</v>
      </c>
      <c r="C84" s="326" t="s">
        <v>59</v>
      </c>
      <c r="D84" s="327">
        <v>155.52</v>
      </c>
      <c r="E84" s="327">
        <v>3023.04</v>
      </c>
      <c r="F84" s="328">
        <f t="shared" si="1"/>
        <v>470143.1808</v>
      </c>
      <c r="G84" s="172"/>
    </row>
    <row r="85" spans="1:7">
      <c r="A85" s="62"/>
      <c r="B85" s="326" t="s">
        <v>144</v>
      </c>
      <c r="C85" s="326" t="s">
        <v>59</v>
      </c>
      <c r="D85" s="327">
        <v>22.23</v>
      </c>
      <c r="E85" s="327">
        <v>4548.04</v>
      </c>
      <c r="F85" s="328">
        <f t="shared" si="1"/>
        <v>101102.9292</v>
      </c>
      <c r="G85" s="172"/>
    </row>
    <row r="86" spans="1:7">
      <c r="A86" s="176"/>
      <c r="B86" s="326" t="s">
        <v>146</v>
      </c>
      <c r="C86" s="326" t="s">
        <v>59</v>
      </c>
      <c r="D86" s="327">
        <v>8174.92</v>
      </c>
      <c r="E86" s="327">
        <v>2624.67</v>
      </c>
      <c r="F86" s="181">
        <f t="shared" si="1"/>
        <v>21456467.2764</v>
      </c>
      <c r="G86" s="172"/>
    </row>
    <row r="87" spans="1:7">
      <c r="A87" s="176"/>
      <c r="B87" s="329"/>
      <c r="C87" s="329"/>
      <c r="D87" s="330"/>
      <c r="E87" s="330"/>
      <c r="F87" s="176"/>
      <c r="G87" s="172"/>
    </row>
    <row r="88" spans="1:7">
      <c r="A88" s="176"/>
      <c r="B88" s="331"/>
      <c r="C88" s="329"/>
      <c r="D88" s="332"/>
      <c r="E88" s="332"/>
      <c r="F88" s="176"/>
      <c r="G88" s="172"/>
    </row>
    <row r="89" spans="1:7">
      <c r="A89" s="176"/>
      <c r="B89" s="331"/>
      <c r="C89" s="329"/>
      <c r="D89" s="332"/>
      <c r="E89" s="332"/>
      <c r="F89" s="176"/>
      <c r="G89" s="172"/>
    </row>
    <row r="90" spans="1:7">
      <c r="A90" s="176"/>
      <c r="B90" s="176"/>
      <c r="C90" s="176"/>
      <c r="D90" s="176"/>
      <c r="E90" s="176"/>
      <c r="F90" s="176"/>
      <c r="G90" s="172"/>
    </row>
    <row r="91" spans="1:7">
      <c r="A91" s="176"/>
      <c r="B91" s="333" t="s">
        <v>189</v>
      </c>
      <c r="C91" s="334" t="s">
        <v>59</v>
      </c>
      <c r="D91" s="335">
        <v>16921.74</v>
      </c>
      <c r="E91" s="176"/>
      <c r="F91" s="176"/>
      <c r="G91" s="172"/>
    </row>
    <row r="92" spans="1:7">
      <c r="A92" s="176"/>
      <c r="B92" s="316" t="s">
        <v>115</v>
      </c>
      <c r="C92" s="273" t="s">
        <v>59</v>
      </c>
      <c r="D92" s="319">
        <v>208.72</v>
      </c>
      <c r="E92" s="336"/>
      <c r="F92" s="176"/>
      <c r="G92" s="172"/>
    </row>
    <row r="93" spans="1:7">
      <c r="A93" s="62">
        <v>1</v>
      </c>
      <c r="B93" s="316" t="s">
        <v>190</v>
      </c>
      <c r="C93" s="273" t="s">
        <v>59</v>
      </c>
      <c r="D93" s="325">
        <v>130.45</v>
      </c>
      <c r="E93" s="325">
        <v>4930.5</v>
      </c>
      <c r="F93" s="337">
        <f>E93*D93</f>
        <v>643183.725</v>
      </c>
      <c r="G93" s="172"/>
    </row>
    <row r="94" spans="1:7">
      <c r="A94" s="62">
        <v>1</v>
      </c>
      <c r="B94" s="316" t="s">
        <v>191</v>
      </c>
      <c r="C94" s="273" t="s">
        <v>59</v>
      </c>
      <c r="D94" s="325">
        <v>78.27</v>
      </c>
      <c r="E94" s="325">
        <v>12244.51</v>
      </c>
      <c r="F94" s="337">
        <f>E94*D94</f>
        <v>958377.7977</v>
      </c>
      <c r="G94" s="172"/>
    </row>
    <row r="95" spans="1:7">
      <c r="A95" s="62"/>
      <c r="B95" s="338" t="s">
        <v>117</v>
      </c>
      <c r="C95" s="304" t="s">
        <v>59</v>
      </c>
      <c r="D95" s="339">
        <v>7697.35</v>
      </c>
      <c r="E95" s="325">
        <v>3619.28</v>
      </c>
      <c r="F95" s="337">
        <f>E95*D95</f>
        <v>27858864.908</v>
      </c>
      <c r="G95" s="172"/>
    </row>
    <row r="96" spans="1:7">
      <c r="A96" s="62">
        <v>3</v>
      </c>
      <c r="B96" s="316" t="s">
        <v>192</v>
      </c>
      <c r="C96" s="273" t="s">
        <v>59</v>
      </c>
      <c r="D96" s="325">
        <v>595.35</v>
      </c>
      <c r="E96" s="340"/>
      <c r="F96" s="318"/>
      <c r="G96" s="172"/>
    </row>
    <row r="97" spans="1:7">
      <c r="A97" s="62">
        <v>4</v>
      </c>
      <c r="B97" s="316" t="s">
        <v>193</v>
      </c>
      <c r="C97" s="273" t="s">
        <v>59</v>
      </c>
      <c r="D97" s="325">
        <v>1349.36</v>
      </c>
      <c r="E97" s="340"/>
      <c r="F97" s="318"/>
      <c r="G97" s="172"/>
    </row>
    <row r="98" spans="1:7">
      <c r="A98" s="62">
        <v>5</v>
      </c>
      <c r="B98" s="316" t="s">
        <v>194</v>
      </c>
      <c r="C98" s="273" t="s">
        <v>59</v>
      </c>
      <c r="D98" s="325">
        <v>595.35</v>
      </c>
      <c r="E98" s="340"/>
      <c r="F98" s="318"/>
      <c r="G98" s="172"/>
    </row>
    <row r="99" spans="1:7">
      <c r="A99" s="62">
        <v>6</v>
      </c>
      <c r="B99" s="316" t="s">
        <v>195</v>
      </c>
      <c r="C99" s="273" t="s">
        <v>59</v>
      </c>
      <c r="D99" s="325">
        <v>1720.1</v>
      </c>
      <c r="E99" s="325">
        <v>3556.28</v>
      </c>
      <c r="F99" s="318"/>
      <c r="G99" s="172"/>
    </row>
    <row r="100" spans="1:7">
      <c r="A100" s="62">
        <v>7</v>
      </c>
      <c r="B100" s="316" t="s">
        <v>196</v>
      </c>
      <c r="C100" s="273" t="s">
        <v>59</v>
      </c>
      <c r="D100" s="325">
        <v>1549.76</v>
      </c>
      <c r="E100" s="325">
        <v>2642.17</v>
      </c>
      <c r="F100" s="318"/>
      <c r="G100" s="172"/>
    </row>
    <row r="101" spans="1:7">
      <c r="A101" s="62">
        <v>8</v>
      </c>
      <c r="B101" s="316" t="s">
        <v>197</v>
      </c>
      <c r="C101" s="273" t="s">
        <v>59</v>
      </c>
      <c r="D101" s="325">
        <v>595.35</v>
      </c>
      <c r="E101" s="325">
        <v>4655.53</v>
      </c>
      <c r="F101" s="318"/>
      <c r="G101" s="172"/>
    </row>
    <row r="102" spans="1:7">
      <c r="A102" s="62">
        <v>9</v>
      </c>
      <c r="B102" s="316" t="s">
        <v>198</v>
      </c>
      <c r="C102" s="273" t="s">
        <v>59</v>
      </c>
      <c r="D102" s="325">
        <v>595.35</v>
      </c>
      <c r="E102" s="325">
        <v>6385.19</v>
      </c>
      <c r="F102" s="318"/>
      <c r="G102" s="172" t="s">
        <v>199</v>
      </c>
    </row>
    <row r="103" spans="1:7">
      <c r="A103" s="62">
        <v>10</v>
      </c>
      <c r="B103" s="316" t="s">
        <v>200</v>
      </c>
      <c r="C103" s="273" t="s">
        <v>59</v>
      </c>
      <c r="D103" s="325">
        <v>696.73</v>
      </c>
      <c r="E103" s="325">
        <v>3991.17</v>
      </c>
      <c r="F103" s="318"/>
      <c r="G103" s="172"/>
    </row>
    <row r="104" spans="1:7">
      <c r="A104" s="62"/>
      <c r="B104" s="338" t="s">
        <v>130</v>
      </c>
      <c r="C104" s="304" t="s">
        <v>59</v>
      </c>
      <c r="D104" s="339">
        <v>3126</v>
      </c>
      <c r="E104" s="339">
        <v>2653.58</v>
      </c>
      <c r="F104" s="318"/>
      <c r="G104" s="172"/>
    </row>
    <row r="105" spans="1:7">
      <c r="A105" s="62">
        <v>11</v>
      </c>
      <c r="B105" s="316" t="s">
        <v>201</v>
      </c>
      <c r="C105" s="273" t="s">
        <v>59</v>
      </c>
      <c r="D105" s="325">
        <v>1042</v>
      </c>
      <c r="E105" s="318"/>
      <c r="F105" s="318"/>
      <c r="G105" s="172"/>
    </row>
    <row r="106" spans="1:7">
      <c r="A106" s="62">
        <v>12</v>
      </c>
      <c r="B106" s="316" t="s">
        <v>202</v>
      </c>
      <c r="C106" s="273" t="s">
        <v>59</v>
      </c>
      <c r="D106" s="325">
        <v>1042</v>
      </c>
      <c r="E106" s="325">
        <v>2692.61</v>
      </c>
      <c r="F106" s="318"/>
      <c r="G106" s="172"/>
    </row>
    <row r="107" spans="1:7">
      <c r="A107" s="62">
        <v>13</v>
      </c>
      <c r="B107" s="316" t="s">
        <v>203</v>
      </c>
      <c r="C107" s="273" t="s">
        <v>59</v>
      </c>
      <c r="D107" s="325">
        <v>1042</v>
      </c>
      <c r="E107" s="318"/>
      <c r="F107" s="318"/>
      <c r="G107" s="172"/>
    </row>
    <row r="108" spans="1:7">
      <c r="A108" s="62"/>
      <c r="B108" s="338" t="s">
        <v>134</v>
      </c>
      <c r="C108" s="304" t="s">
        <v>59</v>
      </c>
      <c r="D108" s="339">
        <v>2140.74</v>
      </c>
      <c r="E108" s="339">
        <v>4223.84</v>
      </c>
      <c r="F108" s="337">
        <f>D108*E108</f>
        <v>9042143.2416</v>
      </c>
      <c r="G108" s="172"/>
    </row>
    <row r="109" spans="1:7">
      <c r="A109" s="341">
        <v>14</v>
      </c>
      <c r="B109" s="316" t="s">
        <v>204</v>
      </c>
      <c r="C109" s="273" t="s">
        <v>59</v>
      </c>
      <c r="D109" s="325">
        <v>650.8</v>
      </c>
      <c r="E109" s="318"/>
      <c r="F109" s="337">
        <f>D109*E109</f>
        <v>0</v>
      </c>
      <c r="G109" s="172"/>
    </row>
    <row r="110" spans="1:7">
      <c r="A110" s="341">
        <v>15</v>
      </c>
      <c r="B110" s="316" t="s">
        <v>205</v>
      </c>
      <c r="C110" s="273" t="s">
        <v>59</v>
      </c>
      <c r="D110" s="325">
        <v>756.88</v>
      </c>
      <c r="E110" s="318"/>
      <c r="F110" s="337">
        <f>D110*E110</f>
        <v>0</v>
      </c>
      <c r="G110" s="172"/>
    </row>
    <row r="111" spans="1:7">
      <c r="A111" s="341">
        <v>16</v>
      </c>
      <c r="B111" s="342" t="s">
        <v>172</v>
      </c>
      <c r="C111" s="297" t="s">
        <v>59</v>
      </c>
      <c r="D111" s="343">
        <v>27.42</v>
      </c>
      <c r="E111" s="344"/>
      <c r="F111" s="345"/>
      <c r="G111" s="309"/>
    </row>
    <row r="112" spans="1:7">
      <c r="A112" s="341">
        <v>17</v>
      </c>
      <c r="B112" s="346" t="s">
        <v>206</v>
      </c>
      <c r="C112" s="347" t="s">
        <v>59</v>
      </c>
      <c r="D112" s="348">
        <v>54.84</v>
      </c>
      <c r="E112" s="348">
        <v>14017.27</v>
      </c>
      <c r="F112" s="337">
        <f>D112*E112</f>
        <v>768707.0868</v>
      </c>
      <c r="G112" s="172"/>
    </row>
    <row r="113" spans="1:7">
      <c r="A113" s="341">
        <v>18</v>
      </c>
      <c r="B113" s="316" t="s">
        <v>207</v>
      </c>
      <c r="C113" s="273" t="s">
        <v>59</v>
      </c>
      <c r="D113" s="325">
        <v>650.8</v>
      </c>
      <c r="E113" s="318"/>
      <c r="F113" s="318"/>
      <c r="G113" s="172"/>
    </row>
    <row r="114" spans="1:7">
      <c r="A114" s="62"/>
      <c r="B114" s="338" t="s">
        <v>137</v>
      </c>
      <c r="C114" s="304" t="s">
        <v>59</v>
      </c>
      <c r="D114" s="339">
        <v>162.51</v>
      </c>
      <c r="E114" s="339">
        <v>4954.69</v>
      </c>
      <c r="F114" s="318"/>
      <c r="G114" s="172"/>
    </row>
    <row r="115" spans="1:7">
      <c r="A115" s="62">
        <v>19</v>
      </c>
      <c r="B115" s="316" t="s">
        <v>208</v>
      </c>
      <c r="C115" s="273" t="s">
        <v>59</v>
      </c>
      <c r="D115" s="325">
        <v>54.17</v>
      </c>
      <c r="E115" s="318"/>
      <c r="F115" s="318"/>
      <c r="G115" s="172"/>
    </row>
    <row r="116" spans="1:7">
      <c r="A116" s="62">
        <v>20</v>
      </c>
      <c r="B116" s="316" t="s">
        <v>175</v>
      </c>
      <c r="C116" s="273" t="s">
        <v>59</v>
      </c>
      <c r="D116" s="325">
        <v>108.34</v>
      </c>
      <c r="E116" s="318"/>
      <c r="F116" s="318"/>
      <c r="G116" s="172"/>
    </row>
    <row r="117" spans="1:7">
      <c r="A117" s="62"/>
      <c r="B117" s="338" t="s">
        <v>144</v>
      </c>
      <c r="C117" s="304" t="s">
        <v>59</v>
      </c>
      <c r="D117" s="339">
        <v>98.35</v>
      </c>
      <c r="E117" s="325">
        <v>10550.03</v>
      </c>
      <c r="F117" s="318"/>
      <c r="G117" s="172"/>
    </row>
    <row r="118" spans="1:7">
      <c r="A118" s="62">
        <v>21</v>
      </c>
      <c r="B118" s="316" t="s">
        <v>176</v>
      </c>
      <c r="C118" s="273" t="s">
        <v>59</v>
      </c>
      <c r="D118" s="325">
        <v>98.35</v>
      </c>
      <c r="E118" s="318"/>
      <c r="F118" s="318"/>
      <c r="G118" s="172"/>
    </row>
    <row r="119" spans="1:7">
      <c r="A119" s="62">
        <v>22</v>
      </c>
      <c r="B119" s="316" t="s">
        <v>209</v>
      </c>
      <c r="C119" s="273" t="s">
        <v>59</v>
      </c>
      <c r="D119" s="325">
        <v>42.15</v>
      </c>
      <c r="E119" s="325">
        <v>7248.19</v>
      </c>
      <c r="F119" s="318"/>
      <c r="G119" s="172"/>
    </row>
    <row r="120" spans="1:7">
      <c r="A120" s="62">
        <v>23</v>
      </c>
      <c r="B120" s="349" t="s">
        <v>210</v>
      </c>
      <c r="C120" s="350" t="s">
        <v>59</v>
      </c>
      <c r="D120" s="351">
        <v>28.1</v>
      </c>
      <c r="E120" s="325">
        <v>19229.36</v>
      </c>
      <c r="F120" s="352"/>
      <c r="G120" s="309"/>
    </row>
    <row r="121" spans="1:7">
      <c r="A121" s="62"/>
      <c r="B121" s="338" t="s">
        <v>146</v>
      </c>
      <c r="C121" s="304" t="s">
        <v>59</v>
      </c>
      <c r="D121" s="353">
        <v>3488.07</v>
      </c>
      <c r="E121" s="354">
        <v>4036.66</v>
      </c>
      <c r="F121" s="318"/>
      <c r="G121" s="172"/>
    </row>
    <row r="122" spans="1:7">
      <c r="A122" s="62">
        <v>24</v>
      </c>
      <c r="B122" s="316" t="s">
        <v>211</v>
      </c>
      <c r="C122" s="273" t="s">
        <v>59</v>
      </c>
      <c r="D122" s="325">
        <v>858</v>
      </c>
      <c r="E122" s="318"/>
      <c r="F122" s="318"/>
      <c r="G122" s="172"/>
    </row>
    <row r="123" spans="1:7">
      <c r="A123" s="62">
        <v>25</v>
      </c>
      <c r="B123" s="316" t="s">
        <v>212</v>
      </c>
      <c r="C123" s="273" t="s">
        <v>59</v>
      </c>
      <c r="D123" s="325">
        <v>1568.2</v>
      </c>
      <c r="E123" s="318"/>
      <c r="F123" s="318"/>
      <c r="G123" s="172"/>
    </row>
    <row r="124" spans="1:7">
      <c r="A124" s="62">
        <v>26</v>
      </c>
      <c r="B124" s="316" t="s">
        <v>213</v>
      </c>
      <c r="C124" s="273" t="s">
        <v>59</v>
      </c>
      <c r="D124" s="325">
        <v>32.58</v>
      </c>
      <c r="E124" s="318"/>
      <c r="F124" s="318"/>
      <c r="G124" s="172"/>
    </row>
    <row r="125" spans="1:7">
      <c r="A125" s="62">
        <v>27</v>
      </c>
      <c r="B125" s="316" t="s">
        <v>214</v>
      </c>
      <c r="C125" s="273" t="s">
        <v>59</v>
      </c>
      <c r="D125" s="325">
        <v>26.63</v>
      </c>
      <c r="E125" s="318"/>
      <c r="F125" s="318"/>
      <c r="G125" s="172"/>
    </row>
    <row r="126" spans="1:7">
      <c r="A126" s="62">
        <v>28</v>
      </c>
      <c r="B126" s="316" t="s">
        <v>215</v>
      </c>
      <c r="C126" s="273" t="s">
        <v>59</v>
      </c>
      <c r="D126" s="325">
        <v>26.24</v>
      </c>
      <c r="E126" s="318"/>
      <c r="F126" s="318"/>
      <c r="G126" s="172"/>
    </row>
    <row r="127" spans="1:7">
      <c r="A127" s="62">
        <v>29</v>
      </c>
      <c r="B127" s="316" t="s">
        <v>216</v>
      </c>
      <c r="C127" s="273" t="s">
        <v>59</v>
      </c>
      <c r="D127" s="325">
        <v>32.58</v>
      </c>
      <c r="E127" s="318"/>
      <c r="F127" s="318"/>
      <c r="G127" s="172"/>
    </row>
    <row r="128" spans="1:7">
      <c r="A128" s="62">
        <v>30</v>
      </c>
      <c r="B128" s="316" t="s">
        <v>217</v>
      </c>
      <c r="C128" s="273" t="s">
        <v>59</v>
      </c>
      <c r="D128" s="325">
        <v>26.63</v>
      </c>
      <c r="E128" s="318"/>
      <c r="F128" s="318"/>
      <c r="G128" s="172"/>
    </row>
    <row r="129" spans="1:7">
      <c r="A129" s="62">
        <v>31</v>
      </c>
      <c r="B129" s="316" t="s">
        <v>218</v>
      </c>
      <c r="C129" s="273" t="s">
        <v>59</v>
      </c>
      <c r="D129" s="325">
        <v>858</v>
      </c>
      <c r="E129" s="318"/>
      <c r="F129" s="318"/>
      <c r="G129" s="172"/>
    </row>
    <row r="130" spans="1:7">
      <c r="A130" s="62">
        <v>32</v>
      </c>
      <c r="B130" s="316" t="s">
        <v>219</v>
      </c>
      <c r="C130" s="273" t="s">
        <v>59</v>
      </c>
      <c r="D130" s="325">
        <v>32.58</v>
      </c>
      <c r="E130" s="318"/>
      <c r="F130" s="318"/>
      <c r="G130" s="172"/>
    </row>
    <row r="131" spans="1:7">
      <c r="A131" s="62">
        <v>33</v>
      </c>
      <c r="B131" s="346" t="s">
        <v>220</v>
      </c>
      <c r="C131" s="347" t="s">
        <v>59</v>
      </c>
      <c r="D131" s="348">
        <v>26.63</v>
      </c>
      <c r="E131" s="318"/>
      <c r="F131" s="318"/>
      <c r="G131" s="172"/>
    </row>
    <row r="132" spans="1:7">
      <c r="A132" s="176"/>
      <c r="B132" s="176"/>
      <c r="C132" s="176"/>
      <c r="D132" s="176"/>
      <c r="E132" s="176"/>
      <c r="F132" s="176"/>
      <c r="G132" s="172"/>
    </row>
    <row r="133" spans="1:7">
      <c r="A133" s="176"/>
      <c r="B133" s="355" t="s">
        <v>221</v>
      </c>
      <c r="C133" s="347" t="s">
        <v>59</v>
      </c>
      <c r="D133" s="176">
        <v>6000</v>
      </c>
      <c r="E133" s="176"/>
      <c r="F133" s="176" t="s">
        <v>222</v>
      </c>
      <c r="G133" s="172"/>
    </row>
    <row r="134" spans="1:7">
      <c r="A134" s="196"/>
      <c r="B134" s="196"/>
      <c r="C134" s="196"/>
      <c r="D134" s="196"/>
      <c r="E134" s="196"/>
      <c r="F134" s="196"/>
      <c r="G134" s="139"/>
    </row>
  </sheetData>
  <mergeCells count="1">
    <mergeCell ref="A2:G2"/>
  </mergeCell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C5" sqref="C5"/>
    </sheetView>
  </sheetViews>
  <sheetFormatPr defaultColWidth="8.79464285714286" defaultRowHeight="17.6" outlineLevelCol="7"/>
  <cols>
    <col min="2" max="2" width="14" customWidth="1"/>
    <col min="3" max="3" width="15.5982142857143" customWidth="1"/>
    <col min="5" max="5" width="13.9017857142857" customWidth="1"/>
    <col min="7" max="7" width="12.0982142857143" customWidth="1"/>
    <col min="8" max="8" width="24.2946428571429" customWidth="1"/>
  </cols>
  <sheetData>
    <row r="1" ht="40" customHeight="1" spans="1:8">
      <c r="A1" s="154" t="s">
        <v>223</v>
      </c>
      <c r="B1" s="155"/>
      <c r="C1" s="155"/>
      <c r="D1" s="155"/>
      <c r="E1" s="155"/>
      <c r="F1" s="155"/>
      <c r="G1" s="155"/>
      <c r="H1" s="155"/>
    </row>
    <row r="2" spans="1:8">
      <c r="A2" s="97" t="s">
        <v>224</v>
      </c>
      <c r="B2" s="97" t="s">
        <v>11</v>
      </c>
      <c r="C2" s="97"/>
      <c r="D2" s="97" t="s">
        <v>11</v>
      </c>
      <c r="E2" s="97" t="s">
        <v>12</v>
      </c>
      <c r="F2" s="97" t="s">
        <v>2</v>
      </c>
      <c r="G2" s="97" t="s">
        <v>3</v>
      </c>
      <c r="H2" s="221" t="s">
        <v>4</v>
      </c>
    </row>
    <row r="3" ht="28" spans="1:8">
      <c r="A3" s="266" t="s">
        <v>57</v>
      </c>
      <c r="B3" s="266" t="s">
        <v>225</v>
      </c>
      <c r="C3" s="267" t="s">
        <v>226</v>
      </c>
      <c r="D3" s="268" t="s">
        <v>97</v>
      </c>
      <c r="E3" s="269">
        <v>1088683</v>
      </c>
      <c r="F3" s="269">
        <v>70.7</v>
      </c>
      <c r="G3" s="269">
        <f>E3*F3</f>
        <v>76969888.1</v>
      </c>
      <c r="H3" s="270" t="s">
        <v>62</v>
      </c>
    </row>
    <row r="4" spans="1:8">
      <c r="A4" s="271"/>
      <c r="B4" s="271"/>
      <c r="C4" s="272" t="s">
        <v>227</v>
      </c>
      <c r="D4" s="273" t="s">
        <v>97</v>
      </c>
      <c r="E4" s="274">
        <v>574682</v>
      </c>
      <c r="F4" s="274">
        <v>56.48</v>
      </c>
      <c r="G4" s="269">
        <f t="shared" ref="G4:G20" si="0">E4*F4</f>
        <v>32458039.36</v>
      </c>
      <c r="H4" s="275"/>
    </row>
    <row r="5" spans="1:8">
      <c r="A5" s="271"/>
      <c r="B5" s="271"/>
      <c r="C5" s="69" t="s">
        <v>228</v>
      </c>
      <c r="D5" s="273" t="s">
        <v>97</v>
      </c>
      <c r="E5" s="274">
        <v>143635.3</v>
      </c>
      <c r="F5" s="274">
        <v>55.52</v>
      </c>
      <c r="G5" s="269">
        <f t="shared" si="0"/>
        <v>7974631.856</v>
      </c>
      <c r="H5" s="275"/>
    </row>
    <row r="6" ht="18" spans="1:8">
      <c r="A6" s="271"/>
      <c r="B6" s="271" t="s">
        <v>229</v>
      </c>
      <c r="C6" s="272"/>
      <c r="D6" s="273" t="s">
        <v>97</v>
      </c>
      <c r="E6" s="274">
        <v>499943.25</v>
      </c>
      <c r="F6" s="274">
        <v>67.32</v>
      </c>
      <c r="G6" s="269">
        <f t="shared" si="0"/>
        <v>33656179.59</v>
      </c>
      <c r="H6" s="275"/>
    </row>
    <row r="7" ht="18" spans="1:8">
      <c r="A7" s="271"/>
      <c r="B7" s="271" t="s">
        <v>229</v>
      </c>
      <c r="C7" s="272"/>
      <c r="D7" s="273" t="s">
        <v>97</v>
      </c>
      <c r="E7" s="274">
        <v>485742.47</v>
      </c>
      <c r="F7" s="274">
        <v>72.74</v>
      </c>
      <c r="G7" s="269">
        <f t="shared" si="0"/>
        <v>35332907.2678</v>
      </c>
      <c r="H7" s="275"/>
    </row>
    <row r="8" ht="18" spans="1:8">
      <c r="A8" s="271"/>
      <c r="B8" s="271" t="s">
        <v>229</v>
      </c>
      <c r="C8" s="272"/>
      <c r="D8" s="273" t="s">
        <v>97</v>
      </c>
      <c r="E8" s="274">
        <v>104190.2</v>
      </c>
      <c r="F8" s="274">
        <v>59.41</v>
      </c>
      <c r="G8" s="269">
        <f t="shared" si="0"/>
        <v>6189939.782</v>
      </c>
      <c r="H8" s="276"/>
    </row>
    <row r="9" ht="18" spans="1:8">
      <c r="A9" s="271"/>
      <c r="B9" s="271" t="s">
        <v>230</v>
      </c>
      <c r="C9" s="272"/>
      <c r="D9" s="273" t="s">
        <v>97</v>
      </c>
      <c r="E9" s="272">
        <v>215917.9</v>
      </c>
      <c r="F9" s="272">
        <v>45.73</v>
      </c>
      <c r="G9" s="269">
        <f t="shared" si="0"/>
        <v>9873925.567</v>
      </c>
      <c r="H9" s="277"/>
    </row>
    <row r="10" ht="18" spans="1:8">
      <c r="A10" s="271"/>
      <c r="B10" s="271" t="s">
        <v>230</v>
      </c>
      <c r="C10" s="272"/>
      <c r="D10" s="273" t="s">
        <v>97</v>
      </c>
      <c r="E10" s="272">
        <v>100399</v>
      </c>
      <c r="F10" s="272">
        <v>17.5</v>
      </c>
      <c r="G10" s="269">
        <f t="shared" si="0"/>
        <v>1756982.5</v>
      </c>
      <c r="H10" s="277"/>
    </row>
    <row r="11" spans="1:8">
      <c r="A11" s="271" t="s">
        <v>79</v>
      </c>
      <c r="B11" s="271" t="s">
        <v>89</v>
      </c>
      <c r="C11" s="272"/>
      <c r="D11" s="273" t="s">
        <v>97</v>
      </c>
      <c r="E11" s="272">
        <v>139674</v>
      </c>
      <c r="F11" s="272">
        <v>170.99</v>
      </c>
      <c r="G11" s="269">
        <f t="shared" si="0"/>
        <v>23882857.26</v>
      </c>
      <c r="H11" s="277" t="s">
        <v>90</v>
      </c>
    </row>
    <row r="12" spans="1:8">
      <c r="A12" s="271"/>
      <c r="B12" s="271"/>
      <c r="C12" s="272"/>
      <c r="D12" s="273" t="s">
        <v>97</v>
      </c>
      <c r="E12" s="272">
        <v>56793</v>
      </c>
      <c r="F12" s="272">
        <v>182.53</v>
      </c>
      <c r="G12" s="269">
        <f t="shared" si="0"/>
        <v>10366426.29</v>
      </c>
      <c r="H12" s="277" t="s">
        <v>91</v>
      </c>
    </row>
    <row r="13" spans="1:8">
      <c r="A13" s="271"/>
      <c r="B13" s="271"/>
      <c r="C13" s="272"/>
      <c r="D13" s="273" t="s">
        <v>97</v>
      </c>
      <c r="E13" s="181">
        <v>23590</v>
      </c>
      <c r="F13" s="181">
        <v>165.6</v>
      </c>
      <c r="G13" s="269">
        <f t="shared" si="0"/>
        <v>3906504</v>
      </c>
      <c r="H13" s="277" t="s">
        <v>92</v>
      </c>
    </row>
    <row r="14" spans="1:8">
      <c r="A14" s="271"/>
      <c r="B14" s="271"/>
      <c r="C14" s="272"/>
      <c r="D14" s="273" t="s">
        <v>97</v>
      </c>
      <c r="E14" s="181">
        <v>130358</v>
      </c>
      <c r="F14" s="181">
        <v>89.92</v>
      </c>
      <c r="G14" s="269">
        <f t="shared" si="0"/>
        <v>11721791.36</v>
      </c>
      <c r="H14" s="278" t="s">
        <v>93</v>
      </c>
    </row>
    <row r="15" spans="1:8">
      <c r="A15" s="271"/>
      <c r="B15" s="271"/>
      <c r="C15" s="272"/>
      <c r="D15" s="273" t="s">
        <v>97</v>
      </c>
      <c r="E15" s="181">
        <v>100180</v>
      </c>
      <c r="F15" s="181">
        <v>92.85</v>
      </c>
      <c r="G15" s="269">
        <f t="shared" si="0"/>
        <v>9301713</v>
      </c>
      <c r="H15" s="278" t="s">
        <v>94</v>
      </c>
    </row>
    <row r="16" spans="1:8">
      <c r="A16" s="279" t="s">
        <v>95</v>
      </c>
      <c r="B16" s="273" t="s">
        <v>96</v>
      </c>
      <c r="C16" s="280"/>
      <c r="D16" s="273" t="s">
        <v>97</v>
      </c>
      <c r="E16" s="274">
        <v>87731</v>
      </c>
      <c r="F16" s="274">
        <v>76.54</v>
      </c>
      <c r="G16" s="181">
        <f t="shared" si="0"/>
        <v>6714930.74</v>
      </c>
      <c r="H16" s="278"/>
    </row>
    <row r="17" ht="28" spans="1:8">
      <c r="A17" s="279"/>
      <c r="B17" s="273" t="s">
        <v>98</v>
      </c>
      <c r="C17" s="280"/>
      <c r="D17" s="273" t="s">
        <v>97</v>
      </c>
      <c r="E17" s="274">
        <v>11263</v>
      </c>
      <c r="F17" s="274">
        <v>83.19</v>
      </c>
      <c r="G17" s="181">
        <f t="shared" si="0"/>
        <v>936968.97</v>
      </c>
      <c r="H17" s="278"/>
    </row>
    <row r="18" spans="1:8">
      <c r="A18" s="279"/>
      <c r="B18" s="273" t="s">
        <v>99</v>
      </c>
      <c r="C18" s="280"/>
      <c r="D18" s="273" t="s">
        <v>97</v>
      </c>
      <c r="E18" s="274">
        <v>64807</v>
      </c>
      <c r="F18" s="274">
        <v>84.96</v>
      </c>
      <c r="G18" s="181">
        <f t="shared" si="0"/>
        <v>5506002.72</v>
      </c>
      <c r="H18" s="278"/>
    </row>
    <row r="19" spans="1:8">
      <c r="A19" s="281" t="s">
        <v>100</v>
      </c>
      <c r="B19" s="273" t="s">
        <v>101</v>
      </c>
      <c r="C19" s="280"/>
      <c r="D19" s="273" t="s">
        <v>97</v>
      </c>
      <c r="E19" s="274">
        <v>131272</v>
      </c>
      <c r="F19" s="274">
        <v>84.22</v>
      </c>
      <c r="G19" s="181">
        <f t="shared" si="0"/>
        <v>11055727.84</v>
      </c>
      <c r="H19" s="278"/>
    </row>
    <row r="20" spans="1:8">
      <c r="A20" s="282"/>
      <c r="B20" s="283" t="s">
        <v>102</v>
      </c>
      <c r="C20" s="284"/>
      <c r="D20" s="283" t="s">
        <v>97</v>
      </c>
      <c r="E20" s="285">
        <v>77037</v>
      </c>
      <c r="F20" s="285">
        <v>89.9</v>
      </c>
      <c r="G20" s="286">
        <f t="shared" si="0"/>
        <v>6925626.3</v>
      </c>
      <c r="H20" s="287"/>
    </row>
    <row r="21" ht="28" customHeight="1" spans="1:8">
      <c r="A21" s="97"/>
      <c r="B21" s="97" t="s">
        <v>231</v>
      </c>
      <c r="C21" s="288"/>
      <c r="D21" s="283" t="s">
        <v>97</v>
      </c>
      <c r="E21" s="289">
        <f>SUM(E3:E20)</f>
        <v>4035898.12</v>
      </c>
      <c r="F21" s="97"/>
      <c r="G21" s="97">
        <f>SUM(G3:G20)</f>
        <v>294531042.5028</v>
      </c>
      <c r="H21" s="221"/>
    </row>
    <row r="22" ht="33" customHeight="1"/>
    <row r="23" ht="27" customHeight="1" spans="1:8">
      <c r="A23" s="154" t="s">
        <v>232</v>
      </c>
      <c r="B23" s="155"/>
      <c r="C23" s="155"/>
      <c r="D23" s="155"/>
      <c r="E23" s="155"/>
      <c r="F23" s="155"/>
      <c r="G23" s="155"/>
      <c r="H23" s="155"/>
    </row>
    <row r="24" spans="1:8">
      <c r="A24" s="97" t="s">
        <v>224</v>
      </c>
      <c r="B24" s="97" t="s">
        <v>11</v>
      </c>
      <c r="C24" s="97"/>
      <c r="D24" s="97" t="s">
        <v>11</v>
      </c>
      <c r="E24" s="97" t="s">
        <v>12</v>
      </c>
      <c r="F24" s="97" t="s">
        <v>2</v>
      </c>
      <c r="G24" s="97" t="s">
        <v>3</v>
      </c>
      <c r="H24" s="221" t="s">
        <v>4</v>
      </c>
    </row>
    <row r="25" ht="45" customHeight="1" spans="1:8">
      <c r="A25" s="290" t="s">
        <v>37</v>
      </c>
      <c r="B25" s="291" t="s">
        <v>225</v>
      </c>
      <c r="C25" s="291"/>
      <c r="D25" s="273" t="s">
        <v>97</v>
      </c>
      <c r="E25" s="292">
        <v>135535</v>
      </c>
      <c r="F25" s="293"/>
      <c r="G25" s="293"/>
      <c r="H25" s="294" t="s">
        <v>41</v>
      </c>
    </row>
    <row r="26" ht="31" customHeight="1" spans="1:8">
      <c r="A26" s="295"/>
      <c r="B26" s="291" t="s">
        <v>229</v>
      </c>
      <c r="C26" s="291"/>
      <c r="D26" s="273" t="s">
        <v>97</v>
      </c>
      <c r="E26" s="292">
        <v>210000</v>
      </c>
      <c r="F26" s="293"/>
      <c r="G26" s="293"/>
      <c r="H26" s="173"/>
    </row>
    <row r="27" ht="18" customHeight="1" spans="1:8">
      <c r="A27" s="295"/>
      <c r="B27" s="296" t="s">
        <v>230</v>
      </c>
      <c r="C27" s="296"/>
      <c r="D27" s="297" t="s">
        <v>97</v>
      </c>
      <c r="E27" s="298">
        <v>86000</v>
      </c>
      <c r="F27" s="299"/>
      <c r="G27" s="299"/>
      <c r="H27" s="300"/>
    </row>
    <row r="28" ht="18" customHeight="1" spans="1:8">
      <c r="A28" s="301"/>
      <c r="B28" s="95" t="s">
        <v>231</v>
      </c>
      <c r="C28" s="95"/>
      <c r="D28" s="283" t="s">
        <v>97</v>
      </c>
      <c r="E28" s="95">
        <f>SUM(E25:E27)</f>
        <v>431535</v>
      </c>
      <c r="F28" s="95"/>
      <c r="G28" s="95"/>
      <c r="H28" s="122"/>
    </row>
  </sheetData>
  <mergeCells count="9">
    <mergeCell ref="A1:H1"/>
    <mergeCell ref="A23:H23"/>
    <mergeCell ref="A3:A10"/>
    <mergeCell ref="A11:A15"/>
    <mergeCell ref="A16:A18"/>
    <mergeCell ref="A19:A20"/>
    <mergeCell ref="A25:A28"/>
    <mergeCell ref="B3:B5"/>
    <mergeCell ref="B11:B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D6" sqref="D6"/>
    </sheetView>
  </sheetViews>
  <sheetFormatPr defaultColWidth="8.79464285714286" defaultRowHeight="17.6" outlineLevelCol="6"/>
  <cols>
    <col min="1" max="1" width="17.7946428571429" customWidth="1"/>
    <col min="2" max="2" width="20.9017857142857" customWidth="1"/>
    <col min="3" max="3" width="10.5" customWidth="1"/>
    <col min="4" max="4" width="11.1964285714286" customWidth="1"/>
    <col min="5" max="5" width="11.9017857142857" customWidth="1"/>
    <col min="6" max="6" width="12.6964285714286" customWidth="1"/>
    <col min="7" max="7" width="20.5982142857143" customWidth="1"/>
  </cols>
  <sheetData>
    <row r="1" ht="36" customHeight="1" spans="1:7">
      <c r="A1" s="154" t="s">
        <v>233</v>
      </c>
      <c r="B1" s="154"/>
      <c r="C1" s="154"/>
      <c r="D1" s="154"/>
      <c r="E1" s="154"/>
      <c r="F1" s="154"/>
      <c r="G1" s="154"/>
    </row>
    <row r="2" ht="25" customHeight="1" spans="1:7">
      <c r="A2" s="229" t="s">
        <v>234</v>
      </c>
      <c r="B2" s="229" t="s">
        <v>235</v>
      </c>
      <c r="C2" s="229" t="s">
        <v>11</v>
      </c>
      <c r="D2" s="229" t="s">
        <v>12</v>
      </c>
      <c r="E2" s="229" t="s">
        <v>2</v>
      </c>
      <c r="F2" s="230" t="s">
        <v>3</v>
      </c>
      <c r="G2" s="231" t="s">
        <v>236</v>
      </c>
    </row>
    <row r="3" ht="49" customHeight="1" spans="1:7">
      <c r="A3" s="232" t="s">
        <v>58</v>
      </c>
      <c r="B3" s="233"/>
      <c r="C3" s="234" t="s">
        <v>59</v>
      </c>
      <c r="D3" s="235">
        <v>302111.89</v>
      </c>
      <c r="E3" s="236">
        <v>261.85</v>
      </c>
      <c r="F3" s="237">
        <f t="shared" ref="F3:F13" si="0">D3*E3</f>
        <v>79107998.3965</v>
      </c>
      <c r="G3" s="238" t="s">
        <v>237</v>
      </c>
    </row>
    <row r="4" ht="25" customHeight="1" spans="1:7">
      <c r="A4" s="239" t="s">
        <v>64</v>
      </c>
      <c r="B4" s="240" t="s">
        <v>238</v>
      </c>
      <c r="C4" s="239" t="s">
        <v>59</v>
      </c>
      <c r="D4" s="241">
        <v>336334.27</v>
      </c>
      <c r="E4" s="242">
        <v>42.72</v>
      </c>
      <c r="F4" s="243">
        <f t="shared" si="0"/>
        <v>14368200.0144</v>
      </c>
      <c r="G4" s="244"/>
    </row>
    <row r="5" ht="31" customHeight="1" spans="1:7">
      <c r="A5" s="239" t="s">
        <v>65</v>
      </c>
      <c r="B5" s="240" t="s">
        <v>239</v>
      </c>
      <c r="C5" s="239" t="s">
        <v>59</v>
      </c>
      <c r="D5" s="241">
        <v>325383.08</v>
      </c>
      <c r="E5" s="242">
        <v>110.27</v>
      </c>
      <c r="F5" s="243">
        <f t="shared" si="0"/>
        <v>35879992.2316</v>
      </c>
      <c r="G5" s="244"/>
    </row>
    <row r="6" ht="25" customHeight="1" spans="1:7">
      <c r="A6" s="239" t="s">
        <v>68</v>
      </c>
      <c r="B6" s="243"/>
      <c r="C6" s="239" t="s">
        <v>59</v>
      </c>
      <c r="D6" s="241">
        <v>302111.89</v>
      </c>
      <c r="E6" s="242">
        <v>95.53</v>
      </c>
      <c r="F6" s="243">
        <f t="shared" si="0"/>
        <v>28860748.8517</v>
      </c>
      <c r="G6" s="244"/>
    </row>
    <row r="7" ht="58" customHeight="1" spans="1:7">
      <c r="A7" s="239" t="s">
        <v>240</v>
      </c>
      <c r="B7" s="240" t="s">
        <v>241</v>
      </c>
      <c r="C7" s="239" t="s">
        <v>59</v>
      </c>
      <c r="D7" s="241">
        <v>223158.01</v>
      </c>
      <c r="E7" s="242">
        <v>95.37</v>
      </c>
      <c r="F7" s="243">
        <f t="shared" si="0"/>
        <v>21282579.4137</v>
      </c>
      <c r="G7" s="245" t="s">
        <v>242</v>
      </c>
    </row>
    <row r="8" ht="32" customHeight="1" spans="1:7">
      <c r="A8" s="246" t="s">
        <v>74</v>
      </c>
      <c r="B8" s="247" t="s">
        <v>243</v>
      </c>
      <c r="C8" s="246" t="s">
        <v>59</v>
      </c>
      <c r="D8" s="248">
        <v>78953.88</v>
      </c>
      <c r="E8" s="249">
        <v>95.96</v>
      </c>
      <c r="F8" s="250">
        <f t="shared" si="0"/>
        <v>7576414.3248</v>
      </c>
      <c r="G8" s="251"/>
    </row>
    <row r="9" ht="25" customHeight="1" spans="1:7">
      <c r="A9" s="234" t="s">
        <v>58</v>
      </c>
      <c r="B9" s="252" t="s">
        <v>152</v>
      </c>
      <c r="C9" s="234" t="s">
        <v>59</v>
      </c>
      <c r="D9" s="235">
        <v>204716.99</v>
      </c>
      <c r="E9" s="236">
        <v>215.23</v>
      </c>
      <c r="F9" s="237">
        <f t="shared" si="0"/>
        <v>44061237.7577</v>
      </c>
      <c r="G9" s="253"/>
    </row>
    <row r="10" ht="25" customHeight="1" spans="1:7">
      <c r="A10" s="239" t="s">
        <v>64</v>
      </c>
      <c r="B10" s="240" t="s">
        <v>238</v>
      </c>
      <c r="C10" s="239" t="s">
        <v>59</v>
      </c>
      <c r="D10" s="241">
        <v>257777.4</v>
      </c>
      <c r="E10" s="242">
        <v>41.59</v>
      </c>
      <c r="F10" s="243">
        <f t="shared" si="0"/>
        <v>10720962.066</v>
      </c>
      <c r="G10" s="254"/>
    </row>
    <row r="11" ht="35" customHeight="1" spans="1:7">
      <c r="A11" s="239" t="s">
        <v>65</v>
      </c>
      <c r="B11" s="240" t="s">
        <v>239</v>
      </c>
      <c r="C11" s="239" t="s">
        <v>59</v>
      </c>
      <c r="D11" s="241">
        <v>241579.23</v>
      </c>
      <c r="E11" s="242">
        <v>55.96</v>
      </c>
      <c r="F11" s="243">
        <f t="shared" si="0"/>
        <v>13518773.7108</v>
      </c>
      <c r="G11" s="254"/>
    </row>
    <row r="12" ht="30" customHeight="1" spans="1:7">
      <c r="A12" s="239" t="s">
        <v>68</v>
      </c>
      <c r="B12" s="247" t="s">
        <v>243</v>
      </c>
      <c r="C12" s="239" t="s">
        <v>59</v>
      </c>
      <c r="D12" s="241">
        <v>204716.99</v>
      </c>
      <c r="E12" s="242">
        <v>96.82</v>
      </c>
      <c r="F12" s="243">
        <f t="shared" si="0"/>
        <v>19820698.9718</v>
      </c>
      <c r="G12" s="254"/>
    </row>
    <row r="13" ht="25" customHeight="1" spans="1:7">
      <c r="A13" s="255" t="s">
        <v>74</v>
      </c>
      <c r="B13" s="255"/>
      <c r="C13" s="255" t="s">
        <v>59</v>
      </c>
      <c r="D13" s="256">
        <v>204716.99</v>
      </c>
      <c r="E13" s="257">
        <v>96.82</v>
      </c>
      <c r="F13" s="258">
        <f t="shared" si="0"/>
        <v>19820698.9718</v>
      </c>
      <c r="G13" s="259"/>
    </row>
    <row r="14" spans="1:7">
      <c r="A14" s="260"/>
      <c r="B14" s="261" t="s">
        <v>231</v>
      </c>
      <c r="C14" s="260"/>
      <c r="D14" s="260"/>
      <c r="E14" s="260"/>
      <c r="F14" s="262">
        <f>F3+F9</f>
        <v>123169236.1542</v>
      </c>
      <c r="G14" s="263" t="s">
        <v>244</v>
      </c>
    </row>
    <row r="15" spans="1:7">
      <c r="A15" s="264" t="s">
        <v>245</v>
      </c>
      <c r="B15" s="265"/>
      <c r="C15" s="265"/>
      <c r="D15" s="265"/>
      <c r="E15" s="265"/>
      <c r="F15" s="265"/>
      <c r="G15" s="265"/>
    </row>
  </sheetData>
  <mergeCells count="2">
    <mergeCell ref="A1:G1"/>
    <mergeCell ref="A15:G15"/>
  </mergeCells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"/>
  <sheetViews>
    <sheetView topLeftCell="A15" workbookViewId="0">
      <selection activeCell="F10" sqref="F10"/>
    </sheetView>
  </sheetViews>
  <sheetFormatPr defaultColWidth="9" defaultRowHeight="17.6" outlineLevelCol="6"/>
  <cols>
    <col min="1" max="1" width="5.79464285714286" customWidth="1"/>
    <col min="2" max="2" width="12.0982142857143" customWidth="1"/>
    <col min="3" max="3" width="18.5" customWidth="1"/>
    <col min="4" max="4" width="9" style="151"/>
    <col min="5" max="5" width="11" customWidth="1"/>
    <col min="6" max="6" width="7.29464285714286" customWidth="1"/>
    <col min="7" max="7" width="12.5982142857143" customWidth="1"/>
  </cols>
  <sheetData>
    <row r="1" ht="31" customHeight="1" spans="1:7">
      <c r="A1" s="154" t="s">
        <v>246</v>
      </c>
      <c r="B1" s="154"/>
      <c r="C1" s="155"/>
      <c r="D1" s="155"/>
      <c r="E1" s="155"/>
      <c r="F1" s="155"/>
      <c r="G1" s="155"/>
    </row>
    <row r="2" spans="1:7">
      <c r="A2" s="150" t="s">
        <v>110</v>
      </c>
      <c r="B2" s="156" t="s">
        <v>247</v>
      </c>
      <c r="C2" s="150" t="s">
        <v>248</v>
      </c>
      <c r="D2" s="150" t="s">
        <v>249</v>
      </c>
      <c r="E2" s="157" t="s">
        <v>250</v>
      </c>
      <c r="F2" s="150" t="s">
        <v>3</v>
      </c>
      <c r="G2" s="150" t="s">
        <v>4</v>
      </c>
    </row>
    <row r="3" spans="1:7">
      <c r="A3" s="95"/>
      <c r="B3" s="158"/>
      <c r="C3" s="95"/>
      <c r="D3" s="95"/>
      <c r="E3" s="159"/>
      <c r="F3" s="160"/>
      <c r="G3" s="160"/>
    </row>
    <row r="4" spans="1:7">
      <c r="A4" s="161" t="s">
        <v>251</v>
      </c>
      <c r="B4" s="162"/>
      <c r="C4" s="87"/>
      <c r="D4" s="87"/>
      <c r="E4" s="163"/>
      <c r="F4" s="164"/>
      <c r="G4" s="165"/>
    </row>
    <row r="5" spans="1:7">
      <c r="A5" s="62">
        <v>1</v>
      </c>
      <c r="B5" s="166" t="s">
        <v>252</v>
      </c>
      <c r="C5" s="167" t="s">
        <v>253</v>
      </c>
      <c r="D5" s="60" t="s">
        <v>254</v>
      </c>
      <c r="E5" s="168">
        <v>2.512</v>
      </c>
      <c r="F5" s="62"/>
      <c r="G5" s="110"/>
    </row>
    <row r="6" spans="1:7">
      <c r="A6" s="62">
        <v>2</v>
      </c>
      <c r="B6" s="166" t="s">
        <v>252</v>
      </c>
      <c r="C6" s="167" t="s">
        <v>253</v>
      </c>
      <c r="D6" s="60" t="s">
        <v>254</v>
      </c>
      <c r="E6" s="168">
        <v>4.903</v>
      </c>
      <c r="F6" s="62"/>
      <c r="G6" s="110"/>
    </row>
    <row r="7" spans="1:7">
      <c r="A7" s="62">
        <v>3</v>
      </c>
      <c r="B7" s="166" t="s">
        <v>252</v>
      </c>
      <c r="C7" s="167" t="s">
        <v>253</v>
      </c>
      <c r="D7" s="60" t="s">
        <v>254</v>
      </c>
      <c r="E7" s="168">
        <v>7.432</v>
      </c>
      <c r="F7" s="62"/>
      <c r="G7" s="110"/>
    </row>
    <row r="8" spans="1:7">
      <c r="A8" s="62">
        <v>4</v>
      </c>
      <c r="B8" s="166" t="s">
        <v>255</v>
      </c>
      <c r="C8" s="167" t="s">
        <v>253</v>
      </c>
      <c r="D8" s="60" t="s">
        <v>254</v>
      </c>
      <c r="E8" s="168">
        <v>18.135</v>
      </c>
      <c r="F8" s="62"/>
      <c r="G8" s="110"/>
    </row>
    <row r="9" spans="1:7">
      <c r="A9" s="62">
        <v>5</v>
      </c>
      <c r="B9" s="166" t="s">
        <v>256</v>
      </c>
      <c r="C9" s="167" t="s">
        <v>253</v>
      </c>
      <c r="D9" s="60" t="s">
        <v>254</v>
      </c>
      <c r="E9" s="168">
        <v>29.092</v>
      </c>
      <c r="F9" s="62"/>
      <c r="G9" s="110"/>
    </row>
    <row r="10" spans="1:7">
      <c r="A10" s="62">
        <v>6</v>
      </c>
      <c r="B10" s="166" t="s">
        <v>256</v>
      </c>
      <c r="C10" s="167" t="s">
        <v>253</v>
      </c>
      <c r="D10" s="60" t="s">
        <v>254</v>
      </c>
      <c r="E10" s="168">
        <v>33.452</v>
      </c>
      <c r="F10" s="62"/>
      <c r="G10" s="110"/>
    </row>
    <row r="11" spans="1:7">
      <c r="A11" s="62">
        <v>7</v>
      </c>
      <c r="B11" s="166" t="s">
        <v>257</v>
      </c>
      <c r="C11" s="167" t="s">
        <v>253</v>
      </c>
      <c r="D11" s="60" t="s">
        <v>254</v>
      </c>
      <c r="E11" s="168">
        <v>36.606</v>
      </c>
      <c r="F11" s="62"/>
      <c r="G11" s="110"/>
    </row>
    <row r="12" spans="1:7">
      <c r="A12" s="62">
        <v>8</v>
      </c>
      <c r="B12" s="166" t="s">
        <v>257</v>
      </c>
      <c r="C12" s="167" t="s">
        <v>253</v>
      </c>
      <c r="D12" s="60" t="s">
        <v>254</v>
      </c>
      <c r="E12" s="168">
        <v>38.044</v>
      </c>
      <c r="F12" s="62"/>
      <c r="G12" s="110"/>
    </row>
    <row r="13" spans="1:7">
      <c r="A13" s="62">
        <v>9</v>
      </c>
      <c r="B13" s="166" t="s">
        <v>257</v>
      </c>
      <c r="C13" s="167" t="s">
        <v>253</v>
      </c>
      <c r="D13" s="60" t="s">
        <v>254</v>
      </c>
      <c r="E13" s="168">
        <v>44.18</v>
      </c>
      <c r="F13" s="62"/>
      <c r="G13" s="110"/>
    </row>
    <row r="14" spans="1:7">
      <c r="A14" s="62">
        <v>10</v>
      </c>
      <c r="B14" s="166" t="s">
        <v>258</v>
      </c>
      <c r="C14" s="167" t="s">
        <v>253</v>
      </c>
      <c r="D14" s="60" t="s">
        <v>254</v>
      </c>
      <c r="E14" s="168">
        <v>46.347</v>
      </c>
      <c r="F14" s="62"/>
      <c r="G14" s="110"/>
    </row>
    <row r="15" spans="1:7">
      <c r="A15" s="62">
        <v>11</v>
      </c>
      <c r="B15" s="166" t="s">
        <v>259</v>
      </c>
      <c r="C15" s="167" t="s">
        <v>253</v>
      </c>
      <c r="D15" s="60" t="s">
        <v>254</v>
      </c>
      <c r="E15" s="168">
        <v>48.102</v>
      </c>
      <c r="F15" s="62"/>
      <c r="G15" s="110"/>
    </row>
    <row r="16" spans="1:7">
      <c r="A16" s="62">
        <v>12</v>
      </c>
      <c r="B16" s="166" t="s">
        <v>259</v>
      </c>
      <c r="C16" s="167" t="s">
        <v>253</v>
      </c>
      <c r="D16" s="60" t="s">
        <v>254</v>
      </c>
      <c r="E16" s="168">
        <v>52.025</v>
      </c>
      <c r="F16" s="62"/>
      <c r="G16" s="110"/>
    </row>
    <row r="17" spans="1:7">
      <c r="A17" s="62">
        <v>13</v>
      </c>
      <c r="B17" s="166" t="s">
        <v>260</v>
      </c>
      <c r="C17" s="167" t="s">
        <v>253</v>
      </c>
      <c r="D17" s="60" t="s">
        <v>254</v>
      </c>
      <c r="E17" s="168">
        <v>57.88</v>
      </c>
      <c r="F17" s="62"/>
      <c r="G17" s="110"/>
    </row>
    <row r="18" spans="1:7">
      <c r="A18" s="62">
        <v>14</v>
      </c>
      <c r="B18" s="166" t="s">
        <v>260</v>
      </c>
      <c r="C18" s="167" t="s">
        <v>253</v>
      </c>
      <c r="D18" s="60" t="s">
        <v>254</v>
      </c>
      <c r="E18" s="168">
        <v>59.091</v>
      </c>
      <c r="F18" s="62"/>
      <c r="G18" s="110"/>
    </row>
    <row r="19" spans="1:7">
      <c r="A19" s="62">
        <v>15</v>
      </c>
      <c r="B19" s="166" t="s">
        <v>260</v>
      </c>
      <c r="C19" s="167" t="s">
        <v>253</v>
      </c>
      <c r="D19" s="60" t="s">
        <v>254</v>
      </c>
      <c r="E19" s="168">
        <v>63.518</v>
      </c>
      <c r="F19" s="62"/>
      <c r="G19" s="110"/>
    </row>
    <row r="20" spans="1:7">
      <c r="A20" s="62">
        <v>16</v>
      </c>
      <c r="B20" s="166" t="s">
        <v>261</v>
      </c>
      <c r="C20" s="167" t="s">
        <v>253</v>
      </c>
      <c r="D20" s="60" t="s">
        <v>254</v>
      </c>
      <c r="E20" s="168">
        <v>66.444</v>
      </c>
      <c r="F20" s="95"/>
      <c r="G20" s="169" t="s">
        <v>152</v>
      </c>
    </row>
    <row r="21" spans="1:7">
      <c r="A21" s="62">
        <v>17</v>
      </c>
      <c r="B21" s="166" t="s">
        <v>261</v>
      </c>
      <c r="C21" s="167" t="s">
        <v>253</v>
      </c>
      <c r="D21" s="60" t="s">
        <v>254</v>
      </c>
      <c r="E21" s="168">
        <v>66.444</v>
      </c>
      <c r="F21" s="170"/>
      <c r="G21" s="169" t="s">
        <v>262</v>
      </c>
    </row>
    <row r="22" spans="1:7">
      <c r="A22" s="62">
        <v>18</v>
      </c>
      <c r="B22" s="166" t="s">
        <v>261</v>
      </c>
      <c r="C22" s="167" t="s">
        <v>253</v>
      </c>
      <c r="D22" s="60" t="s">
        <v>254</v>
      </c>
      <c r="E22" s="168">
        <v>66.444</v>
      </c>
      <c r="F22" s="170"/>
      <c r="G22" s="171" t="s">
        <v>263</v>
      </c>
    </row>
    <row r="23" spans="1:7">
      <c r="A23" s="62">
        <v>19</v>
      </c>
      <c r="B23" s="166" t="s">
        <v>261</v>
      </c>
      <c r="C23" s="167" t="s">
        <v>253</v>
      </c>
      <c r="D23" s="60" t="s">
        <v>254</v>
      </c>
      <c r="E23" s="168">
        <v>70.483</v>
      </c>
      <c r="F23" s="172"/>
      <c r="G23" s="173"/>
    </row>
    <row r="24" spans="1:7">
      <c r="A24" s="62">
        <v>20</v>
      </c>
      <c r="B24" s="166" t="s">
        <v>261</v>
      </c>
      <c r="C24" s="167" t="s">
        <v>253</v>
      </c>
      <c r="D24" s="60" t="s">
        <v>254</v>
      </c>
      <c r="E24" s="168">
        <v>72.325</v>
      </c>
      <c r="F24" s="172"/>
      <c r="G24" s="173"/>
    </row>
    <row r="25" spans="1:7">
      <c r="A25" s="62">
        <v>21</v>
      </c>
      <c r="B25" s="166" t="s">
        <v>261</v>
      </c>
      <c r="C25" s="167" t="s">
        <v>253</v>
      </c>
      <c r="D25" s="60" t="s">
        <v>254</v>
      </c>
      <c r="E25" s="168">
        <v>75.646</v>
      </c>
      <c r="F25" s="172"/>
      <c r="G25" s="173"/>
    </row>
    <row r="26" spans="1:7">
      <c r="A26" s="62">
        <v>22</v>
      </c>
      <c r="B26" s="166" t="s">
        <v>264</v>
      </c>
      <c r="C26" s="167" t="s">
        <v>253</v>
      </c>
      <c r="D26" s="60" t="s">
        <v>254</v>
      </c>
      <c r="E26" s="168">
        <v>82.926</v>
      </c>
      <c r="F26" s="172"/>
      <c r="G26" s="173"/>
    </row>
    <row r="27" spans="1:7">
      <c r="A27" s="62">
        <v>23</v>
      </c>
      <c r="B27" s="166" t="s">
        <v>265</v>
      </c>
      <c r="C27" s="167" t="s">
        <v>253</v>
      </c>
      <c r="D27" s="60" t="s">
        <v>254</v>
      </c>
      <c r="E27" s="168">
        <v>88.712</v>
      </c>
      <c r="F27" s="172"/>
      <c r="G27" s="173"/>
    </row>
    <row r="28" spans="1:7">
      <c r="A28" s="62">
        <v>24</v>
      </c>
      <c r="B28" s="166" t="s">
        <v>265</v>
      </c>
      <c r="C28" s="167" t="s">
        <v>253</v>
      </c>
      <c r="D28" s="60" t="s">
        <v>254</v>
      </c>
      <c r="E28" s="168">
        <v>93.275</v>
      </c>
      <c r="F28" s="172"/>
      <c r="G28" s="173"/>
    </row>
    <row r="29" spans="1:7">
      <c r="A29" s="62">
        <v>25</v>
      </c>
      <c r="B29" s="166" t="s">
        <v>265</v>
      </c>
      <c r="C29" s="167" t="s">
        <v>253</v>
      </c>
      <c r="D29" s="60" t="s">
        <v>254</v>
      </c>
      <c r="E29" s="168">
        <v>95.027</v>
      </c>
      <c r="F29" s="172"/>
      <c r="G29" s="173"/>
    </row>
    <row r="30" spans="1:7">
      <c r="A30" s="62">
        <v>26</v>
      </c>
      <c r="B30" s="166" t="s">
        <v>266</v>
      </c>
      <c r="C30" s="167" t="s">
        <v>253</v>
      </c>
      <c r="D30" s="60" t="s">
        <v>254</v>
      </c>
      <c r="E30" s="168">
        <v>100.133</v>
      </c>
      <c r="F30" s="172"/>
      <c r="G30" s="173"/>
    </row>
    <row r="31" spans="1:7">
      <c r="A31" s="62">
        <v>27</v>
      </c>
      <c r="B31" s="166" t="s">
        <v>266</v>
      </c>
      <c r="C31" s="167" t="s">
        <v>253</v>
      </c>
      <c r="D31" s="60" t="s">
        <v>254</v>
      </c>
      <c r="E31" s="168">
        <v>103.329</v>
      </c>
      <c r="F31" s="172"/>
      <c r="G31" s="173"/>
    </row>
    <row r="32" spans="1:7">
      <c r="A32" s="62">
        <v>28</v>
      </c>
      <c r="B32" s="166" t="s">
        <v>266</v>
      </c>
      <c r="C32" s="167" t="s">
        <v>253</v>
      </c>
      <c r="D32" s="60" t="s">
        <v>254</v>
      </c>
      <c r="E32" s="168">
        <v>106.926</v>
      </c>
      <c r="F32" s="172"/>
      <c r="G32" s="173"/>
    </row>
    <row r="33" spans="1:7">
      <c r="A33" s="62">
        <v>29</v>
      </c>
      <c r="B33" s="166" t="s">
        <v>267</v>
      </c>
      <c r="C33" s="167" t="s">
        <v>253</v>
      </c>
      <c r="D33" s="60" t="s">
        <v>254</v>
      </c>
      <c r="E33" s="168">
        <v>110.405</v>
      </c>
      <c r="F33" s="172"/>
      <c r="G33" s="173"/>
    </row>
    <row r="34" spans="1:7">
      <c r="A34" s="62">
        <v>30</v>
      </c>
      <c r="B34" s="174" t="s">
        <v>267</v>
      </c>
      <c r="C34" s="167" t="s">
        <v>253</v>
      </c>
      <c r="D34" s="60" t="s">
        <v>254</v>
      </c>
      <c r="E34" s="168">
        <v>119.053</v>
      </c>
      <c r="F34" s="172"/>
      <c r="G34" s="173"/>
    </row>
    <row r="35" spans="1:7">
      <c r="A35" s="175" t="s">
        <v>268</v>
      </c>
      <c r="B35" s="175"/>
      <c r="C35" s="176"/>
      <c r="D35" s="62"/>
      <c r="E35" s="168"/>
      <c r="F35" s="172"/>
      <c r="G35" s="173"/>
    </row>
    <row r="36" spans="1:7">
      <c r="A36" s="177">
        <v>1</v>
      </c>
      <c r="B36" s="178" t="s">
        <v>267</v>
      </c>
      <c r="C36" s="167" t="s">
        <v>253</v>
      </c>
      <c r="D36" s="60" t="s">
        <v>254</v>
      </c>
      <c r="E36" s="168">
        <v>126.335</v>
      </c>
      <c r="F36" s="172"/>
      <c r="G36" s="173"/>
    </row>
    <row r="37" spans="1:7">
      <c r="A37" s="179">
        <v>2</v>
      </c>
      <c r="B37" s="166" t="s">
        <v>267</v>
      </c>
      <c r="C37" s="167" t="s">
        <v>253</v>
      </c>
      <c r="D37" s="60" t="s">
        <v>254</v>
      </c>
      <c r="E37" s="168">
        <v>132.607</v>
      </c>
      <c r="F37" s="172"/>
      <c r="G37" s="173"/>
    </row>
    <row r="38" spans="1:7">
      <c r="A38" s="179">
        <v>3</v>
      </c>
      <c r="B38" s="166" t="s">
        <v>269</v>
      </c>
      <c r="C38" s="167" t="s">
        <v>253</v>
      </c>
      <c r="D38" s="60" t="s">
        <v>254</v>
      </c>
      <c r="E38" s="168">
        <v>133.869</v>
      </c>
      <c r="F38" s="172"/>
      <c r="G38" s="173"/>
    </row>
    <row r="39" spans="1:7">
      <c r="A39" s="177">
        <v>4</v>
      </c>
      <c r="B39" s="166" t="s">
        <v>269</v>
      </c>
      <c r="C39" s="167" t="s">
        <v>253</v>
      </c>
      <c r="D39" s="60" t="s">
        <v>254</v>
      </c>
      <c r="E39" s="168">
        <v>137.781</v>
      </c>
      <c r="F39" s="172"/>
      <c r="G39" s="173"/>
    </row>
    <row r="40" spans="1:7">
      <c r="A40" s="179">
        <v>5</v>
      </c>
      <c r="B40" s="166" t="s">
        <v>270</v>
      </c>
      <c r="C40" s="167" t="s">
        <v>253</v>
      </c>
      <c r="D40" s="60" t="s">
        <v>254</v>
      </c>
      <c r="E40" s="168">
        <v>145.23</v>
      </c>
      <c r="F40" s="172"/>
      <c r="G40" s="173"/>
    </row>
    <row r="41" spans="1:7">
      <c r="A41" s="179">
        <v>6</v>
      </c>
      <c r="B41" s="166" t="s">
        <v>271</v>
      </c>
      <c r="C41" s="167" t="s">
        <v>253</v>
      </c>
      <c r="D41" s="60" t="s">
        <v>254</v>
      </c>
      <c r="E41" s="168">
        <v>153.324</v>
      </c>
      <c r="F41" s="172"/>
      <c r="G41" s="173"/>
    </row>
    <row r="42" spans="1:7">
      <c r="A42" s="177">
        <v>7</v>
      </c>
      <c r="B42" s="166" t="s">
        <v>272</v>
      </c>
      <c r="C42" s="167" t="s">
        <v>253</v>
      </c>
      <c r="D42" s="60" t="s">
        <v>254</v>
      </c>
      <c r="E42" s="168">
        <v>158.852</v>
      </c>
      <c r="F42" s="172"/>
      <c r="G42" s="173"/>
    </row>
    <row r="43" spans="1:7">
      <c r="A43" s="179">
        <v>8</v>
      </c>
      <c r="B43" s="166" t="s">
        <v>272</v>
      </c>
      <c r="C43" s="167" t="s">
        <v>253</v>
      </c>
      <c r="D43" s="60" t="s">
        <v>254</v>
      </c>
      <c r="E43" s="168">
        <v>161.747</v>
      </c>
      <c r="F43" s="172"/>
      <c r="G43" s="173"/>
    </row>
    <row r="44" spans="1:7">
      <c r="A44" s="179">
        <v>9</v>
      </c>
      <c r="B44" s="180" t="s">
        <v>273</v>
      </c>
      <c r="C44" s="167" t="s">
        <v>253</v>
      </c>
      <c r="D44" s="60" t="s">
        <v>254</v>
      </c>
      <c r="E44" s="168">
        <v>163.51</v>
      </c>
      <c r="F44" s="172"/>
      <c r="G44" s="173"/>
    </row>
    <row r="45" spans="1:7">
      <c r="A45" s="177">
        <v>10</v>
      </c>
      <c r="B45" s="180" t="s">
        <v>274</v>
      </c>
      <c r="C45" s="167" t="s">
        <v>253</v>
      </c>
      <c r="D45" s="60" t="s">
        <v>254</v>
      </c>
      <c r="E45" s="168">
        <v>169.121</v>
      </c>
      <c r="F45" s="172"/>
      <c r="G45" s="173"/>
    </row>
    <row r="46" spans="1:7">
      <c r="A46" s="179">
        <v>11</v>
      </c>
      <c r="B46" s="180" t="s">
        <v>274</v>
      </c>
      <c r="C46" s="167" t="s">
        <v>253</v>
      </c>
      <c r="D46" s="60" t="s">
        <v>254</v>
      </c>
      <c r="E46" s="181">
        <v>170.806</v>
      </c>
      <c r="F46" s="172"/>
      <c r="G46" s="173"/>
    </row>
    <row r="47" spans="1:7">
      <c r="A47" s="179">
        <v>12</v>
      </c>
      <c r="B47" s="166" t="s">
        <v>275</v>
      </c>
      <c r="C47" s="167" t="s">
        <v>253</v>
      </c>
      <c r="D47" s="60" t="s">
        <v>254</v>
      </c>
      <c r="E47" s="168">
        <v>171.445</v>
      </c>
      <c r="F47" s="172"/>
      <c r="G47" s="173"/>
    </row>
    <row r="48" spans="1:7">
      <c r="A48" s="177">
        <v>13</v>
      </c>
      <c r="B48" s="166" t="s">
        <v>275</v>
      </c>
      <c r="C48" s="167" t="s">
        <v>253</v>
      </c>
      <c r="D48" s="60" t="s">
        <v>254</v>
      </c>
      <c r="E48" s="168">
        <v>173.204</v>
      </c>
      <c r="F48" s="172"/>
      <c r="G48" s="173"/>
    </row>
    <row r="49" spans="1:7">
      <c r="A49" s="179">
        <v>14</v>
      </c>
      <c r="B49" s="166" t="s">
        <v>275</v>
      </c>
      <c r="C49" s="167" t="s">
        <v>253</v>
      </c>
      <c r="D49" s="60" t="s">
        <v>254</v>
      </c>
      <c r="E49" s="168">
        <v>177.52</v>
      </c>
      <c r="F49" s="172"/>
      <c r="G49" s="173"/>
    </row>
    <row r="50" spans="1:7">
      <c r="A50" s="179">
        <v>15</v>
      </c>
      <c r="B50" s="166" t="s">
        <v>276</v>
      </c>
      <c r="C50" s="167" t="s">
        <v>253</v>
      </c>
      <c r="D50" s="182" t="s">
        <v>277</v>
      </c>
      <c r="E50" s="168">
        <v>3.06</v>
      </c>
      <c r="F50" s="172"/>
      <c r="G50" s="173"/>
    </row>
    <row r="51" spans="1:7">
      <c r="A51" s="177">
        <v>16</v>
      </c>
      <c r="B51" s="183" t="s">
        <v>276</v>
      </c>
      <c r="C51" s="167" t="s">
        <v>253</v>
      </c>
      <c r="D51" s="182" t="s">
        <v>277</v>
      </c>
      <c r="E51" s="184">
        <v>9.1</v>
      </c>
      <c r="F51" s="172"/>
      <c r="G51" s="173"/>
    </row>
    <row r="52" spans="1:7">
      <c r="A52" s="185" t="s">
        <v>278</v>
      </c>
      <c r="B52" s="186"/>
      <c r="C52" s="187"/>
      <c r="D52" s="188"/>
      <c r="E52" s="184"/>
      <c r="F52" s="172"/>
      <c r="G52" s="173"/>
    </row>
    <row r="53" spans="1:7">
      <c r="A53" s="189">
        <v>1</v>
      </c>
      <c r="B53" s="190" t="s">
        <v>279</v>
      </c>
      <c r="C53" s="167" t="s">
        <v>253</v>
      </c>
      <c r="D53" s="182" t="s">
        <v>277</v>
      </c>
      <c r="E53" s="184">
        <v>16.2</v>
      </c>
      <c r="F53" s="172"/>
      <c r="G53" s="173"/>
    </row>
    <row r="54" spans="1:7">
      <c r="A54" s="189">
        <v>2</v>
      </c>
      <c r="B54" s="191" t="s">
        <v>280</v>
      </c>
      <c r="C54" s="167" t="s">
        <v>253</v>
      </c>
      <c r="D54" s="182" t="s">
        <v>277</v>
      </c>
      <c r="E54" s="184">
        <v>31.9267</v>
      </c>
      <c r="F54" s="172"/>
      <c r="G54" s="173"/>
    </row>
    <row r="55" spans="1:7">
      <c r="A55" s="189">
        <v>3</v>
      </c>
      <c r="B55" s="191" t="s">
        <v>280</v>
      </c>
      <c r="C55" s="167" t="s">
        <v>253</v>
      </c>
      <c r="D55" s="182" t="s">
        <v>277</v>
      </c>
      <c r="E55" s="184">
        <v>43.928</v>
      </c>
      <c r="F55" s="172"/>
      <c r="G55" s="173"/>
    </row>
    <row r="56" spans="1:7">
      <c r="A56" s="189">
        <v>4</v>
      </c>
      <c r="B56" s="183" t="s">
        <v>281</v>
      </c>
      <c r="C56" s="167" t="s">
        <v>253</v>
      </c>
      <c r="D56" s="182" t="s">
        <v>277</v>
      </c>
      <c r="E56" s="184">
        <v>54.347</v>
      </c>
      <c r="F56" s="172"/>
      <c r="G56" s="173"/>
    </row>
    <row r="57" spans="1:7">
      <c r="A57" s="189">
        <v>5</v>
      </c>
      <c r="B57" s="183" t="s">
        <v>282</v>
      </c>
      <c r="C57" s="167" t="s">
        <v>253</v>
      </c>
      <c r="D57" s="182" t="s">
        <v>277</v>
      </c>
      <c r="E57" s="184">
        <v>91.60462</v>
      </c>
      <c r="F57" s="172"/>
      <c r="G57" s="173"/>
    </row>
    <row r="58" ht="28" spans="1:7">
      <c r="A58" s="189">
        <v>6</v>
      </c>
      <c r="B58" s="183" t="s">
        <v>283</v>
      </c>
      <c r="C58" s="167" t="s">
        <v>253</v>
      </c>
      <c r="D58" s="182" t="s">
        <v>277</v>
      </c>
      <c r="E58" s="184">
        <v>125.62185</v>
      </c>
      <c r="F58" s="172"/>
      <c r="G58" s="173"/>
    </row>
    <row r="59" ht="28" spans="1:7">
      <c r="A59" s="189">
        <v>7</v>
      </c>
      <c r="B59" s="183" t="s">
        <v>284</v>
      </c>
      <c r="C59" s="167" t="s">
        <v>253</v>
      </c>
      <c r="D59" s="182" t="s">
        <v>277</v>
      </c>
      <c r="E59" s="184">
        <v>141.8325</v>
      </c>
      <c r="F59" s="172"/>
      <c r="G59" s="173"/>
    </row>
    <row r="60" ht="28" spans="1:7">
      <c r="A60" s="189">
        <v>8</v>
      </c>
      <c r="B60" s="183" t="s">
        <v>284</v>
      </c>
      <c r="C60" s="167" t="s">
        <v>253</v>
      </c>
      <c r="D60" s="182" t="s">
        <v>277</v>
      </c>
      <c r="E60" s="184">
        <v>148.6473</v>
      </c>
      <c r="F60" s="172"/>
      <c r="G60" s="173"/>
    </row>
    <row r="61" s="153" customFormat="1" spans="1:7">
      <c r="A61" s="189">
        <v>9</v>
      </c>
      <c r="B61" s="183" t="s">
        <v>285</v>
      </c>
      <c r="C61" s="167" t="s">
        <v>253</v>
      </c>
      <c r="D61" s="182" t="s">
        <v>277</v>
      </c>
      <c r="E61" s="184">
        <v>184.128</v>
      </c>
      <c r="F61" s="192"/>
      <c r="G61" s="193"/>
    </row>
    <row r="62" spans="1:7">
      <c r="A62" s="179"/>
      <c r="B62" s="183"/>
      <c r="C62" s="187"/>
      <c r="D62" s="188"/>
      <c r="E62" s="184"/>
      <c r="F62" s="172"/>
      <c r="G62" s="173"/>
    </row>
    <row r="63" spans="1:7">
      <c r="A63" s="179"/>
      <c r="B63" s="183"/>
      <c r="C63" s="187"/>
      <c r="D63" s="188"/>
      <c r="E63" s="184"/>
      <c r="F63" s="172"/>
      <c r="G63" s="173"/>
    </row>
    <row r="64" spans="1:7">
      <c r="A64" s="194" t="s">
        <v>286</v>
      </c>
      <c r="B64" s="195"/>
      <c r="C64" s="196"/>
      <c r="D64" s="95"/>
      <c r="E64" s="196"/>
      <c r="F64" s="139"/>
      <c r="G64" s="197"/>
    </row>
    <row r="65" spans="1:7">
      <c r="A65" s="198" t="s">
        <v>287</v>
      </c>
      <c r="B65" s="199"/>
      <c r="C65" s="199"/>
      <c r="D65" s="200"/>
      <c r="E65" s="199"/>
      <c r="F65" s="199"/>
      <c r="G65" s="199"/>
    </row>
    <row r="68" spans="1:7">
      <c r="A68" s="151"/>
      <c r="B68" s="151"/>
      <c r="C68" s="151"/>
      <c r="E68" s="151"/>
      <c r="F68" s="151"/>
      <c r="G68" s="151"/>
    </row>
    <row r="69" spans="1:7">
      <c r="A69" s="151"/>
      <c r="B69" s="151"/>
      <c r="C69" s="151"/>
      <c r="E69" s="151"/>
      <c r="F69" s="151"/>
      <c r="G69" s="151"/>
    </row>
    <row r="70" ht="20.4" spans="1:7">
      <c r="A70" s="201" t="s">
        <v>288</v>
      </c>
      <c r="B70" s="201"/>
      <c r="C70" s="201"/>
      <c r="D70" s="201"/>
    </row>
    <row r="71" spans="1:7">
      <c r="A71" s="202">
        <v>1</v>
      </c>
      <c r="B71" s="203" t="s">
        <v>289</v>
      </c>
      <c r="C71" s="204"/>
      <c r="D71" s="205" t="s">
        <v>290</v>
      </c>
    </row>
    <row r="72" spans="1:7">
      <c r="A72" s="206">
        <v>2</v>
      </c>
      <c r="B72" s="207" t="s">
        <v>291</v>
      </c>
      <c r="C72" s="208"/>
      <c r="D72" s="209"/>
    </row>
    <row r="73" spans="1:7">
      <c r="A73" s="206">
        <v>3</v>
      </c>
      <c r="B73" s="207" t="s">
        <v>292</v>
      </c>
      <c r="C73" s="208"/>
      <c r="D73" s="209"/>
    </row>
    <row r="74" spans="1:7">
      <c r="A74" s="202">
        <v>4</v>
      </c>
      <c r="B74" s="207" t="s">
        <v>293</v>
      </c>
      <c r="C74" s="208"/>
      <c r="D74" s="210"/>
    </row>
    <row r="75" spans="1:7">
      <c r="A75" s="206">
        <v>5</v>
      </c>
      <c r="B75" s="207" t="s">
        <v>294</v>
      </c>
      <c r="C75" s="208"/>
      <c r="D75" s="205" t="s">
        <v>295</v>
      </c>
    </row>
    <row r="76" spans="1:7">
      <c r="A76" s="206">
        <v>6</v>
      </c>
      <c r="B76" s="207" t="s">
        <v>296</v>
      </c>
      <c r="C76" s="208"/>
      <c r="D76" s="209"/>
    </row>
    <row r="77" spans="1:7">
      <c r="A77" s="202">
        <v>7</v>
      </c>
      <c r="B77" s="207" t="s">
        <v>297</v>
      </c>
      <c r="C77" s="208"/>
      <c r="D77" s="209"/>
    </row>
    <row r="78" spans="1:7">
      <c r="A78" s="206">
        <v>8</v>
      </c>
      <c r="B78" s="207" t="s">
        <v>298</v>
      </c>
      <c r="C78" s="208"/>
      <c r="D78" s="209"/>
    </row>
    <row r="79" spans="1:7">
      <c r="A79" s="206">
        <v>9</v>
      </c>
      <c r="B79" s="207" t="s">
        <v>299</v>
      </c>
      <c r="C79" s="208"/>
      <c r="D79" s="209"/>
    </row>
    <row r="80" spans="1:7">
      <c r="A80" s="202">
        <v>10</v>
      </c>
      <c r="B80" s="207" t="s">
        <v>300</v>
      </c>
      <c r="C80" s="208"/>
      <c r="D80" s="209"/>
    </row>
    <row r="81" spans="1:4">
      <c r="A81" s="206">
        <v>11</v>
      </c>
      <c r="B81" s="207" t="s">
        <v>301</v>
      </c>
      <c r="C81" s="208"/>
      <c r="D81" s="209"/>
    </row>
    <row r="82" spans="1:4">
      <c r="A82" s="206">
        <v>12</v>
      </c>
      <c r="B82" s="207" t="s">
        <v>302</v>
      </c>
      <c r="C82" s="208"/>
      <c r="D82" s="209"/>
    </row>
    <row r="83" spans="1:4">
      <c r="A83" s="202">
        <v>13</v>
      </c>
      <c r="B83" s="207" t="s">
        <v>303</v>
      </c>
      <c r="C83" s="208"/>
      <c r="D83" s="210"/>
    </row>
    <row r="84" spans="1:4">
      <c r="A84" s="206">
        <v>14</v>
      </c>
      <c r="B84" s="207" t="s">
        <v>304</v>
      </c>
      <c r="C84" s="208"/>
      <c r="D84" s="205" t="s">
        <v>305</v>
      </c>
    </row>
    <row r="85" spans="1:4">
      <c r="A85" s="206">
        <v>15</v>
      </c>
      <c r="B85" s="207" t="s">
        <v>306</v>
      </c>
      <c r="C85" s="208"/>
      <c r="D85" s="209"/>
    </row>
    <row r="86" spans="1:4">
      <c r="A86" s="202">
        <v>16</v>
      </c>
      <c r="B86" s="207" t="s">
        <v>307</v>
      </c>
      <c r="C86" s="208"/>
      <c r="D86" s="209"/>
    </row>
    <row r="87" spans="1:4">
      <c r="A87" s="206">
        <v>17</v>
      </c>
      <c r="B87" s="207" t="s">
        <v>308</v>
      </c>
      <c r="C87" s="208"/>
      <c r="D87" s="209"/>
    </row>
    <row r="88" spans="1:4">
      <c r="A88" s="206">
        <v>18</v>
      </c>
      <c r="B88" s="207" t="s">
        <v>309</v>
      </c>
      <c r="C88" s="208"/>
      <c r="D88" s="209"/>
    </row>
    <row r="89" spans="1:4">
      <c r="A89" s="202">
        <v>19</v>
      </c>
      <c r="B89" s="207" t="s">
        <v>310</v>
      </c>
      <c r="C89" s="208"/>
      <c r="D89" s="209"/>
    </row>
    <row r="90" spans="1:4">
      <c r="A90" s="206">
        <v>20</v>
      </c>
      <c r="B90" s="207" t="s">
        <v>311</v>
      </c>
      <c r="C90" s="208"/>
      <c r="D90" s="209"/>
    </row>
    <row r="91" spans="1:4">
      <c r="A91" s="206">
        <v>21</v>
      </c>
      <c r="B91" s="207" t="s">
        <v>312</v>
      </c>
      <c r="C91" s="208"/>
      <c r="D91" s="209"/>
    </row>
    <row r="92" spans="1:4">
      <c r="A92" s="202">
        <v>22</v>
      </c>
      <c r="B92" s="207" t="s">
        <v>313</v>
      </c>
      <c r="C92" s="208"/>
      <c r="D92" s="209"/>
    </row>
    <row r="93" spans="1:4">
      <c r="A93" s="206">
        <v>23</v>
      </c>
      <c r="B93" s="211" t="s">
        <v>314</v>
      </c>
      <c r="C93" s="212"/>
      <c r="D93" s="210"/>
    </row>
    <row r="103" spans="1:4">
      <c r="A103" s="213" t="s">
        <v>315</v>
      </c>
      <c r="B103" s="213"/>
      <c r="C103" s="213"/>
      <c r="D103" s="213"/>
    </row>
    <row r="104" spans="1:4">
      <c r="A104" s="206">
        <v>1</v>
      </c>
      <c r="B104" s="207" t="s">
        <v>316</v>
      </c>
      <c r="C104" s="208"/>
      <c r="D104" s="205" t="s">
        <v>317</v>
      </c>
    </row>
    <row r="105" spans="1:4">
      <c r="A105" s="206">
        <v>2</v>
      </c>
      <c r="B105" s="207" t="s">
        <v>318</v>
      </c>
      <c r="C105" s="208"/>
      <c r="D105" s="214" t="s">
        <v>319</v>
      </c>
    </row>
    <row r="106" spans="1:4">
      <c r="A106" s="206">
        <v>3</v>
      </c>
      <c r="B106" s="207" t="s">
        <v>320</v>
      </c>
      <c r="C106" s="208"/>
      <c r="D106" s="215"/>
    </row>
    <row r="107" spans="1:4">
      <c r="A107" s="206">
        <v>4</v>
      </c>
      <c r="B107" s="207" t="s">
        <v>321</v>
      </c>
      <c r="C107" s="208"/>
      <c r="D107" s="215"/>
    </row>
    <row r="108" spans="1:4">
      <c r="A108" s="206">
        <v>5</v>
      </c>
      <c r="B108" s="207" t="s">
        <v>322</v>
      </c>
      <c r="C108" s="208"/>
      <c r="D108" s="215"/>
    </row>
    <row r="109" spans="1:4">
      <c r="A109" s="206">
        <v>6</v>
      </c>
      <c r="B109" s="207" t="s">
        <v>323</v>
      </c>
      <c r="C109" s="208"/>
      <c r="D109" s="216"/>
    </row>
    <row r="110" spans="1:4">
      <c r="A110" s="213" t="s">
        <v>324</v>
      </c>
      <c r="B110" s="213"/>
      <c r="C110" s="213"/>
      <c r="D110" s="213"/>
    </row>
    <row r="111" ht="25" customHeight="1" spans="1:4">
      <c r="A111" s="202">
        <v>1</v>
      </c>
      <c r="B111" s="203" t="s">
        <v>325</v>
      </c>
      <c r="C111" s="203"/>
      <c r="D111" s="107" t="s">
        <v>326</v>
      </c>
    </row>
    <row r="112" ht="29" customHeight="1" spans="1:4">
      <c r="A112" s="217">
        <v>2</v>
      </c>
      <c r="B112" s="211" t="s">
        <v>327</v>
      </c>
      <c r="C112" s="211"/>
      <c r="D112" s="122"/>
    </row>
    <row r="113" spans="1:4">
      <c r="A113" s="218" t="s">
        <v>328</v>
      </c>
      <c r="B113" s="218"/>
      <c r="C113" s="218"/>
      <c r="D113" s="218"/>
    </row>
    <row r="114" spans="1:4">
      <c r="A114" s="219">
        <v>1</v>
      </c>
      <c r="B114" s="220" t="s">
        <v>329</v>
      </c>
      <c r="C114" s="220"/>
      <c r="D114" s="221" t="s">
        <v>330</v>
      </c>
    </row>
    <row r="115" spans="1:4">
      <c r="A115" s="218" t="s">
        <v>331</v>
      </c>
      <c r="B115" s="218"/>
      <c r="C115" s="218"/>
      <c r="D115" s="218"/>
    </row>
    <row r="116" spans="1:4">
      <c r="A116" s="206">
        <v>1</v>
      </c>
      <c r="B116" s="222" t="s">
        <v>332</v>
      </c>
      <c r="C116" s="223"/>
      <c r="D116" s="205" t="s">
        <v>333</v>
      </c>
    </row>
    <row r="117" spans="1:4">
      <c r="A117" s="206">
        <v>2</v>
      </c>
      <c r="B117" s="222" t="s">
        <v>334</v>
      </c>
      <c r="C117" s="223"/>
      <c r="D117" s="209"/>
    </row>
    <row r="118" spans="1:4">
      <c r="A118" s="206">
        <v>3</v>
      </c>
      <c r="B118" s="222" t="s">
        <v>335</v>
      </c>
      <c r="C118" s="223"/>
      <c r="D118" s="209"/>
    </row>
    <row r="119" spans="1:4">
      <c r="A119" s="206">
        <v>4</v>
      </c>
      <c r="B119" s="222" t="s">
        <v>336</v>
      </c>
      <c r="C119" s="223"/>
      <c r="D119" s="209"/>
    </row>
    <row r="120" spans="1:4">
      <c r="A120" s="206">
        <v>5</v>
      </c>
      <c r="B120" s="222" t="s">
        <v>337</v>
      </c>
      <c r="C120" s="223"/>
      <c r="D120" s="210"/>
    </row>
    <row r="121" spans="1:4">
      <c r="A121" s="206">
        <v>6</v>
      </c>
      <c r="B121" s="222" t="s">
        <v>338</v>
      </c>
      <c r="C121" s="223"/>
      <c r="D121" s="205" t="s">
        <v>339</v>
      </c>
    </row>
    <row r="122" spans="1:4">
      <c r="A122" s="206">
        <v>7</v>
      </c>
      <c r="B122" s="222" t="s">
        <v>340</v>
      </c>
      <c r="C122" s="223"/>
      <c r="D122" s="209"/>
    </row>
    <row r="123" spans="1:4">
      <c r="A123" s="206">
        <v>8</v>
      </c>
      <c r="B123" s="222" t="s">
        <v>341</v>
      </c>
      <c r="C123" s="223"/>
      <c r="D123" s="209"/>
    </row>
    <row r="124" spans="1:4">
      <c r="A124" s="206">
        <v>9</v>
      </c>
      <c r="B124" s="222" t="s">
        <v>342</v>
      </c>
      <c r="C124" s="223"/>
      <c r="D124" s="209"/>
    </row>
    <row r="125" spans="1:4">
      <c r="A125" s="206">
        <v>10</v>
      </c>
      <c r="B125" s="222" t="s">
        <v>343</v>
      </c>
      <c r="C125" s="223"/>
      <c r="D125" s="209"/>
    </row>
    <row r="126" spans="1:4">
      <c r="A126" s="206">
        <v>11</v>
      </c>
      <c r="B126" s="222" t="s">
        <v>344</v>
      </c>
      <c r="C126" s="223"/>
      <c r="D126" s="209"/>
    </row>
    <row r="127" spans="1:4">
      <c r="A127" s="206">
        <v>12</v>
      </c>
      <c r="B127" s="222" t="s">
        <v>345</v>
      </c>
      <c r="C127" s="223"/>
      <c r="D127" s="209"/>
    </row>
    <row r="128" spans="1:4">
      <c r="A128" s="206">
        <v>13</v>
      </c>
      <c r="B128" s="222" t="s">
        <v>346</v>
      </c>
      <c r="C128" s="223"/>
      <c r="D128" s="209"/>
    </row>
    <row r="129" spans="1:4">
      <c r="A129" s="206">
        <v>14</v>
      </c>
      <c r="B129" s="222" t="s">
        <v>347</v>
      </c>
      <c r="C129" s="223"/>
      <c r="D129" s="209"/>
    </row>
    <row r="130" spans="1:4">
      <c r="A130" s="206">
        <v>15</v>
      </c>
      <c r="B130" s="222" t="s">
        <v>348</v>
      </c>
      <c r="C130" s="223"/>
      <c r="D130" s="209"/>
    </row>
    <row r="131" spans="1:4">
      <c r="A131" s="206">
        <v>16</v>
      </c>
      <c r="B131" s="222" t="s">
        <v>349</v>
      </c>
      <c r="C131" s="223"/>
      <c r="D131" s="209"/>
    </row>
    <row r="132" spans="1:4">
      <c r="A132" s="206">
        <v>17</v>
      </c>
      <c r="B132" s="222" t="s">
        <v>350</v>
      </c>
      <c r="C132" s="223"/>
      <c r="D132" s="209"/>
    </row>
    <row r="133" spans="1:4">
      <c r="A133" s="206">
        <v>18</v>
      </c>
      <c r="B133" s="222" t="s">
        <v>351</v>
      </c>
      <c r="C133" s="223"/>
      <c r="D133" s="209"/>
    </row>
    <row r="134" spans="1:4">
      <c r="A134" s="206">
        <v>19</v>
      </c>
      <c r="B134" s="222" t="s">
        <v>352</v>
      </c>
      <c r="C134" s="223"/>
      <c r="D134" s="209"/>
    </row>
    <row r="135" spans="1:4">
      <c r="A135" s="206">
        <v>20</v>
      </c>
      <c r="B135" s="222" t="s">
        <v>353</v>
      </c>
      <c r="C135" s="223"/>
      <c r="D135" s="209"/>
    </row>
    <row r="136" spans="1:4">
      <c r="A136" s="206">
        <v>21</v>
      </c>
      <c r="B136" s="222" t="s">
        <v>354</v>
      </c>
      <c r="C136" s="223"/>
      <c r="D136" s="209"/>
    </row>
    <row r="137" spans="1:4">
      <c r="A137" s="206">
        <v>22</v>
      </c>
      <c r="B137" s="222" t="s">
        <v>355</v>
      </c>
      <c r="C137" s="223"/>
      <c r="D137" s="209"/>
    </row>
    <row r="138" spans="1:4">
      <c r="A138" s="206">
        <v>23</v>
      </c>
      <c r="B138" s="222" t="s">
        <v>356</v>
      </c>
      <c r="C138" s="223"/>
      <c r="D138" s="209"/>
    </row>
    <row r="139" spans="1:4">
      <c r="A139" s="206">
        <v>24</v>
      </c>
      <c r="B139" s="222" t="s">
        <v>357</v>
      </c>
      <c r="C139" s="223"/>
      <c r="D139" s="209"/>
    </row>
    <row r="140" spans="1:4">
      <c r="A140" s="206">
        <v>25</v>
      </c>
      <c r="B140" s="442" t="s">
        <v>358</v>
      </c>
      <c r="C140" s="223"/>
      <c r="D140" s="209"/>
    </row>
    <row r="141" spans="1:4">
      <c r="A141" s="206">
        <v>26</v>
      </c>
      <c r="B141" s="442" t="s">
        <v>359</v>
      </c>
      <c r="C141" s="223"/>
      <c r="D141" s="209"/>
    </row>
    <row r="142" spans="1:4">
      <c r="A142" s="206">
        <v>27</v>
      </c>
      <c r="B142" s="442" t="s">
        <v>360</v>
      </c>
      <c r="C142" s="223"/>
      <c r="D142" s="209"/>
    </row>
    <row r="143" spans="1:4">
      <c r="A143" s="206">
        <v>28</v>
      </c>
      <c r="B143" s="442" t="s">
        <v>361</v>
      </c>
      <c r="C143" s="223"/>
      <c r="D143" s="210"/>
    </row>
    <row r="144" spans="1:4">
      <c r="A144" s="206">
        <v>29</v>
      </c>
      <c r="B144" s="442" t="s">
        <v>362</v>
      </c>
      <c r="C144" s="223"/>
      <c r="D144" s="128" t="s">
        <v>305</v>
      </c>
    </row>
    <row r="145" spans="1:6">
      <c r="A145" s="206">
        <v>30</v>
      </c>
      <c r="B145" s="442" t="s">
        <v>363</v>
      </c>
      <c r="C145" s="223"/>
      <c r="D145" s="215"/>
    </row>
    <row r="146" spans="1:6">
      <c r="A146" s="206">
        <v>31</v>
      </c>
      <c r="B146" s="442" t="s">
        <v>364</v>
      </c>
      <c r="C146" s="223"/>
      <c r="D146" s="215"/>
    </row>
    <row r="147" spans="1:6">
      <c r="A147" s="206">
        <v>32</v>
      </c>
      <c r="B147" s="442" t="s">
        <v>365</v>
      </c>
      <c r="C147" s="223"/>
      <c r="D147" s="215"/>
      <c r="F147" t="s">
        <v>152</v>
      </c>
    </row>
    <row r="148" spans="1:6">
      <c r="A148" s="206">
        <v>33</v>
      </c>
      <c r="B148" s="442" t="s">
        <v>366</v>
      </c>
      <c r="C148" s="223"/>
      <c r="D148" s="215"/>
    </row>
    <row r="149" spans="1:6">
      <c r="A149" s="206">
        <v>34</v>
      </c>
      <c r="B149" s="442" t="s">
        <v>367</v>
      </c>
      <c r="C149" s="223"/>
      <c r="D149" s="215"/>
    </row>
    <row r="150" spans="1:6">
      <c r="A150" s="206">
        <v>35</v>
      </c>
      <c r="B150" s="442" t="s">
        <v>368</v>
      </c>
      <c r="C150" s="223"/>
      <c r="D150" s="215"/>
    </row>
    <row r="151" spans="1:6">
      <c r="A151" s="206">
        <v>36</v>
      </c>
      <c r="B151" s="442" t="s">
        <v>369</v>
      </c>
      <c r="C151" s="223"/>
      <c r="D151" s="215"/>
    </row>
    <row r="152" spans="1:6">
      <c r="A152" s="206">
        <v>37</v>
      </c>
      <c r="B152" s="442" t="s">
        <v>370</v>
      </c>
      <c r="C152" s="223"/>
      <c r="D152" s="215"/>
    </row>
    <row r="153" spans="1:6">
      <c r="A153" s="217">
        <v>38</v>
      </c>
      <c r="B153" s="443" t="s">
        <v>371</v>
      </c>
      <c r="C153" s="225"/>
      <c r="D153" s="216"/>
    </row>
    <row r="154" spans="1:6">
      <c r="A154" s="226" t="s">
        <v>372</v>
      </c>
      <c r="B154" s="218"/>
      <c r="C154" s="218"/>
      <c r="D154" s="218"/>
    </row>
    <row r="155" spans="1:6">
      <c r="A155" s="202">
        <v>1</v>
      </c>
      <c r="B155" s="227" t="s">
        <v>373</v>
      </c>
      <c r="C155" s="228"/>
      <c r="D155" s="205" t="s">
        <v>374</v>
      </c>
    </row>
    <row r="156" spans="1:6">
      <c r="A156" s="206">
        <v>2</v>
      </c>
      <c r="B156" s="222" t="s">
        <v>375</v>
      </c>
      <c r="C156" s="223"/>
      <c r="D156" s="209"/>
    </row>
    <row r="157" spans="1:6">
      <c r="A157" s="206">
        <v>3</v>
      </c>
      <c r="B157" s="222" t="s">
        <v>376</v>
      </c>
      <c r="C157" s="223"/>
      <c r="D157" s="209"/>
    </row>
    <row r="158" spans="1:6">
      <c r="A158" s="206">
        <v>4</v>
      </c>
      <c r="B158" s="224" t="s">
        <v>377</v>
      </c>
      <c r="C158" s="225"/>
      <c r="D158" s="210"/>
    </row>
  </sheetData>
  <mergeCells count="102">
    <mergeCell ref="A1:G1"/>
    <mergeCell ref="A4:B4"/>
    <mergeCell ref="A35:B35"/>
    <mergeCell ref="A52:B52"/>
    <mergeCell ref="A64:B64"/>
    <mergeCell ref="A65:G65"/>
    <mergeCell ref="A68:G68"/>
    <mergeCell ref="A69:G69"/>
    <mergeCell ref="A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103:D103"/>
    <mergeCell ref="B104:C104"/>
    <mergeCell ref="B105:C105"/>
    <mergeCell ref="B106:C106"/>
    <mergeCell ref="B107:C107"/>
    <mergeCell ref="B108:C108"/>
    <mergeCell ref="B109:C109"/>
    <mergeCell ref="A110:D110"/>
    <mergeCell ref="B111:C111"/>
    <mergeCell ref="B112:C112"/>
    <mergeCell ref="A113:D113"/>
    <mergeCell ref="B114:C114"/>
    <mergeCell ref="A115:D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A154:D154"/>
    <mergeCell ref="B155:C155"/>
    <mergeCell ref="B156:C156"/>
    <mergeCell ref="B157:C157"/>
    <mergeCell ref="B158:C158"/>
    <mergeCell ref="A2:A3"/>
    <mergeCell ref="B2:B3"/>
    <mergeCell ref="C2:C3"/>
    <mergeCell ref="D2:D3"/>
    <mergeCell ref="D71:D74"/>
    <mergeCell ref="D75:D83"/>
    <mergeCell ref="D84:D93"/>
    <mergeCell ref="D105:D109"/>
    <mergeCell ref="D111:D112"/>
    <mergeCell ref="D116:D120"/>
    <mergeCell ref="D121:D143"/>
    <mergeCell ref="D144:D153"/>
    <mergeCell ref="D155:D158"/>
    <mergeCell ref="E2:E3"/>
  </mergeCells>
  <pageMargins left="0.75" right="0.75" top="1" bottom="1" header="0.511805555555556" footer="0.511805555555556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I10" sqref="I10"/>
    </sheetView>
  </sheetViews>
  <sheetFormatPr defaultColWidth="8.79464285714286" defaultRowHeight="17.6" outlineLevelCol="4"/>
  <cols>
    <col min="1" max="1" width="22.1964285714286" customWidth="1"/>
    <col min="2" max="2" width="15.4017857142857" customWidth="1"/>
    <col min="3" max="3" width="17.1964285714286" customWidth="1"/>
    <col min="4" max="4" width="19.0982142857143" customWidth="1"/>
  </cols>
  <sheetData>
    <row r="2" ht="23.2" spans="1:5">
      <c r="A2" s="148" t="s">
        <v>378</v>
      </c>
      <c r="B2" s="149"/>
      <c r="C2" s="149"/>
      <c r="D2" s="149"/>
      <c r="E2" s="149"/>
    </row>
    <row r="3" spans="1:5">
      <c r="A3" s="150" t="s">
        <v>379</v>
      </c>
      <c r="B3" s="150" t="s">
        <v>380</v>
      </c>
      <c r="C3" s="150"/>
      <c r="D3" s="150"/>
      <c r="E3" s="107"/>
    </row>
    <row r="4" spans="1:5">
      <c r="A4" s="62"/>
      <c r="B4" s="62" t="s">
        <v>381</v>
      </c>
      <c r="C4" s="62" t="s">
        <v>382</v>
      </c>
      <c r="D4" s="62" t="s">
        <v>383</v>
      </c>
      <c r="E4" s="62"/>
    </row>
    <row r="5" spans="1:5">
      <c r="A5" s="62" t="s">
        <v>384</v>
      </c>
      <c r="B5" s="62">
        <v>8</v>
      </c>
      <c r="C5" s="62"/>
      <c r="D5" s="151">
        <v>1457.61</v>
      </c>
      <c r="E5" s="62"/>
    </row>
    <row r="6" spans="1:5">
      <c r="A6" s="62" t="s">
        <v>385</v>
      </c>
      <c r="B6" s="62">
        <v>46</v>
      </c>
      <c r="C6" s="62"/>
      <c r="D6" s="62">
        <v>97278.52</v>
      </c>
      <c r="E6" s="62"/>
    </row>
    <row r="7" spans="1:5">
      <c r="A7" s="62" t="s">
        <v>386</v>
      </c>
      <c r="B7" s="62">
        <v>1</v>
      </c>
      <c r="C7" s="62"/>
      <c r="D7" s="62">
        <v>317.8</v>
      </c>
      <c r="E7" s="62"/>
    </row>
    <row r="8" spans="1:5">
      <c r="A8" s="62" t="s">
        <v>387</v>
      </c>
      <c r="B8" s="62">
        <v>11</v>
      </c>
      <c r="C8" s="62"/>
      <c r="D8" s="62">
        <v>756.39</v>
      </c>
      <c r="E8" s="62"/>
    </row>
    <row r="9" spans="1:5">
      <c r="A9" s="62" t="s">
        <v>388</v>
      </c>
      <c r="B9" s="62">
        <v>21</v>
      </c>
      <c r="C9" s="62"/>
      <c r="D9" s="62">
        <v>1732.5</v>
      </c>
      <c r="E9" s="62"/>
    </row>
    <row r="10" spans="1:5">
      <c r="A10" s="62" t="s">
        <v>389</v>
      </c>
      <c r="B10" s="62">
        <v>1</v>
      </c>
      <c r="C10" s="62"/>
      <c r="D10" s="62">
        <v>241.5</v>
      </c>
      <c r="E10" s="62"/>
    </row>
    <row r="11" spans="1:5">
      <c r="A11" s="62" t="s">
        <v>390</v>
      </c>
      <c r="B11" s="62">
        <v>1</v>
      </c>
      <c r="C11" s="62">
        <v>7.54</v>
      </c>
      <c r="D11" s="62"/>
      <c r="E11" s="62"/>
    </row>
    <row r="12" spans="1:5">
      <c r="A12" s="62"/>
      <c r="B12" s="62"/>
      <c r="C12" s="62"/>
      <c r="D12" s="62"/>
      <c r="E12" s="62"/>
    </row>
    <row r="13" spans="1:5">
      <c r="A13" s="62"/>
      <c r="B13" s="62"/>
      <c r="C13" s="62"/>
      <c r="D13" s="62"/>
      <c r="E13" s="62"/>
    </row>
    <row r="14" spans="1:5">
      <c r="A14" s="95" t="s">
        <v>231</v>
      </c>
      <c r="B14" s="95">
        <f>SUM(B5:B13)</f>
        <v>89</v>
      </c>
      <c r="C14" s="95">
        <f>SUM(C11:C13)</f>
        <v>7.54</v>
      </c>
      <c r="D14" s="95">
        <f>SUM(D5:D13)</f>
        <v>101784.32</v>
      </c>
      <c r="E14" s="95"/>
    </row>
    <row r="15" spans="1:5">
      <c r="A15" s="152" t="s">
        <v>287</v>
      </c>
      <c r="B15" s="152"/>
      <c r="C15" s="152"/>
      <c r="D15" s="152"/>
      <c r="E15" s="152"/>
    </row>
  </sheetData>
  <mergeCells count="4">
    <mergeCell ref="A2:E2"/>
    <mergeCell ref="B3:E3"/>
    <mergeCell ref="A15:E15"/>
    <mergeCell ref="A3:A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opLeftCell="A9" workbookViewId="0">
      <selection activeCell="M13" sqref="M13"/>
    </sheetView>
  </sheetViews>
  <sheetFormatPr defaultColWidth="8.79464285714286" defaultRowHeight="17.6" outlineLevelCol="5"/>
  <cols>
    <col min="1" max="1" width="6.69642857142857" customWidth="1"/>
    <col min="2" max="2" width="14.5" customWidth="1"/>
    <col min="3" max="3" width="12.1964285714286" customWidth="1"/>
    <col min="5" max="5" width="20.7946428571429" customWidth="1"/>
    <col min="6" max="6" width="14.0982142857143" customWidth="1"/>
  </cols>
  <sheetData>
    <row r="1" spans="1:6">
      <c r="A1" s="125" t="s">
        <v>391</v>
      </c>
      <c r="B1" s="125"/>
      <c r="C1" s="125"/>
      <c r="D1" s="125"/>
      <c r="E1" s="125"/>
    </row>
    <row r="2" ht="30.3" customHeight="1" spans="1:6">
      <c r="A2" s="141" t="s">
        <v>110</v>
      </c>
      <c r="B2" s="141" t="s">
        <v>392</v>
      </c>
      <c r="C2" s="141" t="s">
        <v>393</v>
      </c>
      <c r="D2" s="141" t="s">
        <v>394</v>
      </c>
      <c r="E2" s="142" t="s">
        <v>4</v>
      </c>
    </row>
    <row r="3" ht="30.3" customHeight="1" spans="1:6">
      <c r="A3" s="112">
        <v>1</v>
      </c>
      <c r="B3" s="112" t="s">
        <v>395</v>
      </c>
      <c r="C3" s="112" t="s">
        <v>254</v>
      </c>
      <c r="D3" s="112" t="s">
        <v>396</v>
      </c>
      <c r="E3" s="143" t="s">
        <v>397</v>
      </c>
    </row>
    <row r="4" spans="1:6">
      <c r="A4" s="112">
        <v>2</v>
      </c>
      <c r="B4" s="112" t="s">
        <v>398</v>
      </c>
      <c r="C4" s="112"/>
      <c r="D4" s="112" t="s">
        <v>399</v>
      </c>
      <c r="E4" s="143" t="s">
        <v>400</v>
      </c>
    </row>
    <row r="5" spans="1:6">
      <c r="A5" s="112">
        <v>3</v>
      </c>
      <c r="B5" s="112" t="s">
        <v>401</v>
      </c>
      <c r="C5" s="112"/>
      <c r="D5" s="112" t="s">
        <v>402</v>
      </c>
      <c r="E5" s="143" t="s">
        <v>400</v>
      </c>
    </row>
    <row r="6" ht="32" spans="1:6">
      <c r="A6" s="112">
        <v>4</v>
      </c>
      <c r="B6" s="112" t="s">
        <v>403</v>
      </c>
      <c r="C6" s="112"/>
      <c r="D6" s="112" t="s">
        <v>404</v>
      </c>
      <c r="E6" s="143" t="s">
        <v>405</v>
      </c>
    </row>
    <row r="7" ht="32" spans="1:6">
      <c r="A7" s="112">
        <v>5</v>
      </c>
      <c r="B7" s="112" t="s">
        <v>406</v>
      </c>
      <c r="C7" s="112"/>
      <c r="D7" s="112" t="s">
        <v>407</v>
      </c>
      <c r="E7" s="143" t="s">
        <v>405</v>
      </c>
    </row>
    <row r="8" ht="44.7" customHeight="1" spans="1:6">
      <c r="A8" s="112">
        <v>6</v>
      </c>
      <c r="B8" s="112" t="s">
        <v>408</v>
      </c>
      <c r="C8" s="112" t="s">
        <v>277</v>
      </c>
      <c r="D8" s="112" t="s">
        <v>409</v>
      </c>
      <c r="E8" s="143" t="s">
        <v>405</v>
      </c>
    </row>
    <row r="9" ht="32" spans="1:6">
      <c r="A9" s="112">
        <v>7</v>
      </c>
      <c r="B9" s="112" t="s">
        <v>410</v>
      </c>
      <c r="C9" s="112"/>
      <c r="D9" s="112" t="s">
        <v>411</v>
      </c>
      <c r="E9" s="143" t="s">
        <v>412</v>
      </c>
    </row>
    <row r="10" spans="1:6">
      <c r="A10" s="112">
        <v>8</v>
      </c>
      <c r="B10" s="112" t="s">
        <v>413</v>
      </c>
      <c r="C10" s="112"/>
      <c r="D10" s="112" t="s">
        <v>414</v>
      </c>
      <c r="E10" s="143" t="s">
        <v>415</v>
      </c>
    </row>
    <row r="11" spans="1:6">
      <c r="A11" s="112">
        <v>9</v>
      </c>
      <c r="B11" s="112" t="s">
        <v>416</v>
      </c>
      <c r="C11" s="112"/>
      <c r="D11" s="112" t="s">
        <v>417</v>
      </c>
      <c r="E11" s="143" t="s">
        <v>415</v>
      </c>
    </row>
    <row r="12" ht="32" spans="1:6">
      <c r="A12" s="144">
        <v>10</v>
      </c>
      <c r="B12" s="144" t="s">
        <v>418</v>
      </c>
      <c r="C12" s="144"/>
      <c r="D12" s="144" t="s">
        <v>419</v>
      </c>
      <c r="E12" s="145" t="s">
        <v>420</v>
      </c>
    </row>
    <row r="13" ht="61" customHeight="1" spans="1:6">
      <c r="A13" s="125" t="s">
        <v>421</v>
      </c>
      <c r="B13" s="125"/>
      <c r="C13" s="125"/>
      <c r="D13" s="125"/>
      <c r="E13" s="125"/>
      <c r="F13" s="125"/>
    </row>
    <row r="14" ht="61" customHeight="1" spans="1:6">
      <c r="A14" s="141" t="s">
        <v>110</v>
      </c>
      <c r="B14" s="141" t="s">
        <v>422</v>
      </c>
      <c r="C14" s="141" t="s">
        <v>423</v>
      </c>
      <c r="D14" s="141" t="s">
        <v>424</v>
      </c>
      <c r="E14" s="141"/>
      <c r="F14" s="107" t="s">
        <v>12</v>
      </c>
    </row>
    <row r="15" ht="99" customHeight="1" spans="1:6">
      <c r="A15" s="144">
        <v>1</v>
      </c>
      <c r="B15" s="144" t="s">
        <v>425</v>
      </c>
      <c r="C15" s="144" t="s">
        <v>426</v>
      </c>
      <c r="D15" s="144" t="s">
        <v>427</v>
      </c>
      <c r="E15" s="146" t="s">
        <v>428</v>
      </c>
      <c r="F15" s="147" t="s">
        <v>429</v>
      </c>
    </row>
  </sheetData>
  <mergeCells count="5">
    <mergeCell ref="A1:E1"/>
    <mergeCell ref="A13:F13"/>
    <mergeCell ref="D14:E14"/>
    <mergeCell ref="C3:C7"/>
    <mergeCell ref="C8:C1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F6" sqref="F6"/>
    </sheetView>
  </sheetViews>
  <sheetFormatPr defaultColWidth="8.79464285714286" defaultRowHeight="17.6" outlineLevelRow="7"/>
  <cols>
    <col min="1" max="1" width="5.69642857142857" customWidth="1"/>
    <col min="5" max="5" width="11.5982142857143" customWidth="1"/>
    <col min="6" max="6" width="11.4017857142857" customWidth="1"/>
  </cols>
  <sheetData>
    <row r="1" ht="31" customHeight="1" spans="1:11">
      <c r="A1" s="123" t="s">
        <v>430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1">
      <c r="A2" s="125" t="s">
        <v>431</v>
      </c>
      <c r="B2" s="125"/>
      <c r="C2" s="125"/>
      <c r="D2" s="125"/>
      <c r="E2" s="125"/>
      <c r="F2" s="125"/>
      <c r="G2" s="125"/>
      <c r="H2" s="125"/>
      <c r="I2" s="125"/>
      <c r="J2" s="125"/>
    </row>
    <row r="3" ht="17.1" customHeight="1" spans="1:11">
      <c r="A3" s="126" t="s">
        <v>110</v>
      </c>
      <c r="B3" s="126" t="s">
        <v>432</v>
      </c>
      <c r="C3" s="126"/>
      <c r="D3" s="126"/>
      <c r="E3" s="126" t="s">
        <v>422</v>
      </c>
      <c r="F3" s="126" t="s">
        <v>433</v>
      </c>
      <c r="G3" s="126" t="s">
        <v>434</v>
      </c>
      <c r="H3" s="126" t="s">
        <v>435</v>
      </c>
      <c r="I3" s="126" t="s">
        <v>436</v>
      </c>
      <c r="J3" s="127" t="s">
        <v>437</v>
      </c>
      <c r="K3" s="128" t="s">
        <v>438</v>
      </c>
    </row>
    <row r="4" spans="1:11">
      <c r="A4" s="129"/>
      <c r="B4" s="129"/>
      <c r="C4" s="129"/>
      <c r="D4" s="129"/>
      <c r="E4" s="129"/>
      <c r="F4" s="129"/>
      <c r="G4" s="129" t="s">
        <v>439</v>
      </c>
      <c r="H4" s="130" t="s">
        <v>440</v>
      </c>
      <c r="I4" s="129"/>
      <c r="J4" s="131"/>
      <c r="K4" s="132"/>
    </row>
    <row r="5" ht="61" customHeight="1" spans="1:11">
      <c r="A5" s="133">
        <v>1</v>
      </c>
      <c r="B5" s="134" t="s">
        <v>441</v>
      </c>
      <c r="C5" s="134" t="s">
        <v>442</v>
      </c>
      <c r="D5" s="134" t="s">
        <v>443</v>
      </c>
      <c r="E5" s="134" t="s">
        <v>444</v>
      </c>
      <c r="F5" s="134" t="s">
        <v>445</v>
      </c>
      <c r="G5" s="133">
        <v>36.62</v>
      </c>
      <c r="H5" s="133">
        <v>19.75</v>
      </c>
      <c r="I5" s="134" t="s">
        <v>446</v>
      </c>
      <c r="J5" s="135" t="s">
        <v>447</v>
      </c>
      <c r="K5" s="136" t="s">
        <v>225</v>
      </c>
    </row>
    <row r="6" ht="59" customHeight="1" spans="1:11">
      <c r="A6" s="133">
        <v>2</v>
      </c>
      <c r="B6" s="134" t="s">
        <v>441</v>
      </c>
      <c r="C6" s="134" t="s">
        <v>442</v>
      </c>
      <c r="D6" s="134" t="s">
        <v>448</v>
      </c>
      <c r="E6" s="134" t="s">
        <v>449</v>
      </c>
      <c r="F6" s="134" t="s">
        <v>450</v>
      </c>
      <c r="G6" s="133">
        <v>99.19</v>
      </c>
      <c r="H6" s="133">
        <v>8.28</v>
      </c>
      <c r="I6" s="134" t="s">
        <v>446</v>
      </c>
      <c r="J6" s="135" t="s">
        <v>451</v>
      </c>
      <c r="K6" s="136" t="s">
        <v>452</v>
      </c>
    </row>
    <row r="7" ht="50" customHeight="1" spans="1:11">
      <c r="A7" s="133">
        <v>3</v>
      </c>
      <c r="B7" s="134" t="s">
        <v>453</v>
      </c>
      <c r="C7" s="134" t="s">
        <v>454</v>
      </c>
      <c r="D7" s="134" t="s">
        <v>455</v>
      </c>
      <c r="E7" s="134" t="s">
        <v>456</v>
      </c>
      <c r="F7" s="134" t="s">
        <v>457</v>
      </c>
      <c r="G7" s="133">
        <v>10.35</v>
      </c>
      <c r="H7" s="133">
        <v>2.11</v>
      </c>
      <c r="I7" s="134" t="s">
        <v>458</v>
      </c>
      <c r="J7" s="135" t="s">
        <v>459</v>
      </c>
      <c r="K7" s="136" t="s">
        <v>230</v>
      </c>
    </row>
    <row r="8" ht="17.1" customHeight="1" spans="1:11">
      <c r="A8" s="137" t="s">
        <v>231</v>
      </c>
      <c r="B8" s="137"/>
      <c r="C8" s="137"/>
      <c r="D8" s="137"/>
      <c r="E8" s="137"/>
      <c r="F8" s="137"/>
      <c r="G8" s="138">
        <v>146.16</v>
      </c>
      <c r="H8" s="138">
        <v>30.14</v>
      </c>
      <c r="I8" s="138"/>
      <c r="J8" s="139"/>
      <c r="K8" s="140"/>
    </row>
  </sheetData>
  <mergeCells count="10">
    <mergeCell ref="A1:J1"/>
    <mergeCell ref="A2:J2"/>
    <mergeCell ref="A8:F8"/>
    <mergeCell ref="A3:A4"/>
    <mergeCell ref="E3:E4"/>
    <mergeCell ref="F3:F4"/>
    <mergeCell ref="I3:I4"/>
    <mergeCell ref="J3:J4"/>
    <mergeCell ref="K3:K4"/>
    <mergeCell ref="B3:D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C8" sqref="C8"/>
    </sheetView>
  </sheetViews>
  <sheetFormatPr defaultColWidth="8.79464285714286" defaultRowHeight="17.6"/>
  <cols>
    <col min="1" max="1" width="6" customWidth="1"/>
    <col min="2" max="2" width="11.0982142857143" customWidth="1"/>
    <col min="3" max="3" width="11.9017857142857" customWidth="1"/>
  </cols>
  <sheetData>
    <row r="1" ht="25" customHeight="1" spans="1:13">
      <c r="A1" s="104" t="s">
        <v>460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ht="30.3" customHeight="1" spans="1:13">
      <c r="A2" s="106" t="s">
        <v>110</v>
      </c>
      <c r="B2" s="106" t="s">
        <v>422</v>
      </c>
      <c r="C2" s="106" t="s">
        <v>433</v>
      </c>
      <c r="D2" s="106" t="s">
        <v>432</v>
      </c>
      <c r="E2" s="106"/>
      <c r="F2" s="106"/>
      <c r="G2" s="106" t="s">
        <v>461</v>
      </c>
      <c r="H2" s="106" t="s">
        <v>462</v>
      </c>
      <c r="I2" s="106" t="s">
        <v>463</v>
      </c>
      <c r="J2" s="106" t="s">
        <v>464</v>
      </c>
      <c r="K2" s="106" t="s">
        <v>465</v>
      </c>
      <c r="L2" s="106" t="s">
        <v>466</v>
      </c>
      <c r="M2" s="107" t="s">
        <v>4</v>
      </c>
    </row>
    <row r="3" ht="28" customHeight="1" spans="1:13">
      <c r="A3" s="108"/>
      <c r="B3" s="108"/>
      <c r="C3" s="108"/>
      <c r="D3" s="108" t="s">
        <v>467</v>
      </c>
      <c r="E3" s="108" t="s">
        <v>468</v>
      </c>
      <c r="F3" s="108" t="s">
        <v>469</v>
      </c>
      <c r="G3" s="108" t="s">
        <v>470</v>
      </c>
      <c r="H3" s="108" t="s">
        <v>470</v>
      </c>
      <c r="I3" s="108" t="s">
        <v>470</v>
      </c>
      <c r="J3" s="109" t="s">
        <v>471</v>
      </c>
      <c r="K3" s="108"/>
      <c r="L3" s="109" t="s">
        <v>472</v>
      </c>
      <c r="M3" s="110"/>
    </row>
    <row r="4" ht="47" spans="1:13">
      <c r="A4" s="111">
        <v>1</v>
      </c>
      <c r="B4" s="112" t="s">
        <v>444</v>
      </c>
      <c r="C4" s="112" t="s">
        <v>473</v>
      </c>
      <c r="D4" s="112" t="s">
        <v>441</v>
      </c>
      <c r="E4" s="112" t="s">
        <v>442</v>
      </c>
      <c r="F4" s="112" t="s">
        <v>443</v>
      </c>
      <c r="G4" s="111">
        <v>30</v>
      </c>
      <c r="H4" s="111">
        <v>3</v>
      </c>
      <c r="I4" s="112">
        <v>3.45</v>
      </c>
      <c r="J4" s="112" t="s">
        <v>474</v>
      </c>
      <c r="K4" s="112" t="s">
        <v>475</v>
      </c>
      <c r="L4" s="111">
        <v>0.96</v>
      </c>
      <c r="M4" s="110" t="s">
        <v>476</v>
      </c>
    </row>
    <row r="5" ht="47" spans="1:13">
      <c r="A5" s="111">
        <v>2</v>
      </c>
      <c r="B5" s="112" t="s">
        <v>477</v>
      </c>
      <c r="C5" s="112" t="s">
        <v>478</v>
      </c>
      <c r="D5" s="112" t="s">
        <v>441</v>
      </c>
      <c r="E5" s="112" t="s">
        <v>442</v>
      </c>
      <c r="F5" s="112" t="s">
        <v>443</v>
      </c>
      <c r="G5" s="111">
        <v>8.1</v>
      </c>
      <c r="H5" s="111">
        <v>6.73</v>
      </c>
      <c r="I5" s="111">
        <v>8.07</v>
      </c>
      <c r="J5" s="111">
        <v>5.75</v>
      </c>
      <c r="K5" s="112" t="s">
        <v>475</v>
      </c>
      <c r="L5" s="111">
        <v>1.4</v>
      </c>
      <c r="M5" s="110"/>
    </row>
    <row r="6" ht="47" spans="1:13">
      <c r="A6" s="111">
        <v>3</v>
      </c>
      <c r="B6" s="112" t="s">
        <v>479</v>
      </c>
      <c r="C6" s="112" t="s">
        <v>480</v>
      </c>
      <c r="D6" s="112" t="s">
        <v>441</v>
      </c>
      <c r="E6" s="112" t="s">
        <v>442</v>
      </c>
      <c r="F6" s="112" t="s">
        <v>448</v>
      </c>
      <c r="G6" s="111">
        <v>8</v>
      </c>
      <c r="H6" s="111">
        <v>5.54</v>
      </c>
      <c r="I6" s="111">
        <v>6.4</v>
      </c>
      <c r="J6" s="111">
        <v>0.76</v>
      </c>
      <c r="K6" s="112" t="s">
        <v>475</v>
      </c>
      <c r="L6" s="111">
        <v>8.42</v>
      </c>
      <c r="M6" s="110"/>
    </row>
    <row r="7" ht="47" spans="1:13">
      <c r="A7" s="111">
        <v>4</v>
      </c>
      <c r="B7" s="112" t="s">
        <v>481</v>
      </c>
      <c r="C7" s="112" t="s">
        <v>482</v>
      </c>
      <c r="D7" s="112" t="s">
        <v>441</v>
      </c>
      <c r="E7" s="112" t="s">
        <v>442</v>
      </c>
      <c r="F7" s="112" t="s">
        <v>448</v>
      </c>
      <c r="G7" s="111">
        <v>13</v>
      </c>
      <c r="H7" s="111">
        <v>9.03</v>
      </c>
      <c r="I7" s="111">
        <v>10.38</v>
      </c>
      <c r="J7" s="111">
        <v>3.2</v>
      </c>
      <c r="K7" s="112" t="s">
        <v>475</v>
      </c>
      <c r="L7" s="111">
        <v>3.24</v>
      </c>
      <c r="M7" s="110"/>
    </row>
    <row r="8" ht="45" customHeight="1" spans="1:13">
      <c r="A8" s="111">
        <v>5</v>
      </c>
      <c r="B8" s="113" t="s">
        <v>449</v>
      </c>
      <c r="C8" s="113" t="s">
        <v>483</v>
      </c>
      <c r="D8" s="113" t="s">
        <v>441</v>
      </c>
      <c r="E8" s="113" t="s">
        <v>442</v>
      </c>
      <c r="F8" s="113" t="s">
        <v>448</v>
      </c>
      <c r="G8" s="114">
        <v>35</v>
      </c>
      <c r="H8" s="114">
        <v>20.71</v>
      </c>
      <c r="I8" s="114">
        <v>24.28</v>
      </c>
      <c r="J8" s="113" t="s">
        <v>474</v>
      </c>
      <c r="K8" s="113" t="s">
        <v>475</v>
      </c>
      <c r="L8" s="114">
        <v>2.93</v>
      </c>
      <c r="M8" s="110"/>
    </row>
    <row r="9" ht="41" spans="1:13">
      <c r="A9" s="111">
        <v>6</v>
      </c>
      <c r="B9" s="113" t="s">
        <v>484</v>
      </c>
      <c r="C9" s="113" t="s">
        <v>485</v>
      </c>
      <c r="D9" s="113" t="s">
        <v>441</v>
      </c>
      <c r="E9" s="113" t="s">
        <v>486</v>
      </c>
      <c r="F9" s="113" t="s">
        <v>487</v>
      </c>
      <c r="G9" s="114">
        <v>13</v>
      </c>
      <c r="H9" s="114">
        <v>11.43</v>
      </c>
      <c r="I9" s="114">
        <v>12.65</v>
      </c>
      <c r="J9" s="114">
        <v>4.71</v>
      </c>
      <c r="K9" s="113" t="s">
        <v>475</v>
      </c>
      <c r="L9" s="114">
        <v>2.69</v>
      </c>
      <c r="M9" s="110" t="s">
        <v>488</v>
      </c>
    </row>
    <row r="10" ht="41" spans="1:13">
      <c r="A10" s="111">
        <v>7</v>
      </c>
      <c r="B10" s="113" t="s">
        <v>489</v>
      </c>
      <c r="C10" s="113" t="s">
        <v>490</v>
      </c>
      <c r="D10" s="113" t="s">
        <v>441</v>
      </c>
      <c r="E10" s="113" t="s">
        <v>486</v>
      </c>
      <c r="F10" s="113" t="s">
        <v>487</v>
      </c>
      <c r="G10" s="114">
        <v>1.8</v>
      </c>
      <c r="H10" s="114">
        <v>1.43</v>
      </c>
      <c r="I10" s="114">
        <v>1.64</v>
      </c>
      <c r="J10" s="114">
        <v>1.24</v>
      </c>
      <c r="K10" s="113" t="s">
        <v>475</v>
      </c>
      <c r="L10" s="114">
        <v>1.32</v>
      </c>
      <c r="M10" s="110"/>
    </row>
    <row r="11" ht="41" spans="1:13">
      <c r="A11" s="111">
        <v>8</v>
      </c>
      <c r="B11" s="113" t="s">
        <v>491</v>
      </c>
      <c r="C11" s="113" t="s">
        <v>492</v>
      </c>
      <c r="D11" s="113" t="s">
        <v>441</v>
      </c>
      <c r="E11" s="113" t="s">
        <v>486</v>
      </c>
      <c r="F11" s="113" t="s">
        <v>487</v>
      </c>
      <c r="G11" s="114">
        <v>75</v>
      </c>
      <c r="H11" s="114">
        <v>64.43</v>
      </c>
      <c r="I11" s="114">
        <v>74.1</v>
      </c>
      <c r="J11" s="114">
        <v>5.68</v>
      </c>
      <c r="K11" s="113" t="s">
        <v>475</v>
      </c>
      <c r="L11" s="114">
        <v>13.05</v>
      </c>
      <c r="M11" s="110"/>
    </row>
    <row r="12" ht="41" spans="1:13">
      <c r="A12" s="111">
        <v>9</v>
      </c>
      <c r="B12" s="113" t="s">
        <v>493</v>
      </c>
      <c r="C12" s="113" t="s">
        <v>494</v>
      </c>
      <c r="D12" s="113" t="s">
        <v>441</v>
      </c>
      <c r="E12" s="113" t="s">
        <v>486</v>
      </c>
      <c r="F12" s="113" t="s">
        <v>487</v>
      </c>
      <c r="G12" s="114">
        <v>40</v>
      </c>
      <c r="H12" s="114">
        <v>32.65</v>
      </c>
      <c r="I12" s="114">
        <v>38.41</v>
      </c>
      <c r="J12" s="114">
        <v>4.13</v>
      </c>
      <c r="K12" s="113" t="s">
        <v>475</v>
      </c>
      <c r="L12" s="114">
        <v>9.3</v>
      </c>
      <c r="M12" s="110"/>
    </row>
    <row r="13" ht="41" spans="1:13">
      <c r="A13" s="111">
        <v>10</v>
      </c>
      <c r="B13" s="113" t="s">
        <v>495</v>
      </c>
      <c r="C13" s="113" t="s">
        <v>496</v>
      </c>
      <c r="D13" s="113" t="s">
        <v>453</v>
      </c>
      <c r="E13" s="113" t="s">
        <v>454</v>
      </c>
      <c r="F13" s="113" t="s">
        <v>497</v>
      </c>
      <c r="G13" s="114">
        <v>3</v>
      </c>
      <c r="H13" s="115">
        <v>2.05</v>
      </c>
      <c r="I13" s="114">
        <v>2.3</v>
      </c>
      <c r="J13" s="114">
        <v>0.61</v>
      </c>
      <c r="K13" s="113" t="s">
        <v>447</v>
      </c>
      <c r="L13" s="114">
        <v>3.77</v>
      </c>
      <c r="M13" s="110" t="s">
        <v>498</v>
      </c>
    </row>
    <row r="14" ht="41" spans="1:13">
      <c r="A14" s="111">
        <v>11</v>
      </c>
      <c r="B14" s="113" t="s">
        <v>499</v>
      </c>
      <c r="C14" s="113" t="s">
        <v>500</v>
      </c>
      <c r="D14" s="113" t="s">
        <v>453</v>
      </c>
      <c r="E14" s="113" t="s">
        <v>454</v>
      </c>
      <c r="F14" s="116" t="s">
        <v>501</v>
      </c>
      <c r="G14" s="114">
        <v>3</v>
      </c>
      <c r="H14" s="114">
        <v>2.71</v>
      </c>
      <c r="I14" s="114">
        <v>3</v>
      </c>
      <c r="J14" s="114">
        <v>1.02</v>
      </c>
      <c r="K14" s="113" t="s">
        <v>447</v>
      </c>
      <c r="L14" s="114">
        <v>2.94</v>
      </c>
      <c r="M14" s="110"/>
    </row>
    <row r="15" ht="41" spans="1:13">
      <c r="A15" s="117">
        <v>12</v>
      </c>
      <c r="B15" s="118" t="s">
        <v>502</v>
      </c>
      <c r="C15" s="118" t="s">
        <v>503</v>
      </c>
      <c r="D15" s="118" t="s">
        <v>441</v>
      </c>
      <c r="E15" s="118" t="s">
        <v>504</v>
      </c>
      <c r="F15" s="119" t="s">
        <v>505</v>
      </c>
      <c r="G15" s="120">
        <v>7.9</v>
      </c>
      <c r="H15" s="121">
        <v>6.54</v>
      </c>
      <c r="I15" s="120">
        <v>7.82</v>
      </c>
      <c r="J15" s="120">
        <v>3.34</v>
      </c>
      <c r="K15" s="118" t="s">
        <v>475</v>
      </c>
      <c r="L15" s="120">
        <v>2.34</v>
      </c>
      <c r="M15" s="122"/>
    </row>
  </sheetData>
  <mergeCells count="10">
    <mergeCell ref="A1:L1"/>
    <mergeCell ref="D2:F2"/>
    <mergeCell ref="A2:A3"/>
    <mergeCell ref="B2:B3"/>
    <mergeCell ref="C2:C3"/>
    <mergeCell ref="K2:K3"/>
    <mergeCell ref="M2:M3"/>
    <mergeCell ref="M4:M8"/>
    <mergeCell ref="M9:M12"/>
    <mergeCell ref="M13:M1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opLeftCell="A6" workbookViewId="0">
      <selection activeCell="I6" sqref="I6"/>
    </sheetView>
  </sheetViews>
  <sheetFormatPr defaultColWidth="8.79464285714286" defaultRowHeight="17.6"/>
  <cols>
    <col min="3" max="3" width="9.5" customWidth="1"/>
    <col min="8" max="8" width="10.5982142857143" customWidth="1"/>
    <col min="10" max="10" width="18.5" customWidth="1"/>
  </cols>
  <sheetData>
    <row r="1" ht="20.4" spans="1:10">
      <c r="B1" s="57" t="s">
        <v>506</v>
      </c>
      <c r="C1" s="57"/>
      <c r="D1" s="57"/>
      <c r="E1" s="57"/>
      <c r="F1" s="57"/>
      <c r="G1" s="57"/>
      <c r="H1" s="57"/>
      <c r="I1" s="57"/>
      <c r="J1" s="57"/>
    </row>
    <row r="2" spans="1:10">
      <c r="A2" s="58" t="s">
        <v>507</v>
      </c>
      <c r="B2" s="59"/>
      <c r="C2" s="59"/>
      <c r="D2" s="59"/>
      <c r="E2" s="59"/>
      <c r="F2" s="59"/>
      <c r="G2" s="59"/>
      <c r="H2" s="59"/>
      <c r="I2" s="59"/>
      <c r="J2" s="59"/>
    </row>
    <row r="3" ht="44" spans="1:10">
      <c r="A3" s="60" t="s">
        <v>110</v>
      </c>
      <c r="B3" s="61" t="s">
        <v>508</v>
      </c>
      <c r="C3" s="61" t="s">
        <v>509</v>
      </c>
      <c r="D3" s="61" t="s">
        <v>510</v>
      </c>
      <c r="E3" s="61" t="s">
        <v>511</v>
      </c>
      <c r="F3" s="61" t="s">
        <v>512</v>
      </c>
      <c r="G3" s="61" t="s">
        <v>513</v>
      </c>
      <c r="H3" s="61" t="s">
        <v>514</v>
      </c>
      <c r="I3" s="61"/>
      <c r="J3" s="61" t="s">
        <v>515</v>
      </c>
    </row>
    <row r="4" ht="38" customHeight="1" spans="1:10">
      <c r="A4" s="62" t="s">
        <v>516</v>
      </c>
      <c r="B4" s="63" t="s">
        <v>517</v>
      </c>
      <c r="C4" s="64" t="s">
        <v>518</v>
      </c>
      <c r="D4" s="65">
        <v>2791.5</v>
      </c>
      <c r="E4" s="65">
        <f t="shared" ref="E4:E11" si="0">D4*0.4</f>
        <v>1116.6</v>
      </c>
      <c r="F4" s="65">
        <f t="shared" ref="F4:F11" si="1">E4/64</f>
        <v>17.446875</v>
      </c>
      <c r="G4" s="65">
        <f>F4*1.45</f>
        <v>25.29796875</v>
      </c>
      <c r="H4" s="61">
        <v>290</v>
      </c>
      <c r="I4" s="66"/>
      <c r="J4" s="61" t="s">
        <v>519</v>
      </c>
    </row>
    <row r="5" ht="38" customHeight="1" spans="1:10">
      <c r="A5" s="62"/>
      <c r="B5" s="67"/>
      <c r="C5" s="64" t="s">
        <v>520</v>
      </c>
      <c r="D5" s="68">
        <v>2861.7</v>
      </c>
      <c r="E5" s="65">
        <f t="shared" si="0"/>
        <v>1144.68</v>
      </c>
      <c r="F5" s="65">
        <f t="shared" si="1"/>
        <v>17.885625</v>
      </c>
      <c r="G5" s="65">
        <f>F5*1.5</f>
        <v>26.8284375</v>
      </c>
      <c r="H5" s="69"/>
      <c r="I5" s="70"/>
      <c r="J5" s="61" t="s">
        <v>519</v>
      </c>
    </row>
    <row r="6" ht="38" customHeight="1" spans="1:10">
      <c r="A6" s="62"/>
      <c r="B6" s="67"/>
      <c r="C6" s="64" t="s">
        <v>521</v>
      </c>
      <c r="D6" s="68">
        <v>3051.2</v>
      </c>
      <c r="E6" s="65">
        <f t="shared" si="0"/>
        <v>1220.48</v>
      </c>
      <c r="F6" s="65">
        <f t="shared" si="1"/>
        <v>19.07</v>
      </c>
      <c r="G6" s="65">
        <f>F6*1.5</f>
        <v>28.605</v>
      </c>
      <c r="H6" s="69">
        <v>328</v>
      </c>
      <c r="I6" s="70" t="s">
        <v>152</v>
      </c>
      <c r="J6" s="61" t="s">
        <v>519</v>
      </c>
    </row>
    <row r="7" ht="38" customHeight="1" spans="1:10">
      <c r="A7" s="62"/>
      <c r="B7" s="67"/>
      <c r="C7" s="64" t="s">
        <v>522</v>
      </c>
      <c r="D7" s="68">
        <v>3142.3</v>
      </c>
      <c r="E7" s="65">
        <f t="shared" si="0"/>
        <v>1256.92</v>
      </c>
      <c r="F7" s="65">
        <f t="shared" si="1"/>
        <v>19.639375</v>
      </c>
      <c r="G7" s="65">
        <f t="shared" ref="G7:G11" si="2">F7*1.6</f>
        <v>31.423</v>
      </c>
      <c r="H7" s="69">
        <v>341</v>
      </c>
      <c r="I7" s="70"/>
      <c r="J7" s="61" t="s">
        <v>519</v>
      </c>
    </row>
    <row r="8" ht="28" customHeight="1" spans="1:10">
      <c r="A8" s="62" t="s">
        <v>523</v>
      </c>
      <c r="B8" s="71" t="s">
        <v>524</v>
      </c>
      <c r="C8" s="72" t="s">
        <v>525</v>
      </c>
      <c r="D8" s="73">
        <v>2888.6</v>
      </c>
      <c r="E8" s="65">
        <f t="shared" si="0"/>
        <v>1155.44</v>
      </c>
      <c r="F8" s="65">
        <f t="shared" si="1"/>
        <v>18.05375</v>
      </c>
      <c r="G8" s="65">
        <f t="shared" si="2"/>
        <v>28.886</v>
      </c>
      <c r="H8" s="73">
        <v>330.1</v>
      </c>
      <c r="I8" s="73"/>
      <c r="J8" s="61" t="s">
        <v>519</v>
      </c>
    </row>
    <row r="9" ht="28" customHeight="1" spans="1:10">
      <c r="A9" s="62"/>
      <c r="B9" s="74"/>
      <c r="C9" s="72" t="s">
        <v>526</v>
      </c>
      <c r="D9" s="73">
        <v>2467.9</v>
      </c>
      <c r="E9" s="65">
        <f t="shared" si="0"/>
        <v>987.16</v>
      </c>
      <c r="F9" s="65">
        <f t="shared" si="1"/>
        <v>15.424375</v>
      </c>
      <c r="G9" s="65">
        <f t="shared" si="2"/>
        <v>24.679</v>
      </c>
      <c r="H9" s="73">
        <v>270.4</v>
      </c>
      <c r="I9" s="73"/>
      <c r="J9" s="61" t="s">
        <v>519</v>
      </c>
    </row>
    <row r="10" ht="28" customHeight="1" spans="1:10">
      <c r="A10" s="62"/>
      <c r="B10" s="75"/>
      <c r="C10" s="76" t="s">
        <v>527</v>
      </c>
      <c r="D10" s="77">
        <v>1822.5</v>
      </c>
      <c r="E10" s="65">
        <f t="shared" si="0"/>
        <v>729</v>
      </c>
      <c r="F10" s="65">
        <f t="shared" si="1"/>
        <v>11.390625</v>
      </c>
      <c r="G10" s="65">
        <f t="shared" si="2"/>
        <v>18.225</v>
      </c>
      <c r="H10" s="77">
        <v>179.5</v>
      </c>
      <c r="I10" s="73"/>
      <c r="J10" s="61" t="s">
        <v>519</v>
      </c>
    </row>
    <row r="11" ht="28" customHeight="1" spans="1:10">
      <c r="A11" s="62"/>
      <c r="B11" s="75"/>
      <c r="C11" s="76" t="s">
        <v>528</v>
      </c>
      <c r="D11" s="73">
        <v>1626.2</v>
      </c>
      <c r="E11" s="65">
        <f t="shared" si="0"/>
        <v>650.48</v>
      </c>
      <c r="F11" s="65">
        <f t="shared" si="1"/>
        <v>10.16375</v>
      </c>
      <c r="G11" s="65">
        <f t="shared" si="2"/>
        <v>16.262</v>
      </c>
      <c r="H11" s="73">
        <v>151.1</v>
      </c>
      <c r="I11" s="73"/>
      <c r="J11" s="75" t="s">
        <v>529</v>
      </c>
    </row>
    <row r="12" ht="28" customHeight="1" spans="1:10">
      <c r="A12" s="78"/>
      <c r="B12" s="75"/>
      <c r="C12" s="76" t="s">
        <v>530</v>
      </c>
      <c r="D12" s="73"/>
      <c r="E12" s="65"/>
      <c r="F12" s="65"/>
      <c r="G12" s="65"/>
      <c r="H12" s="73">
        <v>142.6</v>
      </c>
      <c r="I12" s="73"/>
      <c r="J12" s="75"/>
    </row>
    <row r="13" ht="28" customHeight="1" spans="1:10">
      <c r="A13" s="78"/>
      <c r="B13" s="75"/>
      <c r="C13" s="76" t="s">
        <v>531</v>
      </c>
      <c r="D13" s="73"/>
      <c r="E13" s="65"/>
      <c r="F13" s="65"/>
      <c r="G13" s="65"/>
      <c r="H13" s="73">
        <v>133.3</v>
      </c>
      <c r="I13" s="73"/>
      <c r="J13" s="75"/>
    </row>
    <row r="14" ht="28" customHeight="1" spans="1:10">
      <c r="A14" s="78"/>
      <c r="B14" s="75"/>
      <c r="C14" s="76" t="s">
        <v>532</v>
      </c>
      <c r="D14" s="73"/>
      <c r="E14" s="65"/>
      <c r="F14" s="65"/>
      <c r="G14" s="65"/>
      <c r="H14" s="73">
        <v>109.6</v>
      </c>
      <c r="I14" s="73"/>
      <c r="J14" s="75"/>
    </row>
    <row r="15" ht="28" customHeight="1" spans="1:10">
      <c r="A15" s="79"/>
      <c r="B15" s="80"/>
      <c r="C15" s="81" t="s">
        <v>533</v>
      </c>
      <c r="D15" s="82">
        <v>1170.3</v>
      </c>
      <c r="E15" s="83">
        <f t="shared" ref="E15:E21" si="3">D15*0.4</f>
        <v>468.12</v>
      </c>
      <c r="F15" s="83">
        <f t="shared" ref="F15:F21" si="4">E15/64</f>
        <v>7.314375</v>
      </c>
      <c r="G15" s="83">
        <f t="shared" ref="G15:G21" si="5">F15*1.6</f>
        <v>11.703</v>
      </c>
      <c r="H15" s="82">
        <v>86.1</v>
      </c>
      <c r="I15" s="82"/>
      <c r="J15" s="80"/>
    </row>
    <row r="16" ht="28" customHeight="1" spans="1:10">
      <c r="A16" s="84" t="s">
        <v>129</v>
      </c>
      <c r="B16" s="85" t="s">
        <v>534</v>
      </c>
      <c r="C16" s="76" t="s">
        <v>527</v>
      </c>
      <c r="D16" s="73">
        <v>2877.2</v>
      </c>
      <c r="E16" s="83">
        <f t="shared" si="3"/>
        <v>1150.88</v>
      </c>
      <c r="F16" s="83">
        <f t="shared" si="4"/>
        <v>17.9825</v>
      </c>
      <c r="G16" s="83">
        <f t="shared" si="5"/>
        <v>28.772</v>
      </c>
      <c r="H16" s="73">
        <v>155.6</v>
      </c>
      <c r="I16" s="73"/>
      <c r="J16" s="86" t="s">
        <v>229</v>
      </c>
    </row>
    <row r="17" ht="28" customHeight="1" spans="1:10">
      <c r="A17" s="87"/>
      <c r="B17" s="88"/>
      <c r="C17" s="76" t="s">
        <v>528</v>
      </c>
      <c r="D17" s="73">
        <v>3073.6</v>
      </c>
      <c r="E17" s="83">
        <f t="shared" si="3"/>
        <v>1229.44</v>
      </c>
      <c r="F17" s="83">
        <f t="shared" si="4"/>
        <v>19.21</v>
      </c>
      <c r="G17" s="83">
        <f t="shared" si="5"/>
        <v>30.736</v>
      </c>
      <c r="H17" s="73">
        <v>180</v>
      </c>
      <c r="I17" s="73"/>
      <c r="J17" s="86" t="s">
        <v>529</v>
      </c>
    </row>
    <row r="18" ht="28" customHeight="1" spans="1:10">
      <c r="A18" s="87"/>
      <c r="B18" s="88"/>
      <c r="C18" s="89" t="s">
        <v>532</v>
      </c>
      <c r="D18" s="73">
        <v>3368.2</v>
      </c>
      <c r="E18" s="83">
        <f t="shared" si="3"/>
        <v>1347.28</v>
      </c>
      <c r="F18" s="83">
        <f t="shared" si="4"/>
        <v>21.05125</v>
      </c>
      <c r="G18" s="83">
        <f t="shared" si="5"/>
        <v>33.682</v>
      </c>
      <c r="H18" s="73">
        <v>225.5</v>
      </c>
      <c r="I18" s="73"/>
      <c r="J18" s="86" t="s">
        <v>225</v>
      </c>
    </row>
    <row r="19" ht="28" customHeight="1" spans="1:10">
      <c r="A19" s="87"/>
      <c r="B19" s="88"/>
      <c r="C19" s="81" t="s">
        <v>533</v>
      </c>
      <c r="D19" s="73">
        <v>3529.6</v>
      </c>
      <c r="E19" s="83">
        <f t="shared" si="3"/>
        <v>1411.84</v>
      </c>
      <c r="F19" s="83">
        <f t="shared" si="4"/>
        <v>22.06</v>
      </c>
      <c r="G19" s="83">
        <f t="shared" si="5"/>
        <v>35.296</v>
      </c>
      <c r="H19" s="73">
        <v>249</v>
      </c>
      <c r="I19" s="73"/>
      <c r="J19" s="86" t="s">
        <v>225</v>
      </c>
    </row>
    <row r="20" ht="28" customHeight="1" spans="1:10">
      <c r="A20" s="87"/>
      <c r="B20" s="88"/>
      <c r="C20" s="90" t="s">
        <v>524</v>
      </c>
      <c r="D20" s="82">
        <v>4139.7</v>
      </c>
      <c r="E20" s="83">
        <f t="shared" si="3"/>
        <v>1655.88</v>
      </c>
      <c r="F20" s="83">
        <f t="shared" si="4"/>
        <v>25.873125</v>
      </c>
      <c r="G20" s="83">
        <f t="shared" si="5"/>
        <v>41.397</v>
      </c>
      <c r="H20" s="91">
        <v>335.1</v>
      </c>
      <c r="I20" s="73"/>
      <c r="J20" s="86" t="s">
        <v>225</v>
      </c>
    </row>
    <row r="21" ht="28" customHeight="1" spans="1:10">
      <c r="A21" s="92"/>
      <c r="B21" s="93"/>
      <c r="C21" s="94" t="s">
        <v>526</v>
      </c>
      <c r="D21" s="95">
        <v>3522.5</v>
      </c>
      <c r="E21" s="96">
        <f t="shared" si="3"/>
        <v>1409</v>
      </c>
      <c r="F21" s="96">
        <f t="shared" si="4"/>
        <v>22.015625</v>
      </c>
      <c r="G21" s="96">
        <f t="shared" si="5"/>
        <v>35.225</v>
      </c>
      <c r="H21" s="97">
        <v>246.5</v>
      </c>
      <c r="I21" s="91"/>
      <c r="J21" s="98" t="s">
        <v>230</v>
      </c>
    </row>
    <row r="22" ht="27" customHeight="1" spans="1:10">
      <c r="A22" s="99"/>
      <c r="B22" s="100"/>
      <c r="C22" s="100"/>
      <c r="D22" s="100"/>
      <c r="E22" s="100"/>
      <c r="F22" s="100"/>
      <c r="G22" s="100"/>
      <c r="H22" s="100"/>
      <c r="I22" s="100"/>
      <c r="J22" s="101"/>
    </row>
    <row r="23" ht="27" customHeight="1" spans="1:10">
      <c r="A23" s="102" t="s">
        <v>535</v>
      </c>
      <c r="B23" s="103"/>
      <c r="C23" s="103"/>
      <c r="D23" s="103"/>
      <c r="E23" s="103"/>
      <c r="F23" s="103"/>
      <c r="G23" s="103"/>
      <c r="H23" s="103"/>
      <c r="I23" s="103"/>
      <c r="J23" s="103"/>
    </row>
  </sheetData>
  <mergeCells count="9">
    <mergeCell ref="B1:J1"/>
    <mergeCell ref="A2:J2"/>
    <mergeCell ref="A23:J23"/>
    <mergeCell ref="A4:A7"/>
    <mergeCell ref="A8:A15"/>
    <mergeCell ref="A16:A21"/>
    <mergeCell ref="B4:B7"/>
    <mergeCell ref="B8:B15"/>
    <mergeCell ref="B16:B2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workbookViewId="0">
      <selection activeCell="G64" sqref="G64"/>
    </sheetView>
  </sheetViews>
  <sheetFormatPr defaultColWidth="8.79464285714286" defaultRowHeight="17.6"/>
  <cols>
    <col min="3" max="3" width="16.0982142857143" customWidth="1"/>
    <col min="6" max="6" width="15.9017857142857" customWidth="1"/>
    <col min="7" max="7" width="15.6964285714286" customWidth="1"/>
    <col min="9" max="9" width="13.1964285714286" customWidth="1"/>
  </cols>
  <sheetData>
    <row r="1" ht="28.8" spans="1:9">
      <c r="A1" s="14" t="s">
        <v>536</v>
      </c>
      <c r="B1" s="15"/>
      <c r="C1" s="14"/>
      <c r="D1" s="14"/>
      <c r="E1" s="14"/>
      <c r="F1" s="14"/>
      <c r="G1" s="14"/>
      <c r="H1" s="14"/>
      <c r="I1" s="14"/>
    </row>
    <row r="2" spans="1:9">
      <c r="A2" s="16" t="s">
        <v>110</v>
      </c>
      <c r="B2" s="17" t="s">
        <v>537</v>
      </c>
      <c r="C2" s="16" t="s">
        <v>11</v>
      </c>
      <c r="D2" s="16" t="s">
        <v>379</v>
      </c>
      <c r="E2" s="16" t="s">
        <v>538</v>
      </c>
      <c r="F2" s="16" t="s">
        <v>539</v>
      </c>
      <c r="G2" s="16" t="s">
        <v>540</v>
      </c>
      <c r="H2" s="16" t="s">
        <v>541</v>
      </c>
      <c r="I2" s="16" t="s">
        <v>4</v>
      </c>
    </row>
    <row r="3" spans="1:9">
      <c r="A3" s="18">
        <v>1</v>
      </c>
      <c r="B3" s="19" t="s">
        <v>542</v>
      </c>
      <c r="C3" s="20" t="s">
        <v>543</v>
      </c>
      <c r="D3" s="21" t="s">
        <v>544</v>
      </c>
      <c r="E3" s="22" t="s">
        <v>545</v>
      </c>
      <c r="F3" s="22" t="s">
        <v>546</v>
      </c>
      <c r="G3" s="22">
        <v>18700093634</v>
      </c>
      <c r="H3" s="21" t="s">
        <v>448</v>
      </c>
      <c r="I3" s="22" t="s">
        <v>547</v>
      </c>
    </row>
    <row r="4" spans="1:9">
      <c r="A4" s="23"/>
      <c r="B4" s="19"/>
      <c r="C4" s="24"/>
      <c r="D4" s="25"/>
      <c r="E4" s="22" t="s">
        <v>548</v>
      </c>
      <c r="F4" s="22" t="s">
        <v>549</v>
      </c>
      <c r="G4" s="22">
        <v>18645136978</v>
      </c>
      <c r="H4" s="25"/>
      <c r="I4" s="22" t="s">
        <v>547</v>
      </c>
    </row>
    <row r="5" spans="1:9">
      <c r="A5" s="23"/>
      <c r="B5" s="19"/>
      <c r="C5" s="24"/>
      <c r="D5" s="25"/>
      <c r="E5" s="22" t="s">
        <v>550</v>
      </c>
      <c r="F5" s="22" t="s">
        <v>551</v>
      </c>
      <c r="G5" s="22">
        <v>18691081767</v>
      </c>
      <c r="H5" s="25"/>
      <c r="I5" s="22"/>
    </row>
    <row r="6" spans="1:9">
      <c r="A6" s="23"/>
      <c r="B6" s="19"/>
      <c r="C6" s="24"/>
      <c r="D6" s="25"/>
      <c r="E6" s="22" t="s">
        <v>552</v>
      </c>
      <c r="F6" s="22" t="s">
        <v>553</v>
      </c>
      <c r="G6" s="22">
        <v>18580172200</v>
      </c>
      <c r="H6" s="25"/>
      <c r="I6" s="22"/>
    </row>
    <row r="7" spans="1:9">
      <c r="A7" s="23"/>
      <c r="B7" s="19"/>
      <c r="C7" s="24"/>
      <c r="D7" s="25"/>
      <c r="E7" s="22" t="s">
        <v>554</v>
      </c>
      <c r="F7" s="22" t="s">
        <v>555</v>
      </c>
      <c r="G7" s="22">
        <v>18691305699</v>
      </c>
      <c r="H7" s="25"/>
      <c r="I7" s="22"/>
    </row>
    <row r="8" spans="1:9">
      <c r="A8" s="23"/>
      <c r="B8" s="19"/>
      <c r="C8" s="24"/>
      <c r="D8" s="25"/>
      <c r="E8" s="22" t="s">
        <v>556</v>
      </c>
      <c r="F8" s="22" t="s">
        <v>557</v>
      </c>
      <c r="G8" s="22">
        <v>18600955599</v>
      </c>
      <c r="H8" s="25"/>
      <c r="I8" s="22"/>
    </row>
    <row r="9" spans="1:9">
      <c r="A9" s="26"/>
      <c r="B9" s="19"/>
      <c r="C9" s="27"/>
      <c r="D9" s="28"/>
      <c r="E9" s="22" t="s">
        <v>558</v>
      </c>
      <c r="F9" s="22" t="s">
        <v>559</v>
      </c>
      <c r="G9" s="22">
        <v>19831322666</v>
      </c>
      <c r="H9" s="28"/>
      <c r="I9" s="22"/>
    </row>
    <row r="10" spans="1:9">
      <c r="A10" s="29">
        <v>2</v>
      </c>
      <c r="B10" s="30" t="s">
        <v>560</v>
      </c>
      <c r="C10" s="31" t="s">
        <v>561</v>
      </c>
      <c r="D10" s="29" t="s">
        <v>544</v>
      </c>
      <c r="E10" s="32" t="s">
        <v>562</v>
      </c>
      <c r="F10" s="32" t="s">
        <v>563</v>
      </c>
      <c r="G10" s="33">
        <v>18203791585</v>
      </c>
      <c r="H10" s="30" t="s">
        <v>443</v>
      </c>
      <c r="I10" s="33"/>
    </row>
    <row r="11" spans="1:9">
      <c r="A11" s="34"/>
      <c r="B11" s="35"/>
      <c r="C11" s="35"/>
      <c r="D11" s="34"/>
      <c r="E11" s="32" t="s">
        <v>564</v>
      </c>
      <c r="F11" s="32" t="s">
        <v>565</v>
      </c>
      <c r="G11" s="33">
        <v>15903676353</v>
      </c>
      <c r="H11" s="35"/>
      <c r="I11" s="33"/>
    </row>
    <row r="12" spans="1:9">
      <c r="A12" s="34"/>
      <c r="B12" s="35"/>
      <c r="C12" s="35"/>
      <c r="D12" s="34"/>
      <c r="E12" s="32" t="s">
        <v>566</v>
      </c>
      <c r="F12" s="32" t="s">
        <v>567</v>
      </c>
      <c r="G12" s="33">
        <v>13849987405</v>
      </c>
      <c r="H12" s="35"/>
      <c r="I12" s="33"/>
    </row>
    <row r="13" spans="1:9">
      <c r="A13" s="34"/>
      <c r="B13" s="35"/>
      <c r="C13" s="35"/>
      <c r="D13" s="34"/>
      <c r="E13" s="32" t="s">
        <v>568</v>
      </c>
      <c r="F13" s="32" t="s">
        <v>569</v>
      </c>
      <c r="G13" s="33">
        <v>13569863410</v>
      </c>
      <c r="H13" s="35"/>
      <c r="I13" s="33"/>
    </row>
    <row r="14" spans="1:9">
      <c r="A14" s="34"/>
      <c r="B14" s="35"/>
      <c r="C14" s="35"/>
      <c r="D14" s="34"/>
      <c r="E14" s="32" t="s">
        <v>570</v>
      </c>
      <c r="F14" s="32" t="s">
        <v>571</v>
      </c>
      <c r="G14" s="33">
        <v>17367723565</v>
      </c>
      <c r="H14" s="35"/>
      <c r="I14" s="33"/>
    </row>
    <row r="15" ht="34" spans="1:9">
      <c r="A15" s="34"/>
      <c r="B15" s="35"/>
      <c r="C15" s="35"/>
      <c r="D15" s="34"/>
      <c r="E15" s="32" t="s">
        <v>572</v>
      </c>
      <c r="F15" s="32" t="s">
        <v>573</v>
      </c>
      <c r="G15" s="33">
        <v>15246607701</v>
      </c>
      <c r="H15" s="35"/>
      <c r="I15" s="33"/>
    </row>
    <row r="16" spans="1:9">
      <c r="A16" s="34"/>
      <c r="B16" s="35"/>
      <c r="C16" s="35"/>
      <c r="D16" s="34"/>
      <c r="E16" s="33" t="s">
        <v>574</v>
      </c>
      <c r="F16" s="33" t="s">
        <v>575</v>
      </c>
      <c r="G16" s="33">
        <v>16650258769</v>
      </c>
      <c r="H16" s="35"/>
      <c r="I16" s="33"/>
    </row>
    <row r="17" spans="1:9">
      <c r="A17" s="34"/>
      <c r="B17" s="35"/>
      <c r="C17" s="35"/>
      <c r="D17" s="34"/>
      <c r="E17" s="33" t="s">
        <v>576</v>
      </c>
      <c r="F17" s="33" t="s">
        <v>575</v>
      </c>
      <c r="G17" s="33">
        <v>18843777599</v>
      </c>
      <c r="H17" s="35"/>
      <c r="I17" s="33"/>
    </row>
    <row r="18" spans="1:9">
      <c r="A18" s="34"/>
      <c r="B18" s="35"/>
      <c r="C18" s="35"/>
      <c r="D18" s="34"/>
      <c r="E18" s="33" t="s">
        <v>577</v>
      </c>
      <c r="F18" s="33" t="s">
        <v>578</v>
      </c>
      <c r="G18" s="33">
        <v>17645857761</v>
      </c>
      <c r="H18" s="35"/>
      <c r="I18" s="33"/>
    </row>
    <row r="19" spans="1:9">
      <c r="A19" s="36"/>
      <c r="B19" s="37"/>
      <c r="C19" s="37"/>
      <c r="D19" s="36"/>
      <c r="E19" s="33" t="s">
        <v>579</v>
      </c>
      <c r="F19" s="33" t="s">
        <v>578</v>
      </c>
      <c r="G19" s="33">
        <v>18393629673</v>
      </c>
      <c r="H19" s="37"/>
      <c r="I19" s="33"/>
    </row>
    <row r="20" spans="1:9">
      <c r="A20" s="38">
        <v>3</v>
      </c>
      <c r="B20" s="30" t="s">
        <v>580</v>
      </c>
      <c r="C20" s="31" t="s">
        <v>581</v>
      </c>
      <c r="D20" s="38" t="s">
        <v>544</v>
      </c>
      <c r="E20" s="39" t="s">
        <v>582</v>
      </c>
      <c r="F20" s="39" t="s">
        <v>563</v>
      </c>
      <c r="G20" s="40">
        <v>15909397331</v>
      </c>
      <c r="H20" s="41" t="s">
        <v>583</v>
      </c>
      <c r="I20" s="40"/>
    </row>
    <row r="21" spans="1:9">
      <c r="A21" s="42"/>
      <c r="B21" s="35"/>
      <c r="C21" s="35"/>
      <c r="D21" s="42"/>
      <c r="E21" s="39" t="s">
        <v>584</v>
      </c>
      <c r="F21" s="39" t="s">
        <v>565</v>
      </c>
      <c r="G21" s="40">
        <v>18220755067</v>
      </c>
      <c r="H21" s="43"/>
      <c r="I21" s="40"/>
    </row>
    <row r="22" spans="1:9">
      <c r="A22" s="42"/>
      <c r="B22" s="35"/>
      <c r="C22" s="35"/>
      <c r="D22" s="42"/>
      <c r="E22" s="39" t="s">
        <v>585</v>
      </c>
      <c r="F22" s="39" t="s">
        <v>565</v>
      </c>
      <c r="G22" s="40">
        <v>18792712589</v>
      </c>
      <c r="H22" s="43"/>
      <c r="I22" s="40"/>
    </row>
    <row r="23" spans="1:9">
      <c r="A23" s="42"/>
      <c r="B23" s="35"/>
      <c r="C23" s="35"/>
      <c r="D23" s="42"/>
      <c r="E23" s="39" t="s">
        <v>586</v>
      </c>
      <c r="F23" s="39" t="s">
        <v>565</v>
      </c>
      <c r="G23" s="40">
        <v>13649293443</v>
      </c>
      <c r="H23" s="43"/>
      <c r="I23" s="40"/>
    </row>
    <row r="24" spans="1:9">
      <c r="A24" s="42"/>
      <c r="B24" s="35"/>
      <c r="C24" s="35"/>
      <c r="D24" s="42"/>
      <c r="E24" s="39" t="s">
        <v>587</v>
      </c>
      <c r="F24" s="39" t="s">
        <v>588</v>
      </c>
      <c r="G24" s="40">
        <v>13165759660</v>
      </c>
      <c r="H24" s="43"/>
      <c r="I24" s="40"/>
    </row>
    <row r="25" spans="1:9">
      <c r="A25" s="44"/>
      <c r="B25" s="37"/>
      <c r="C25" s="37"/>
      <c r="D25" s="44"/>
      <c r="E25" s="39" t="s">
        <v>589</v>
      </c>
      <c r="F25" s="39" t="s">
        <v>590</v>
      </c>
      <c r="G25" s="40">
        <v>18292060929</v>
      </c>
      <c r="H25" s="45"/>
      <c r="I25" s="40"/>
    </row>
    <row r="26" spans="1:9">
      <c r="A26" s="38">
        <v>4</v>
      </c>
      <c r="B26" s="30" t="s">
        <v>580</v>
      </c>
      <c r="C26" s="31" t="s">
        <v>591</v>
      </c>
      <c r="D26" s="38" t="s">
        <v>544</v>
      </c>
      <c r="E26" s="39" t="s">
        <v>592</v>
      </c>
      <c r="F26" s="39" t="s">
        <v>546</v>
      </c>
      <c r="G26" s="40">
        <v>13253287980</v>
      </c>
      <c r="H26" s="41" t="s">
        <v>593</v>
      </c>
      <c r="I26" s="40"/>
    </row>
    <row r="27" spans="1:9">
      <c r="A27" s="42"/>
      <c r="B27" s="35"/>
      <c r="C27" s="35"/>
      <c r="D27" s="42"/>
      <c r="E27" s="39" t="s">
        <v>594</v>
      </c>
      <c r="F27" s="39" t="s">
        <v>565</v>
      </c>
      <c r="G27" s="40">
        <v>18669551603</v>
      </c>
      <c r="H27" s="43"/>
      <c r="I27" s="40" t="s">
        <v>595</v>
      </c>
    </row>
    <row r="28" spans="1:9">
      <c r="A28" s="42"/>
      <c r="B28" s="35"/>
      <c r="C28" s="35"/>
      <c r="D28" s="42"/>
      <c r="E28" s="39" t="s">
        <v>596</v>
      </c>
      <c r="F28" s="39" t="s">
        <v>588</v>
      </c>
      <c r="G28" s="40">
        <v>18283939318</v>
      </c>
      <c r="H28" s="43"/>
      <c r="I28" s="40"/>
    </row>
    <row r="29" spans="1:9">
      <c r="A29" s="42"/>
      <c r="B29" s="35"/>
      <c r="C29" s="35"/>
      <c r="D29" s="42"/>
      <c r="E29" s="39" t="s">
        <v>597</v>
      </c>
      <c r="F29" s="39" t="s">
        <v>551</v>
      </c>
      <c r="G29" s="40">
        <v>13394500981</v>
      </c>
      <c r="H29" s="43"/>
      <c r="I29" s="40"/>
    </row>
    <row r="30" spans="1:9">
      <c r="A30" s="42"/>
      <c r="B30" s="35"/>
      <c r="C30" s="35"/>
      <c r="D30" s="42"/>
      <c r="E30" s="39" t="s">
        <v>598</v>
      </c>
      <c r="F30" s="39" t="s">
        <v>551</v>
      </c>
      <c r="G30" s="40">
        <v>19935345830</v>
      </c>
      <c r="H30" s="43"/>
      <c r="I30" s="40"/>
    </row>
    <row r="31" spans="1:9">
      <c r="A31" s="44"/>
      <c r="B31" s="37"/>
      <c r="C31" s="37"/>
      <c r="D31" s="44"/>
      <c r="E31" s="40"/>
      <c r="F31" s="40"/>
      <c r="G31" s="40"/>
      <c r="H31" s="45"/>
      <c r="I31" s="40"/>
    </row>
    <row r="32" spans="1:9">
      <c r="A32" s="38">
        <v>5</v>
      </c>
      <c r="B32" s="29" t="s">
        <v>599</v>
      </c>
      <c r="C32" s="31" t="s">
        <v>600</v>
      </c>
      <c r="D32" s="38" t="s">
        <v>544</v>
      </c>
      <c r="E32" s="40" t="s">
        <v>601</v>
      </c>
      <c r="F32" s="40" t="s">
        <v>602</v>
      </c>
      <c r="G32" s="40">
        <v>13076599555</v>
      </c>
      <c r="H32" s="40" t="s">
        <v>583</v>
      </c>
      <c r="I32" s="40"/>
    </row>
    <row r="33" spans="1:9">
      <c r="A33" s="42"/>
      <c r="B33" s="34"/>
      <c r="C33" s="35"/>
      <c r="D33" s="42"/>
      <c r="E33" s="40" t="s">
        <v>603</v>
      </c>
      <c r="F33" s="40" t="s">
        <v>546</v>
      </c>
      <c r="G33" s="40">
        <v>18522919287</v>
      </c>
      <c r="H33" s="40" t="s">
        <v>583</v>
      </c>
      <c r="I33" s="40"/>
    </row>
    <row r="34" spans="1:9">
      <c r="A34" s="42"/>
      <c r="B34" s="34"/>
      <c r="C34" s="35"/>
      <c r="D34" s="42"/>
      <c r="E34" s="40" t="s">
        <v>604</v>
      </c>
      <c r="F34" s="40" t="s">
        <v>605</v>
      </c>
      <c r="G34" s="40">
        <v>13821217697</v>
      </c>
      <c r="H34" s="40" t="s">
        <v>583</v>
      </c>
      <c r="I34" s="40"/>
    </row>
    <row r="35" spans="1:9">
      <c r="A35" s="42"/>
      <c r="B35" s="34"/>
      <c r="C35" s="35"/>
      <c r="D35" s="42"/>
      <c r="E35" s="40" t="s">
        <v>606</v>
      </c>
      <c r="F35" s="40" t="s">
        <v>607</v>
      </c>
      <c r="G35" s="40">
        <v>15122559974</v>
      </c>
      <c r="H35" s="40" t="s">
        <v>583</v>
      </c>
      <c r="I35" s="40"/>
    </row>
    <row r="36" spans="1:9">
      <c r="A36" s="42"/>
      <c r="B36" s="34"/>
      <c r="C36" s="35"/>
      <c r="D36" s="42"/>
      <c r="E36" s="40" t="s">
        <v>608</v>
      </c>
      <c r="F36" s="40" t="s">
        <v>569</v>
      </c>
      <c r="G36" s="40">
        <v>13920568611</v>
      </c>
      <c r="H36" s="40" t="s">
        <v>583</v>
      </c>
      <c r="I36" s="40"/>
    </row>
    <row r="37" spans="1:9">
      <c r="A37" s="42"/>
      <c r="B37" s="34"/>
      <c r="C37" s="35"/>
      <c r="D37" s="42"/>
      <c r="E37" s="40" t="s">
        <v>609</v>
      </c>
      <c r="F37" s="40" t="s">
        <v>610</v>
      </c>
      <c r="G37" s="40">
        <v>13672183543</v>
      </c>
      <c r="H37" s="40" t="s">
        <v>583</v>
      </c>
      <c r="I37" s="40"/>
    </row>
    <row r="38" spans="1:9">
      <c r="A38" s="42"/>
      <c r="B38" s="34"/>
      <c r="C38" s="35"/>
      <c r="D38" s="42"/>
      <c r="E38" s="40" t="s">
        <v>611</v>
      </c>
      <c r="F38" s="40" t="s">
        <v>612</v>
      </c>
      <c r="G38" s="40">
        <v>17535410927</v>
      </c>
      <c r="H38" s="40" t="s">
        <v>583</v>
      </c>
      <c r="I38" s="40"/>
    </row>
    <row r="39" spans="1:9">
      <c r="A39" s="42"/>
      <c r="B39" s="34"/>
      <c r="C39" s="35"/>
      <c r="D39" s="42"/>
      <c r="E39" s="40" t="s">
        <v>613</v>
      </c>
      <c r="F39" s="40" t="s">
        <v>614</v>
      </c>
      <c r="G39" s="40">
        <v>18102138098</v>
      </c>
      <c r="H39" s="40" t="s">
        <v>583</v>
      </c>
      <c r="I39" s="40"/>
    </row>
    <row r="40" spans="1:9">
      <c r="A40" s="44"/>
      <c r="B40" s="36"/>
      <c r="C40" s="37"/>
      <c r="D40" s="44"/>
      <c r="E40" s="40" t="s">
        <v>615</v>
      </c>
      <c r="F40" s="40" t="s">
        <v>616</v>
      </c>
      <c r="G40" s="40">
        <v>18134955949</v>
      </c>
      <c r="H40" s="40" t="s">
        <v>583</v>
      </c>
      <c r="I40" s="40"/>
    </row>
    <row r="41" ht="76" spans="1:9">
      <c r="A41" s="42">
        <v>6</v>
      </c>
      <c r="B41" s="34" t="s">
        <v>617</v>
      </c>
      <c r="C41" s="46" t="s">
        <v>618</v>
      </c>
      <c r="D41" s="40" t="s">
        <v>544</v>
      </c>
      <c r="E41" s="47" t="s">
        <v>619</v>
      </c>
      <c r="F41" s="22" t="s">
        <v>546</v>
      </c>
      <c r="G41" s="47">
        <v>13994211853</v>
      </c>
      <c r="H41" s="40"/>
      <c r="I41" s="40"/>
    </row>
    <row r="42" spans="1:9">
      <c r="A42" s="42"/>
      <c r="B42" s="34"/>
      <c r="C42" s="48"/>
      <c r="D42" s="40"/>
      <c r="E42" s="47" t="s">
        <v>620</v>
      </c>
      <c r="F42" s="22" t="s">
        <v>621</v>
      </c>
      <c r="G42" s="47">
        <v>18547475999</v>
      </c>
      <c r="H42" s="40"/>
      <c r="I42" s="40"/>
    </row>
    <row r="43" spans="1:9">
      <c r="A43" s="42"/>
      <c r="B43" s="34"/>
      <c r="C43" s="48"/>
      <c r="D43" s="40"/>
      <c r="E43" s="47"/>
      <c r="F43" s="22"/>
      <c r="G43" s="47"/>
      <c r="H43" s="40"/>
      <c r="I43" s="40"/>
    </row>
    <row r="44" ht="76" spans="1:9">
      <c r="A44" s="42"/>
      <c r="B44" s="34"/>
      <c r="C44" s="49" t="s">
        <v>622</v>
      </c>
      <c r="D44" s="42" t="s">
        <v>544</v>
      </c>
      <c r="E44" s="50" t="s">
        <v>623</v>
      </c>
      <c r="F44" s="28" t="s">
        <v>546</v>
      </c>
      <c r="G44" s="51">
        <v>18234100603</v>
      </c>
      <c r="H44" s="44"/>
      <c r="I44" s="44"/>
    </row>
    <row r="45" spans="1:9">
      <c r="A45" s="42"/>
      <c r="B45" s="34"/>
      <c r="C45" s="52"/>
      <c r="D45" s="38"/>
      <c r="E45" s="53" t="s">
        <v>624</v>
      </c>
      <c r="F45" s="38" t="s">
        <v>621</v>
      </c>
      <c r="G45" s="54">
        <v>18313961942</v>
      </c>
      <c r="H45" s="40"/>
      <c r="I45" s="40"/>
    </row>
    <row r="46" ht="92" spans="1:9">
      <c r="A46" s="40">
        <v>7</v>
      </c>
      <c r="B46" s="33" t="s">
        <v>625</v>
      </c>
      <c r="C46" s="46" t="s">
        <v>626</v>
      </c>
      <c r="D46" s="40" t="s">
        <v>544</v>
      </c>
      <c r="E46" s="40" t="s">
        <v>627</v>
      </c>
      <c r="F46" s="40" t="s">
        <v>628</v>
      </c>
      <c r="G46" s="40">
        <v>15042172791</v>
      </c>
      <c r="H46" s="40"/>
      <c r="I46" s="40"/>
    </row>
    <row r="47" spans="1:9">
      <c r="A47" s="40"/>
      <c r="B47" s="33"/>
      <c r="C47" s="16"/>
      <c r="D47" s="40"/>
      <c r="E47" s="40"/>
      <c r="F47" s="40"/>
      <c r="G47" s="40"/>
      <c r="H47" s="40"/>
      <c r="I47" s="40"/>
    </row>
    <row r="48" ht="68" spans="1:9">
      <c r="A48" s="40">
        <v>8</v>
      </c>
      <c r="B48" s="33" t="s">
        <v>629</v>
      </c>
      <c r="C48" s="17" t="s">
        <v>630</v>
      </c>
      <c r="D48" s="40" t="s">
        <v>544</v>
      </c>
      <c r="E48" s="55" t="s">
        <v>631</v>
      </c>
      <c r="F48" s="44" t="s">
        <v>628</v>
      </c>
      <c r="G48" s="44">
        <v>13904529656</v>
      </c>
      <c r="H48" s="40"/>
      <c r="I48" s="40"/>
    </row>
    <row r="49" spans="1:9">
      <c r="A49" s="40"/>
      <c r="B49" s="33"/>
      <c r="C49" s="39"/>
      <c r="D49" s="40"/>
      <c r="E49" s="40"/>
      <c r="F49" s="40"/>
      <c r="G49" s="40"/>
      <c r="H49" s="40"/>
      <c r="I49" s="40"/>
    </row>
    <row r="50" spans="1:9">
      <c r="A50" s="38">
        <v>9</v>
      </c>
      <c r="B50" s="29" t="s">
        <v>632</v>
      </c>
      <c r="C50" s="31" t="s">
        <v>633</v>
      </c>
      <c r="D50" s="38" t="s">
        <v>544</v>
      </c>
      <c r="E50" s="40" t="s">
        <v>634</v>
      </c>
      <c r="F50" s="40" t="s">
        <v>628</v>
      </c>
      <c r="G50" s="40">
        <v>13944417435</v>
      </c>
      <c r="H50" s="40" t="s">
        <v>505</v>
      </c>
      <c r="I50" s="40"/>
    </row>
    <row r="51" spans="1:9">
      <c r="A51" s="42"/>
      <c r="B51" s="34"/>
      <c r="C51" s="35"/>
      <c r="D51" s="42"/>
      <c r="E51" s="40" t="s">
        <v>635</v>
      </c>
      <c r="F51" s="40" t="s">
        <v>636</v>
      </c>
      <c r="G51" s="40">
        <v>13840018636</v>
      </c>
      <c r="H51" s="40" t="s">
        <v>505</v>
      </c>
      <c r="I51" s="40"/>
    </row>
    <row r="52" spans="1:9">
      <c r="A52" s="42"/>
      <c r="B52" s="34"/>
      <c r="C52" s="35"/>
      <c r="D52" s="42"/>
      <c r="E52" s="40" t="s">
        <v>637</v>
      </c>
      <c r="F52" s="40" t="s">
        <v>638</v>
      </c>
      <c r="G52" s="40">
        <v>15648637111</v>
      </c>
      <c r="H52" s="40" t="s">
        <v>505</v>
      </c>
      <c r="I52" s="40"/>
    </row>
    <row r="53" spans="1:9">
      <c r="A53" s="44"/>
      <c r="B53" s="36"/>
      <c r="C53" s="37"/>
      <c r="D53" s="44"/>
      <c r="E53" s="40" t="s">
        <v>639</v>
      </c>
      <c r="F53" s="40" t="s">
        <v>640</v>
      </c>
      <c r="G53" s="40">
        <v>18641607771</v>
      </c>
      <c r="H53" s="40" t="s">
        <v>505</v>
      </c>
      <c r="I53" s="40"/>
    </row>
    <row r="54" spans="1:9">
      <c r="A54" s="18">
        <v>10</v>
      </c>
      <c r="B54" s="19" t="s">
        <v>641</v>
      </c>
      <c r="C54" s="20" t="s">
        <v>642</v>
      </c>
      <c r="D54" s="21" t="s">
        <v>544</v>
      </c>
      <c r="E54" s="56" t="s">
        <v>643</v>
      </c>
      <c r="F54" s="56" t="s">
        <v>546</v>
      </c>
      <c r="G54" s="56">
        <v>18946311500</v>
      </c>
      <c r="H54" s="21" t="s">
        <v>593</v>
      </c>
      <c r="I54" s="22"/>
    </row>
    <row r="55" spans="1:9">
      <c r="A55" s="23"/>
      <c r="B55" s="19"/>
      <c r="C55" s="24"/>
      <c r="D55" s="25"/>
      <c r="E55" s="56" t="s">
        <v>644</v>
      </c>
      <c r="F55" s="56" t="s">
        <v>565</v>
      </c>
      <c r="G55" s="56">
        <v>18714536002</v>
      </c>
      <c r="H55" s="25"/>
      <c r="I55" s="22"/>
    </row>
    <row r="56" spans="1:9">
      <c r="A56" s="23"/>
      <c r="B56" s="19"/>
      <c r="C56" s="24"/>
      <c r="D56" s="25"/>
      <c r="E56" s="56" t="s">
        <v>645</v>
      </c>
      <c r="F56" s="56" t="s">
        <v>646</v>
      </c>
      <c r="G56" s="56">
        <v>13936452451</v>
      </c>
      <c r="H56" s="25"/>
      <c r="I56" s="22"/>
    </row>
    <row r="57" spans="1:9">
      <c r="A57" s="23"/>
      <c r="B57" s="19"/>
      <c r="C57" s="24"/>
      <c r="D57" s="25"/>
      <c r="E57" s="56" t="s">
        <v>647</v>
      </c>
      <c r="F57" s="56" t="s">
        <v>648</v>
      </c>
      <c r="G57" s="56">
        <v>18347058006</v>
      </c>
      <c r="H57" s="25"/>
      <c r="I57" s="22"/>
    </row>
    <row r="58" spans="1:9">
      <c r="A58" s="23"/>
      <c r="B58" s="19"/>
      <c r="C58" s="24"/>
      <c r="D58" s="25"/>
      <c r="E58" s="22"/>
      <c r="F58" s="22"/>
      <c r="G58" s="22"/>
      <c r="H58" s="25"/>
      <c r="I58" s="22"/>
    </row>
    <row r="59" spans="1:9">
      <c r="A59" s="23"/>
      <c r="B59" s="19"/>
      <c r="C59" s="24"/>
      <c r="D59" s="25"/>
      <c r="E59" s="22"/>
      <c r="F59" s="22"/>
      <c r="G59" s="22"/>
      <c r="H59" s="25"/>
      <c r="I59" s="22"/>
    </row>
    <row r="60" spans="1:9">
      <c r="A60" s="26"/>
      <c r="B60" s="19"/>
      <c r="C60" s="27"/>
      <c r="D60" s="28"/>
      <c r="E60" s="22"/>
      <c r="F60" s="22"/>
      <c r="G60" s="22"/>
      <c r="H60" s="28"/>
      <c r="I60" s="22"/>
    </row>
  </sheetData>
  <mergeCells count="36">
    <mergeCell ref="A1:I1"/>
    <mergeCell ref="A3:A9"/>
    <mergeCell ref="A10:A19"/>
    <mergeCell ref="A20:A25"/>
    <mergeCell ref="A26:A31"/>
    <mergeCell ref="A32:A40"/>
    <mergeCell ref="A41:A45"/>
    <mergeCell ref="A50:A53"/>
    <mergeCell ref="A54:A60"/>
    <mergeCell ref="B3:B9"/>
    <mergeCell ref="B10:B19"/>
    <mergeCell ref="B20:B25"/>
    <mergeCell ref="B26:B31"/>
    <mergeCell ref="B32:B40"/>
    <mergeCell ref="B41:B45"/>
    <mergeCell ref="B50:B53"/>
    <mergeCell ref="B54:B60"/>
    <mergeCell ref="C3:C9"/>
    <mergeCell ref="C10:C19"/>
    <mergeCell ref="C20:C25"/>
    <mergeCell ref="C26:C31"/>
    <mergeCell ref="C32:C40"/>
    <mergeCell ref="C50:C53"/>
    <mergeCell ref="C54:C60"/>
    <mergeCell ref="D3:D9"/>
    <mergeCell ref="D10:D19"/>
    <mergeCell ref="D20:D25"/>
    <mergeCell ref="D26:D31"/>
    <mergeCell ref="D32:D40"/>
    <mergeCell ref="D50:D53"/>
    <mergeCell ref="D54:D60"/>
    <mergeCell ref="H3:H9"/>
    <mergeCell ref="H10:H19"/>
    <mergeCell ref="H20:H25"/>
    <mergeCell ref="H26:H31"/>
    <mergeCell ref="H54:H6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83"/>
  <sheetViews>
    <sheetView topLeftCell="A33" workbookViewId="0">
      <selection activeCell="I33" sqref="I33"/>
    </sheetView>
  </sheetViews>
  <sheetFormatPr defaultColWidth="8.79464285714286" defaultRowHeight="13.6"/>
  <cols>
    <col min="1" max="1" width="9.625" style="2" customWidth="1"/>
    <col min="2" max="2" width="26.25" style="2" customWidth="1"/>
    <col min="3" max="3" width="7.875" style="3" customWidth="1"/>
    <col min="4" max="4" width="8.625" style="4" customWidth="1"/>
    <col min="5" max="5" width="7.25" style="4" customWidth="1"/>
    <col min="6" max="6" width="8.875" style="4" customWidth="1"/>
    <col min="7" max="7" width="7.375" style="4" customWidth="1"/>
    <col min="8" max="8" width="8.5" style="4" customWidth="1"/>
    <col min="9" max="9" width="24.0982142857143" style="1" customWidth="1"/>
    <col min="10" max="10" width="9.29464285714286" style="1"/>
    <col min="11" max="11" width="10.5" style="1"/>
    <col min="12" max="28" width="9" style="1"/>
    <col min="29" max="16384" width="8.79464285714286" style="1"/>
  </cols>
  <sheetData>
    <row r="1" s="1" customFormat="1" ht="28" spans="1:8">
      <c r="A1" s="3" t="s">
        <v>0</v>
      </c>
      <c r="B1" s="5" t="s">
        <v>1</v>
      </c>
      <c r="C1" s="5"/>
      <c r="D1" s="5"/>
      <c r="E1" s="5"/>
      <c r="F1" s="5"/>
      <c r="G1" s="5"/>
      <c r="H1" s="5"/>
    </row>
    <row r="2" s="1" customFormat="1" ht="14" spans="1:8">
      <c r="A2" s="3" t="s">
        <v>5</v>
      </c>
      <c r="B2" s="6" t="s">
        <v>6</v>
      </c>
      <c r="C2" s="6"/>
      <c r="D2" s="6"/>
      <c r="E2" s="5" t="s">
        <v>7</v>
      </c>
      <c r="F2" s="5" t="s">
        <v>649</v>
      </c>
      <c r="G2" s="5"/>
      <c r="H2" s="5"/>
    </row>
    <row r="3" s="1" customFormat="1" spans="1:8">
      <c r="A3" s="3" t="s">
        <v>650</v>
      </c>
      <c r="B3" s="3" t="s">
        <v>10</v>
      </c>
      <c r="C3" s="3" t="s">
        <v>11</v>
      </c>
      <c r="D3" s="5" t="s">
        <v>12</v>
      </c>
      <c r="E3" s="5" t="s">
        <v>651</v>
      </c>
      <c r="F3" s="5"/>
      <c r="G3" s="5" t="s">
        <v>652</v>
      </c>
      <c r="H3" s="5"/>
    </row>
    <row r="4" s="1" customFormat="1" ht="14" spans="1:8">
      <c r="A4" s="7"/>
      <c r="B4" s="7"/>
      <c r="C4" s="7"/>
      <c r="D4" s="8"/>
      <c r="E4" s="8" t="s">
        <v>2</v>
      </c>
      <c r="F4" s="8" t="s">
        <v>3</v>
      </c>
      <c r="G4" s="8" t="s">
        <v>2</v>
      </c>
      <c r="H4" s="8" t="s">
        <v>3</v>
      </c>
    </row>
    <row r="5" s="1" customFormat="1" ht="14" spans="1:8">
      <c r="A5" s="2">
        <v>1</v>
      </c>
      <c r="B5" s="2" t="s">
        <v>653</v>
      </c>
      <c r="C5" s="3" t="s">
        <v>654</v>
      </c>
      <c r="D5" s="4">
        <v>4483758.52</v>
      </c>
      <c r="E5" s="4">
        <v>66</v>
      </c>
      <c r="F5" s="4">
        <v>295928062.3</v>
      </c>
      <c r="G5" s="4">
        <v>76.03</v>
      </c>
      <c r="H5" s="4">
        <v>340900160.15</v>
      </c>
    </row>
    <row r="6" s="1" customFormat="1" ht="14" spans="1:8">
      <c r="A6" s="2">
        <v>3</v>
      </c>
      <c r="B6" s="2" t="s">
        <v>655</v>
      </c>
      <c r="C6" s="3" t="s">
        <v>654</v>
      </c>
      <c r="D6" s="4">
        <v>1612317.27</v>
      </c>
      <c r="E6" s="4">
        <v>70</v>
      </c>
      <c r="F6" s="4">
        <v>112862209.81</v>
      </c>
      <c r="G6" s="4">
        <v>80.99</v>
      </c>
      <c r="H6" s="4">
        <v>130581576.73</v>
      </c>
    </row>
    <row r="7" s="1" customFormat="1" ht="14" spans="1:8">
      <c r="A7" s="2">
        <v>4</v>
      </c>
      <c r="B7" s="2" t="s">
        <v>656</v>
      </c>
      <c r="C7" s="3" t="s">
        <v>654</v>
      </c>
      <c r="D7" s="4">
        <v>69544.97</v>
      </c>
      <c r="E7" s="4">
        <v>71</v>
      </c>
      <c r="F7" s="4">
        <v>4937692.45</v>
      </c>
      <c r="G7" s="4">
        <v>82.01</v>
      </c>
      <c r="H7" s="4">
        <v>5703382.52</v>
      </c>
    </row>
    <row r="8" s="1" customFormat="1" ht="14" spans="1:8">
      <c r="A8" s="2">
        <v>5</v>
      </c>
      <c r="B8" s="2" t="s">
        <v>657</v>
      </c>
      <c r="C8" s="3" t="s">
        <v>654</v>
      </c>
      <c r="D8" s="4">
        <v>202073.12</v>
      </c>
      <c r="E8" s="4">
        <v>73</v>
      </c>
      <c r="F8" s="4">
        <v>14751336.88</v>
      </c>
      <c r="G8" s="4">
        <v>84.02</v>
      </c>
      <c r="H8" s="4">
        <v>16978182.56</v>
      </c>
    </row>
    <row r="9" s="1" customFormat="1" ht="14" spans="1:8">
      <c r="A9" s="2">
        <v>6</v>
      </c>
      <c r="B9" s="2" t="s">
        <v>658</v>
      </c>
      <c r="C9" s="3" t="s">
        <v>654</v>
      </c>
      <c r="D9" s="4">
        <v>534721.85</v>
      </c>
      <c r="E9" s="4">
        <v>77</v>
      </c>
      <c r="F9" s="4">
        <v>41173582.07</v>
      </c>
      <c r="G9" s="4">
        <v>89.01</v>
      </c>
      <c r="H9" s="4">
        <v>47595591.46</v>
      </c>
    </row>
    <row r="10" s="1" customFormat="1" ht="14" spans="1:8">
      <c r="A10" s="2">
        <v>7</v>
      </c>
      <c r="B10" s="2" t="s">
        <v>659</v>
      </c>
      <c r="C10" s="3" t="s">
        <v>654</v>
      </c>
      <c r="D10" s="4">
        <v>169068.56</v>
      </c>
      <c r="E10" s="4">
        <v>82</v>
      </c>
      <c r="F10" s="4">
        <v>13863621.68</v>
      </c>
      <c r="G10" s="4">
        <v>111.03</v>
      </c>
      <c r="H10" s="4">
        <v>18771681.91</v>
      </c>
    </row>
    <row r="11" s="1" customFormat="1" ht="14" spans="1:8">
      <c r="A11" s="2">
        <v>10</v>
      </c>
      <c r="B11" s="2" t="s">
        <v>655</v>
      </c>
      <c r="C11" s="3" t="s">
        <v>654</v>
      </c>
      <c r="D11" s="4">
        <v>82527.26</v>
      </c>
      <c r="E11" s="4">
        <v>70</v>
      </c>
      <c r="F11" s="4">
        <v>5776908.2</v>
      </c>
      <c r="G11" s="4">
        <v>80.99</v>
      </c>
      <c r="H11" s="4">
        <v>6683882.82</v>
      </c>
    </row>
    <row r="12" s="1" customFormat="1" ht="14" spans="1:8">
      <c r="A12" s="2">
        <v>16</v>
      </c>
      <c r="B12" s="2" t="s">
        <v>660</v>
      </c>
      <c r="C12" s="3" t="s">
        <v>654</v>
      </c>
      <c r="D12" s="4">
        <v>770857.71</v>
      </c>
      <c r="E12" s="4">
        <v>66</v>
      </c>
      <c r="F12" s="4">
        <v>50876609.63</v>
      </c>
      <c r="G12" s="4">
        <v>76.03</v>
      </c>
      <c r="H12" s="4">
        <v>58608313.12</v>
      </c>
    </row>
    <row r="13" s="1" customFormat="1" ht="14" spans="1:8">
      <c r="A13" s="2">
        <v>18</v>
      </c>
      <c r="B13" s="2" t="s">
        <v>660</v>
      </c>
      <c r="C13" s="3" t="s">
        <v>654</v>
      </c>
      <c r="D13" s="4">
        <v>318340.37</v>
      </c>
      <c r="E13" s="4">
        <v>70</v>
      </c>
      <c r="F13" s="4">
        <v>22283825.83</v>
      </c>
      <c r="G13" s="4">
        <v>80.99</v>
      </c>
      <c r="H13" s="4">
        <v>25782386.54</v>
      </c>
    </row>
    <row r="14" s="1" customFormat="1" ht="14" spans="1:8">
      <c r="A14" s="2">
        <v>19</v>
      </c>
      <c r="B14" s="2" t="s">
        <v>660</v>
      </c>
      <c r="C14" s="3" t="s">
        <v>654</v>
      </c>
      <c r="D14" s="4">
        <v>2211.89</v>
      </c>
      <c r="E14" s="4">
        <v>71</v>
      </c>
      <c r="F14" s="4">
        <v>157043.92</v>
      </c>
      <c r="G14" s="4">
        <v>82.01</v>
      </c>
      <c r="H14" s="4">
        <v>181396.7</v>
      </c>
    </row>
    <row r="15" s="1" customFormat="1" ht="14" spans="1:8">
      <c r="A15" s="2">
        <v>20</v>
      </c>
      <c r="B15" s="2" t="s">
        <v>660</v>
      </c>
      <c r="C15" s="3" t="s">
        <v>654</v>
      </c>
      <c r="D15" s="4">
        <v>24101.88</v>
      </c>
      <c r="E15" s="4">
        <v>73</v>
      </c>
      <c r="F15" s="4">
        <v>1759437.24</v>
      </c>
      <c r="G15" s="4">
        <v>84.02</v>
      </c>
      <c r="H15" s="4">
        <v>2025039.98</v>
      </c>
    </row>
    <row r="16" s="1" customFormat="1" ht="14" spans="1:8">
      <c r="A16" s="2">
        <v>21</v>
      </c>
      <c r="B16" s="2" t="s">
        <v>660</v>
      </c>
      <c r="C16" s="3" t="s">
        <v>654</v>
      </c>
      <c r="D16" s="4">
        <v>21209.52</v>
      </c>
      <c r="E16" s="4">
        <v>77</v>
      </c>
      <c r="F16" s="4">
        <v>1633133.15</v>
      </c>
      <c r="G16" s="4">
        <v>89.01</v>
      </c>
      <c r="H16" s="4">
        <v>1887859.4</v>
      </c>
    </row>
    <row r="17" s="1" customFormat="1" ht="14" spans="1:12">
      <c r="A17" s="2">
        <v>22</v>
      </c>
      <c r="B17" s="2" t="s">
        <v>660</v>
      </c>
      <c r="C17" s="3" t="s">
        <v>654</v>
      </c>
      <c r="D17" s="4">
        <v>35250.13</v>
      </c>
      <c r="E17" s="4">
        <v>82</v>
      </c>
      <c r="F17" s="4">
        <v>2890510.66</v>
      </c>
      <c r="G17" s="4">
        <v>111.03</v>
      </c>
      <c r="H17" s="4">
        <v>3913821.94</v>
      </c>
    </row>
    <row r="18" s="1" customFormat="1" ht="14" spans="1:12">
      <c r="A18" s="2">
        <v>31</v>
      </c>
      <c r="B18" s="2" t="s">
        <v>661</v>
      </c>
      <c r="C18" s="3" t="s">
        <v>662</v>
      </c>
      <c r="D18" s="4">
        <v>91542452.23</v>
      </c>
      <c r="E18" s="4">
        <v>0.47</v>
      </c>
      <c r="F18" s="4">
        <v>43024952.83</v>
      </c>
      <c r="G18" s="4">
        <v>1.023</v>
      </c>
      <c r="H18" s="4">
        <v>94064342.27</v>
      </c>
    </row>
    <row r="19" s="1" customFormat="1" ht="14" spans="1:12">
      <c r="A19" s="2">
        <v>32</v>
      </c>
      <c r="B19" s="2" t="s">
        <v>51</v>
      </c>
      <c r="C19" s="3" t="s">
        <v>52</v>
      </c>
      <c r="D19" s="4">
        <v>454976.4</v>
      </c>
      <c r="E19" s="4">
        <v>6.08</v>
      </c>
      <c r="F19" s="4">
        <v>2766256.71</v>
      </c>
      <c r="G19" s="4">
        <v>8.414</v>
      </c>
      <c r="H19" s="4">
        <v>3829285.04</v>
      </c>
    </row>
    <row r="20" s="1" customFormat="1" ht="14" spans="1:12">
      <c r="A20" s="2">
        <v>33</v>
      </c>
      <c r="B20" s="2" t="s">
        <v>54</v>
      </c>
      <c r="C20" s="3" t="s">
        <v>52</v>
      </c>
      <c r="D20" s="4">
        <v>41303473.24</v>
      </c>
      <c r="E20" s="4">
        <v>5.23</v>
      </c>
      <c r="F20" s="4">
        <v>216017165.59</v>
      </c>
      <c r="G20" s="4">
        <v>7.455</v>
      </c>
      <c r="H20" s="4">
        <v>308067681.07</v>
      </c>
    </row>
    <row r="21" s="1" customFormat="1" ht="14" spans="1:12">
      <c r="A21" s="2">
        <v>50</v>
      </c>
      <c r="B21" s="2" t="s">
        <v>663</v>
      </c>
      <c r="C21" s="3" t="s">
        <v>29</v>
      </c>
      <c r="D21" s="4">
        <v>8342.88</v>
      </c>
      <c r="E21" s="4">
        <v>0.35</v>
      </c>
      <c r="F21" s="4">
        <v>2920.02</v>
      </c>
      <c r="G21" s="4">
        <v>0.75</v>
      </c>
      <c r="H21" s="4">
        <v>6257.18</v>
      </c>
    </row>
    <row r="22" s="1" customFormat="1" ht="14" spans="1:12">
      <c r="A22" s="2">
        <v>1010002</v>
      </c>
      <c r="B22" s="2" t="s">
        <v>664</v>
      </c>
      <c r="C22" s="3" t="s">
        <v>52</v>
      </c>
      <c r="D22" s="4">
        <v>239400392.49</v>
      </c>
      <c r="E22" s="4">
        <v>0.29</v>
      </c>
      <c r="F22" s="4">
        <v>69426113.87</v>
      </c>
      <c r="G22" s="4">
        <v>0.361</v>
      </c>
      <c r="H22" s="4">
        <v>81546146.14</v>
      </c>
      <c r="I22" s="2" t="s">
        <v>664</v>
      </c>
      <c r="J22" s="3" t="s">
        <v>52</v>
      </c>
      <c r="K22" s="4">
        <v>239400392.49</v>
      </c>
    </row>
    <row r="23" s="1" customFormat="1" ht="14" spans="1:12">
      <c r="A23" s="2">
        <v>1010003</v>
      </c>
      <c r="B23" s="2" t="s">
        <v>665</v>
      </c>
      <c r="C23" s="3" t="s">
        <v>52</v>
      </c>
      <c r="D23" s="4">
        <v>269285170.93</v>
      </c>
      <c r="E23" s="4">
        <v>0.33</v>
      </c>
      <c r="F23" s="4">
        <v>88864106.99</v>
      </c>
      <c r="G23" s="4">
        <v>0.401</v>
      </c>
      <c r="H23" s="4">
        <v>98907765.77</v>
      </c>
      <c r="I23" s="2" t="s">
        <v>665</v>
      </c>
      <c r="J23" s="3" t="s">
        <v>52</v>
      </c>
      <c r="K23" s="4">
        <v>269285170.93</v>
      </c>
    </row>
    <row r="24" s="1" customFormat="1" ht="14" spans="1:12">
      <c r="A24" s="2">
        <v>1010004</v>
      </c>
      <c r="B24" s="2" t="s">
        <v>666</v>
      </c>
      <c r="C24" s="3" t="s">
        <v>52</v>
      </c>
      <c r="D24" s="4">
        <v>272685.51</v>
      </c>
      <c r="E24" s="4">
        <v>0.35</v>
      </c>
      <c r="F24" s="4">
        <v>95439.93</v>
      </c>
      <c r="G24" s="4">
        <v>0.505</v>
      </c>
      <c r="H24" s="4">
        <v>124139.85</v>
      </c>
      <c r="I24" s="2" t="s">
        <v>666</v>
      </c>
      <c r="J24" s="3" t="s">
        <v>52</v>
      </c>
      <c r="K24" s="4">
        <v>272685.51</v>
      </c>
    </row>
    <row r="25" s="1" customFormat="1" ht="14" spans="1:12">
      <c r="A25" s="2">
        <v>1010007</v>
      </c>
      <c r="B25" s="2" t="s">
        <v>667</v>
      </c>
      <c r="C25" s="3" t="s">
        <v>52</v>
      </c>
      <c r="D25" s="4">
        <v>19120.63</v>
      </c>
      <c r="E25" s="4">
        <v>0.54</v>
      </c>
      <c r="F25" s="4">
        <v>10325.27</v>
      </c>
      <c r="G25" s="4">
        <v>0.54</v>
      </c>
      <c r="H25" s="4">
        <v>10325.27</v>
      </c>
      <c r="I25" s="2" t="s">
        <v>667</v>
      </c>
      <c r="J25" s="3" t="s">
        <v>52</v>
      </c>
      <c r="K25" s="4">
        <v>19120.63</v>
      </c>
    </row>
    <row r="26" s="1" customFormat="1" ht="14" spans="1:12">
      <c r="A26" s="2">
        <v>1010008</v>
      </c>
      <c r="B26" s="2" t="s">
        <v>668</v>
      </c>
      <c r="C26" s="3" t="s">
        <v>52</v>
      </c>
      <c r="D26" s="4">
        <v>793.3</v>
      </c>
      <c r="E26" s="4">
        <v>0.68</v>
      </c>
      <c r="F26" s="4">
        <v>539.44</v>
      </c>
      <c r="G26" s="4">
        <v>0.68</v>
      </c>
      <c r="H26" s="4">
        <v>539.44</v>
      </c>
      <c r="I26" s="2" t="s">
        <v>668</v>
      </c>
      <c r="J26" s="3" t="s">
        <v>52</v>
      </c>
      <c r="K26" s="4">
        <v>793.3</v>
      </c>
    </row>
    <row r="27" s="1" customFormat="1" ht="14" spans="1:12">
      <c r="A27" s="2">
        <v>1010012</v>
      </c>
      <c r="B27" s="2" t="s">
        <v>669</v>
      </c>
      <c r="C27" s="3" t="s">
        <v>52</v>
      </c>
      <c r="D27" s="4">
        <v>115156227.93</v>
      </c>
      <c r="E27" s="4">
        <v>0.35</v>
      </c>
      <c r="F27" s="4">
        <v>40304679.82</v>
      </c>
      <c r="G27" s="4">
        <v>0.421</v>
      </c>
      <c r="H27" s="4">
        <v>45809583.2</v>
      </c>
      <c r="I27" s="2" t="s">
        <v>669</v>
      </c>
      <c r="J27" s="3" t="s">
        <v>52</v>
      </c>
      <c r="K27" s="4">
        <v>115156227.93</v>
      </c>
    </row>
    <row r="28" s="1" customFormat="1" ht="14" spans="1:12">
      <c r="A28" s="2">
        <v>1010013</v>
      </c>
      <c r="B28" s="2" t="s">
        <v>670</v>
      </c>
      <c r="C28" s="3" t="s">
        <v>52</v>
      </c>
      <c r="D28" s="4">
        <v>5122341.18</v>
      </c>
      <c r="E28" s="4">
        <v>0.37</v>
      </c>
      <c r="F28" s="4">
        <v>1895266.24</v>
      </c>
      <c r="G28" s="4">
        <v>0.392</v>
      </c>
      <c r="H28" s="4">
        <v>2633041.75</v>
      </c>
      <c r="I28" s="2" t="s">
        <v>670</v>
      </c>
      <c r="J28" s="3" t="s">
        <v>52</v>
      </c>
      <c r="K28" s="4">
        <v>5122341.18</v>
      </c>
    </row>
    <row r="29" s="1" customFormat="1" ht="14" spans="1:12">
      <c r="A29" s="2">
        <v>1100001</v>
      </c>
      <c r="B29" s="2" t="s">
        <v>671</v>
      </c>
      <c r="C29" s="3" t="s">
        <v>45</v>
      </c>
      <c r="D29" s="4">
        <v>13.91</v>
      </c>
      <c r="E29" s="4">
        <v>934.63</v>
      </c>
      <c r="F29" s="4">
        <v>12994.17</v>
      </c>
      <c r="G29" s="4">
        <v>934.63</v>
      </c>
      <c r="H29" s="4">
        <v>12994.17</v>
      </c>
      <c r="K29" s="1">
        <f>SUM(K22:K28)</f>
        <v>629256731.97</v>
      </c>
    </row>
    <row r="30" s="1" customFormat="1" ht="14" spans="1:12">
      <c r="A30" s="2">
        <v>1110001</v>
      </c>
      <c r="B30" s="2" t="s">
        <v>672</v>
      </c>
      <c r="C30" s="3" t="s">
        <v>45</v>
      </c>
      <c r="D30" s="4">
        <v>1458.95</v>
      </c>
      <c r="E30" s="4">
        <v>1152.53</v>
      </c>
      <c r="F30" s="4">
        <v>1681477.97</v>
      </c>
      <c r="G30" s="4">
        <v>1155</v>
      </c>
      <c r="H30" s="4">
        <v>1743801.21</v>
      </c>
      <c r="J30" s="1" t="s">
        <v>673</v>
      </c>
      <c r="K30" s="9">
        <f>K29/1000</f>
        <v>629256.73197</v>
      </c>
      <c r="L30" s="1" t="s">
        <v>674</v>
      </c>
    </row>
    <row r="31" s="1" customFormat="1" ht="14" spans="1:12">
      <c r="A31" s="2">
        <v>1110003</v>
      </c>
      <c r="B31" s="2" t="s">
        <v>675</v>
      </c>
      <c r="C31" s="3" t="s">
        <v>45</v>
      </c>
      <c r="D31" s="4">
        <v>13187.41</v>
      </c>
      <c r="E31" s="4">
        <v>1332.42</v>
      </c>
      <c r="F31" s="4">
        <v>17571189.98</v>
      </c>
      <c r="G31" s="4">
        <v>1337</v>
      </c>
      <c r="H31" s="4">
        <v>17881515.28</v>
      </c>
    </row>
    <row r="32" s="1" customFormat="1" ht="14" spans="1:12">
      <c r="A32" s="2">
        <v>1110018</v>
      </c>
      <c r="B32" s="2" t="s">
        <v>676</v>
      </c>
      <c r="C32" s="3" t="s">
        <v>45</v>
      </c>
      <c r="D32" s="4">
        <v>17.63</v>
      </c>
      <c r="E32" s="4">
        <v>2715.39</v>
      </c>
      <c r="F32" s="4">
        <v>47820.83</v>
      </c>
      <c r="G32" s="4">
        <v>2715.39</v>
      </c>
      <c r="H32" s="4">
        <v>47820.83</v>
      </c>
    </row>
    <row r="33" s="1" customFormat="1" ht="14" spans="1:8">
      <c r="A33" s="2">
        <v>1110519</v>
      </c>
      <c r="B33" s="2" t="s">
        <v>677</v>
      </c>
      <c r="C33" s="3" t="s">
        <v>45</v>
      </c>
      <c r="D33" s="4">
        <v>756.41</v>
      </c>
      <c r="E33" s="4">
        <v>1019.51</v>
      </c>
      <c r="F33" s="4">
        <v>771145.18</v>
      </c>
      <c r="G33" s="4">
        <v>1019.51</v>
      </c>
      <c r="H33" s="4">
        <v>771145.18</v>
      </c>
    </row>
    <row r="34" s="1" customFormat="1" ht="14" spans="1:8">
      <c r="A34" s="2">
        <v>1110550</v>
      </c>
      <c r="B34" s="2" t="s">
        <v>678</v>
      </c>
      <c r="C34" s="3" t="s">
        <v>679</v>
      </c>
      <c r="D34" s="4">
        <v>192.84</v>
      </c>
      <c r="E34" s="4">
        <v>53.16</v>
      </c>
      <c r="F34" s="4">
        <v>10250.84</v>
      </c>
      <c r="G34" s="4">
        <v>53.16</v>
      </c>
      <c r="H34" s="4">
        <v>10250.84</v>
      </c>
    </row>
    <row r="35" s="1" customFormat="1" ht="14" spans="1:8">
      <c r="A35" s="2">
        <v>1120018</v>
      </c>
      <c r="B35" s="2" t="s">
        <v>680</v>
      </c>
      <c r="C35" s="3" t="s">
        <v>45</v>
      </c>
      <c r="D35" s="4">
        <v>2.88</v>
      </c>
      <c r="E35" s="4">
        <v>1184.18</v>
      </c>
      <c r="F35" s="4">
        <v>3410.44</v>
      </c>
      <c r="G35" s="4">
        <v>1184.18</v>
      </c>
      <c r="H35" s="4">
        <v>3410.44</v>
      </c>
    </row>
    <row r="36" s="1" customFormat="1" ht="14" spans="1:8">
      <c r="A36" s="2">
        <v>1130009</v>
      </c>
      <c r="B36" s="2" t="s">
        <v>681</v>
      </c>
      <c r="C36" s="3" t="s">
        <v>52</v>
      </c>
      <c r="D36" s="4">
        <v>439218.52</v>
      </c>
      <c r="E36" s="4">
        <v>7.29</v>
      </c>
      <c r="F36" s="4">
        <v>3201903.19</v>
      </c>
      <c r="G36" s="4">
        <v>7.29</v>
      </c>
      <c r="H36" s="4">
        <v>3201903.19</v>
      </c>
    </row>
    <row r="37" s="1" customFormat="1" ht="14" spans="1:8">
      <c r="A37" s="2">
        <v>1130012</v>
      </c>
      <c r="B37" s="2" t="s">
        <v>682</v>
      </c>
      <c r="C37" s="3" t="s">
        <v>52</v>
      </c>
      <c r="D37" s="4">
        <v>26175.68</v>
      </c>
      <c r="E37" s="4">
        <v>3.52</v>
      </c>
      <c r="F37" s="4">
        <v>92138.39</v>
      </c>
      <c r="G37" s="4">
        <v>3.52</v>
      </c>
      <c r="H37" s="4">
        <v>92138.39</v>
      </c>
    </row>
    <row r="38" s="1" customFormat="1" ht="14" spans="1:8">
      <c r="A38" s="2">
        <v>1130018</v>
      </c>
      <c r="B38" s="2" t="s">
        <v>683</v>
      </c>
      <c r="C38" s="3" t="s">
        <v>52</v>
      </c>
      <c r="D38" s="4">
        <v>5776.78</v>
      </c>
      <c r="E38" s="4">
        <v>4.12</v>
      </c>
      <c r="F38" s="4">
        <v>23800.4</v>
      </c>
      <c r="G38" s="4">
        <v>4.12</v>
      </c>
      <c r="H38" s="4">
        <v>23800.4</v>
      </c>
    </row>
    <row r="39" s="1" customFormat="1" ht="14" spans="1:8">
      <c r="A39" s="2">
        <v>1130019</v>
      </c>
      <c r="B39" s="2" t="s">
        <v>684</v>
      </c>
      <c r="C39" s="3" t="s">
        <v>52</v>
      </c>
      <c r="D39" s="4">
        <v>37.34</v>
      </c>
      <c r="E39" s="4">
        <v>4.03</v>
      </c>
      <c r="F39" s="4">
        <v>150.48</v>
      </c>
      <c r="G39" s="4">
        <v>4.03</v>
      </c>
      <c r="H39" s="4">
        <v>150.48</v>
      </c>
    </row>
    <row r="40" s="1" customFormat="1" ht="14" spans="1:8">
      <c r="A40" s="2">
        <v>1130022</v>
      </c>
      <c r="B40" s="2" t="s">
        <v>685</v>
      </c>
      <c r="C40" s="3" t="s">
        <v>52</v>
      </c>
      <c r="D40" s="4">
        <v>29564</v>
      </c>
      <c r="E40" s="4">
        <v>6.43</v>
      </c>
      <c r="F40" s="4">
        <v>190096.52</v>
      </c>
      <c r="G40" s="4">
        <v>6.43</v>
      </c>
      <c r="H40" s="4">
        <v>190096.52</v>
      </c>
    </row>
    <row r="41" s="1" customFormat="1" ht="14" spans="1:8">
      <c r="A41" s="2">
        <v>1130023</v>
      </c>
      <c r="B41" s="2" t="s">
        <v>686</v>
      </c>
      <c r="C41" s="3" t="s">
        <v>52</v>
      </c>
      <c r="D41" s="4">
        <v>14667.01</v>
      </c>
      <c r="E41" s="4">
        <v>8.15</v>
      </c>
      <c r="F41" s="4">
        <v>119535.97</v>
      </c>
      <c r="G41" s="4">
        <v>8.15</v>
      </c>
      <c r="H41" s="4">
        <v>119535.97</v>
      </c>
    </row>
    <row r="42" s="1" customFormat="1" ht="14" spans="1:8">
      <c r="A42" s="2">
        <v>1130024</v>
      </c>
      <c r="B42" s="2" t="s">
        <v>687</v>
      </c>
      <c r="C42" s="3" t="s">
        <v>52</v>
      </c>
      <c r="D42" s="4">
        <v>140180.2</v>
      </c>
      <c r="E42" s="4">
        <v>11.15</v>
      </c>
      <c r="F42" s="4">
        <v>1563009.21</v>
      </c>
      <c r="G42" s="4">
        <v>11.15</v>
      </c>
      <c r="H42" s="4">
        <v>1563009.21</v>
      </c>
    </row>
    <row r="43" s="1" customFormat="1" ht="14" spans="1:8">
      <c r="A43" s="2">
        <v>1130028</v>
      </c>
      <c r="B43" s="2" t="s">
        <v>688</v>
      </c>
      <c r="C43" s="3" t="s">
        <v>52</v>
      </c>
      <c r="D43" s="4">
        <v>24211.42</v>
      </c>
      <c r="E43" s="4">
        <v>13.72</v>
      </c>
      <c r="F43" s="4">
        <v>332180.68</v>
      </c>
      <c r="G43" s="4">
        <v>13.72</v>
      </c>
      <c r="H43" s="4">
        <v>332180.68</v>
      </c>
    </row>
    <row r="44" s="1" customFormat="1" ht="14" spans="1:8">
      <c r="A44" s="2">
        <v>1130029</v>
      </c>
      <c r="B44" s="2" t="s">
        <v>689</v>
      </c>
      <c r="C44" s="3" t="s">
        <v>52</v>
      </c>
      <c r="D44" s="4">
        <v>16426.14</v>
      </c>
      <c r="E44" s="4">
        <v>3</v>
      </c>
      <c r="F44" s="4">
        <v>49278.43</v>
      </c>
      <c r="G44" s="4">
        <v>3</v>
      </c>
      <c r="H44" s="4">
        <v>49278.43</v>
      </c>
    </row>
    <row r="45" s="1" customFormat="1" ht="14" spans="1:8">
      <c r="A45" s="2">
        <v>1130031</v>
      </c>
      <c r="B45" s="2" t="s">
        <v>690</v>
      </c>
      <c r="C45" s="3" t="s">
        <v>52</v>
      </c>
      <c r="D45" s="4">
        <v>64183</v>
      </c>
      <c r="E45" s="4">
        <v>27.44</v>
      </c>
      <c r="F45" s="4">
        <v>1761181.46</v>
      </c>
      <c r="G45" s="4">
        <v>27.44</v>
      </c>
      <c r="H45" s="4">
        <v>1761181.46</v>
      </c>
    </row>
    <row r="46" s="1" customFormat="1" ht="14" spans="1:8">
      <c r="A46" s="2">
        <v>1130050</v>
      </c>
      <c r="B46" s="2" t="s">
        <v>691</v>
      </c>
      <c r="C46" s="3" t="s">
        <v>679</v>
      </c>
      <c r="D46" s="4">
        <v>645.34</v>
      </c>
      <c r="E46" s="4">
        <v>13.72</v>
      </c>
      <c r="F46" s="4">
        <v>8853.99</v>
      </c>
      <c r="G46" s="4">
        <v>13.72</v>
      </c>
      <c r="H46" s="4">
        <v>8853.99</v>
      </c>
    </row>
    <row r="47" s="1" customFormat="1" ht="14" spans="1:8">
      <c r="A47" s="2">
        <v>1130051</v>
      </c>
      <c r="B47" s="2" t="s">
        <v>692</v>
      </c>
      <c r="C47" s="3" t="s">
        <v>679</v>
      </c>
      <c r="D47" s="4">
        <v>1602.25</v>
      </c>
      <c r="E47" s="4">
        <v>16.29</v>
      </c>
      <c r="F47" s="4">
        <v>26100.68</v>
      </c>
      <c r="G47" s="4">
        <v>16.29</v>
      </c>
      <c r="H47" s="4">
        <v>26100.68</v>
      </c>
    </row>
    <row r="48" s="1" customFormat="1" ht="14" spans="1:8">
      <c r="A48" s="2">
        <v>1130107</v>
      </c>
      <c r="B48" s="2" t="s">
        <v>693</v>
      </c>
      <c r="C48" s="3" t="s">
        <v>679</v>
      </c>
      <c r="D48" s="4">
        <v>51.22</v>
      </c>
      <c r="E48" s="4">
        <v>6.38</v>
      </c>
      <c r="F48" s="4">
        <v>326.76</v>
      </c>
      <c r="G48" s="4">
        <v>6.38</v>
      </c>
      <c r="H48" s="4">
        <v>326.76</v>
      </c>
    </row>
    <row r="49" s="1" customFormat="1" ht="14" spans="1:8">
      <c r="A49" s="2">
        <v>1130150</v>
      </c>
      <c r="B49" s="2" t="s">
        <v>694</v>
      </c>
      <c r="C49" s="3" t="s">
        <v>679</v>
      </c>
      <c r="D49" s="4">
        <v>75.48</v>
      </c>
      <c r="E49" s="4">
        <v>33.05</v>
      </c>
      <c r="F49" s="4">
        <v>2494.62</v>
      </c>
      <c r="G49" s="4">
        <v>33.05</v>
      </c>
      <c r="H49" s="4">
        <v>2494.62</v>
      </c>
    </row>
    <row r="50" s="1" customFormat="1" ht="14" spans="1:8">
      <c r="A50" s="2">
        <v>1130158</v>
      </c>
      <c r="B50" s="2" t="s">
        <v>695</v>
      </c>
      <c r="C50" s="3" t="s">
        <v>679</v>
      </c>
      <c r="D50" s="4">
        <v>3799.95</v>
      </c>
      <c r="E50" s="4">
        <v>20.58</v>
      </c>
      <c r="F50" s="4">
        <v>78202.97</v>
      </c>
      <c r="G50" s="4">
        <v>20.58</v>
      </c>
      <c r="H50" s="4">
        <v>78202.97</v>
      </c>
    </row>
    <row r="51" s="1" customFormat="1" ht="14" spans="1:8">
      <c r="A51" s="2">
        <v>1130208</v>
      </c>
      <c r="B51" s="2" t="s">
        <v>696</v>
      </c>
      <c r="C51" s="3" t="s">
        <v>679</v>
      </c>
      <c r="D51" s="4">
        <v>2021</v>
      </c>
      <c r="E51" s="4">
        <v>17.15</v>
      </c>
      <c r="F51" s="4">
        <v>34660.09</v>
      </c>
      <c r="G51" s="4">
        <v>17.15</v>
      </c>
      <c r="H51" s="4">
        <v>34660.09</v>
      </c>
    </row>
    <row r="52" s="1" customFormat="1" ht="14" spans="1:8">
      <c r="A52" s="2">
        <v>1130312</v>
      </c>
      <c r="B52" s="2" t="s">
        <v>697</v>
      </c>
      <c r="C52" s="3" t="s">
        <v>45</v>
      </c>
      <c r="D52" s="4">
        <v>497.09</v>
      </c>
      <c r="E52" s="4">
        <v>1524.85</v>
      </c>
      <c r="F52" s="4">
        <v>757987.7</v>
      </c>
      <c r="G52" s="4">
        <v>1524.85</v>
      </c>
      <c r="H52" s="4">
        <v>757987.7</v>
      </c>
    </row>
    <row r="53" s="1" customFormat="1" ht="14" spans="1:8">
      <c r="A53" s="2">
        <v>1130315</v>
      </c>
      <c r="B53" s="2" t="s">
        <v>698</v>
      </c>
      <c r="C53" s="3" t="s">
        <v>45</v>
      </c>
      <c r="D53" s="4">
        <v>398.18</v>
      </c>
      <c r="E53" s="4">
        <v>17.15</v>
      </c>
      <c r="F53" s="4">
        <v>6828.73</v>
      </c>
      <c r="G53" s="4">
        <v>17.15</v>
      </c>
      <c r="H53" s="4">
        <v>6828.73</v>
      </c>
    </row>
    <row r="54" s="1" customFormat="1" ht="14" spans="1:8">
      <c r="A54" s="2">
        <v>1140001</v>
      </c>
      <c r="B54" s="2" t="s">
        <v>699</v>
      </c>
      <c r="C54" s="3" t="s">
        <v>472</v>
      </c>
      <c r="D54" s="4">
        <v>13607.36</v>
      </c>
      <c r="E54" s="4">
        <v>2.81</v>
      </c>
      <c r="F54" s="4">
        <v>38236.68</v>
      </c>
      <c r="G54" s="4">
        <v>2.81</v>
      </c>
      <c r="H54" s="4">
        <v>38236.68</v>
      </c>
    </row>
    <row r="55" s="1" customFormat="1" ht="14" spans="1:8">
      <c r="A55" s="2">
        <v>1140005</v>
      </c>
      <c r="B55" s="2" t="s">
        <v>700</v>
      </c>
      <c r="C55" s="3" t="s">
        <v>701</v>
      </c>
      <c r="D55" s="4">
        <v>992.88</v>
      </c>
      <c r="E55" s="4">
        <v>6.17</v>
      </c>
      <c r="F55" s="4">
        <v>6126.05</v>
      </c>
      <c r="G55" s="4">
        <v>6.17</v>
      </c>
      <c r="H55" s="4">
        <v>6126.05</v>
      </c>
    </row>
    <row r="56" s="1" customFormat="1" ht="14" spans="1:8">
      <c r="A56" s="2">
        <v>1140006</v>
      </c>
      <c r="B56" s="2" t="s">
        <v>702</v>
      </c>
      <c r="C56" s="3" t="s">
        <v>679</v>
      </c>
      <c r="D56" s="4">
        <v>3420.83</v>
      </c>
      <c r="E56" s="4">
        <v>34.3</v>
      </c>
      <c r="F56" s="4">
        <v>117334.48</v>
      </c>
      <c r="G56" s="4">
        <v>34.3</v>
      </c>
      <c r="H56" s="4">
        <v>117334.48</v>
      </c>
    </row>
    <row r="57" s="1" customFormat="1" ht="14" spans="1:8">
      <c r="A57" s="2">
        <v>1150001</v>
      </c>
      <c r="B57" s="2" t="s">
        <v>703</v>
      </c>
      <c r="C57" s="3" t="s">
        <v>704</v>
      </c>
      <c r="D57" s="4">
        <v>149.76</v>
      </c>
      <c r="E57" s="4">
        <v>7.46</v>
      </c>
      <c r="F57" s="4">
        <v>1117.2</v>
      </c>
      <c r="G57" s="4">
        <v>7.46</v>
      </c>
      <c r="H57" s="4">
        <v>1117.2</v>
      </c>
    </row>
    <row r="58" s="1" customFormat="1" ht="14" spans="1:8">
      <c r="A58" s="2">
        <v>1150004</v>
      </c>
      <c r="B58" s="2" t="s">
        <v>705</v>
      </c>
      <c r="C58" s="3" t="s">
        <v>706</v>
      </c>
      <c r="D58" s="4">
        <v>1795.13</v>
      </c>
      <c r="E58" s="4">
        <v>1.71</v>
      </c>
      <c r="F58" s="4">
        <v>3069.67</v>
      </c>
      <c r="G58" s="4">
        <v>1.71</v>
      </c>
      <c r="H58" s="4">
        <v>3069.67</v>
      </c>
    </row>
    <row r="59" s="1" customFormat="1" ht="14" spans="1:8">
      <c r="A59" s="2">
        <v>1150006</v>
      </c>
      <c r="B59" s="2" t="s">
        <v>707</v>
      </c>
      <c r="C59" s="3" t="s">
        <v>679</v>
      </c>
      <c r="D59" s="4">
        <v>63227.35</v>
      </c>
      <c r="E59" s="4">
        <v>3.11</v>
      </c>
      <c r="F59" s="4">
        <v>196637.06</v>
      </c>
      <c r="G59" s="4">
        <v>3.11</v>
      </c>
      <c r="H59" s="4">
        <v>196637.06</v>
      </c>
    </row>
    <row r="60" s="1" customFormat="1" ht="14" spans="1:8">
      <c r="A60" s="2">
        <v>1160011</v>
      </c>
      <c r="B60" s="2" t="s">
        <v>708</v>
      </c>
      <c r="C60" s="3" t="s">
        <v>52</v>
      </c>
      <c r="D60" s="4">
        <v>2539.61</v>
      </c>
      <c r="E60" s="4">
        <v>3.77</v>
      </c>
      <c r="F60" s="4">
        <v>9574.35</v>
      </c>
      <c r="G60" s="4">
        <v>3.77</v>
      </c>
      <c r="H60" s="4">
        <v>9574.35</v>
      </c>
    </row>
    <row r="61" s="1" customFormat="1" ht="14" spans="1:8">
      <c r="A61" s="2">
        <v>1160012</v>
      </c>
      <c r="B61" s="2" t="s">
        <v>709</v>
      </c>
      <c r="C61" s="3" t="s">
        <v>52</v>
      </c>
      <c r="D61" s="4">
        <v>6494.64</v>
      </c>
      <c r="E61" s="4">
        <v>1.1</v>
      </c>
      <c r="F61" s="4">
        <v>7144.2</v>
      </c>
      <c r="G61" s="4">
        <v>1.1</v>
      </c>
      <c r="H61" s="4">
        <v>7144.2</v>
      </c>
    </row>
    <row r="62" s="1" customFormat="1" ht="14" spans="1:8">
      <c r="A62" s="2">
        <v>1170001</v>
      </c>
      <c r="B62" s="2" t="s">
        <v>710</v>
      </c>
      <c r="C62" s="3" t="s">
        <v>52</v>
      </c>
      <c r="D62" s="4">
        <v>194132.64</v>
      </c>
      <c r="E62" s="4">
        <v>3.63</v>
      </c>
      <c r="F62" s="4">
        <v>704701.48</v>
      </c>
      <c r="G62" s="4">
        <v>3.63</v>
      </c>
      <c r="H62" s="4">
        <v>704701.48</v>
      </c>
    </row>
    <row r="63" s="1" customFormat="1" ht="14" spans="1:8">
      <c r="A63" s="2">
        <v>1170002</v>
      </c>
      <c r="B63" s="2" t="s">
        <v>711</v>
      </c>
      <c r="C63" s="3" t="s">
        <v>45</v>
      </c>
      <c r="D63" s="4">
        <v>163446.52</v>
      </c>
      <c r="E63" s="4">
        <v>15.1</v>
      </c>
      <c r="F63" s="4">
        <v>2468042.46</v>
      </c>
      <c r="G63" s="4">
        <v>15.1</v>
      </c>
      <c r="H63" s="4">
        <v>2468042.46</v>
      </c>
    </row>
    <row r="64" s="1" customFormat="1" ht="14" spans="1:8">
      <c r="A64" s="2">
        <v>1170004</v>
      </c>
      <c r="B64" s="2" t="s">
        <v>712</v>
      </c>
      <c r="C64" s="3" t="s">
        <v>45</v>
      </c>
      <c r="D64" s="4">
        <v>3135.49</v>
      </c>
      <c r="E64" s="4">
        <v>43.11</v>
      </c>
      <c r="F64" s="4">
        <v>135170.98</v>
      </c>
      <c r="G64" s="4">
        <v>43.11</v>
      </c>
      <c r="H64" s="4">
        <v>135170.98</v>
      </c>
    </row>
    <row r="65" s="1" customFormat="1" ht="14" spans="1:8">
      <c r="A65" s="2">
        <v>1170005</v>
      </c>
      <c r="B65" s="2" t="s">
        <v>713</v>
      </c>
      <c r="C65" s="3" t="s">
        <v>52</v>
      </c>
      <c r="D65" s="4">
        <v>4135.57</v>
      </c>
      <c r="E65" s="4">
        <v>21.28</v>
      </c>
      <c r="F65" s="4">
        <v>88004.59</v>
      </c>
      <c r="G65" s="4">
        <v>21.28</v>
      </c>
      <c r="H65" s="4">
        <v>88004.59</v>
      </c>
    </row>
    <row r="66" s="1" customFormat="1" ht="14" spans="1:8">
      <c r="A66" s="2">
        <v>1170006</v>
      </c>
      <c r="B66" s="2" t="s">
        <v>714</v>
      </c>
      <c r="C66" s="3" t="s">
        <v>52</v>
      </c>
      <c r="D66" s="4">
        <v>1663.58</v>
      </c>
      <c r="E66" s="4">
        <v>51.52</v>
      </c>
      <c r="F66" s="4">
        <v>85707.68</v>
      </c>
      <c r="G66" s="4">
        <v>51.52</v>
      </c>
      <c r="H66" s="4">
        <v>85707.68</v>
      </c>
    </row>
    <row r="67" s="1" customFormat="1" ht="14" spans="1:8">
      <c r="A67" s="2">
        <v>1170007</v>
      </c>
      <c r="B67" s="2" t="s">
        <v>715</v>
      </c>
      <c r="C67" s="3" t="s">
        <v>52</v>
      </c>
      <c r="D67" s="4">
        <v>1416.2</v>
      </c>
      <c r="E67" s="4">
        <v>85.66</v>
      </c>
      <c r="F67" s="4">
        <v>121310.84</v>
      </c>
      <c r="G67" s="4">
        <v>85.66</v>
      </c>
      <c r="H67" s="4">
        <v>121310.84</v>
      </c>
    </row>
    <row r="68" s="1" customFormat="1" ht="14" spans="1:8">
      <c r="A68" s="2">
        <v>1170008</v>
      </c>
      <c r="B68" s="2" t="s">
        <v>716</v>
      </c>
      <c r="C68" s="3" t="s">
        <v>52</v>
      </c>
      <c r="D68" s="4">
        <v>202719.36</v>
      </c>
      <c r="E68" s="4">
        <v>1.88</v>
      </c>
      <c r="F68" s="4">
        <v>381112.39</v>
      </c>
      <c r="G68" s="4">
        <v>1.88</v>
      </c>
      <c r="H68" s="4">
        <v>381112.39</v>
      </c>
    </row>
    <row r="69" s="1" customFormat="1" ht="14" spans="1:8">
      <c r="A69" s="2">
        <v>1170009</v>
      </c>
      <c r="B69" s="2" t="s">
        <v>717</v>
      </c>
      <c r="C69" s="3" t="s">
        <v>52</v>
      </c>
      <c r="D69" s="4">
        <v>752.43</v>
      </c>
      <c r="E69" s="4">
        <v>55.27</v>
      </c>
      <c r="F69" s="4">
        <v>41584.65</v>
      </c>
      <c r="G69" s="4">
        <v>55.27</v>
      </c>
      <c r="H69" s="4">
        <v>41584.65</v>
      </c>
    </row>
    <row r="70" s="1" customFormat="1" ht="14" spans="1:8">
      <c r="A70" s="2">
        <v>1170010</v>
      </c>
      <c r="B70" s="2" t="s">
        <v>718</v>
      </c>
      <c r="C70" s="3" t="s">
        <v>679</v>
      </c>
      <c r="D70" s="4">
        <v>902858.5</v>
      </c>
      <c r="E70" s="4">
        <v>0.19</v>
      </c>
      <c r="F70" s="4">
        <v>171543.1</v>
      </c>
      <c r="G70" s="4">
        <v>0.19</v>
      </c>
      <c r="H70" s="4">
        <v>171543.1</v>
      </c>
    </row>
    <row r="71" s="1" customFormat="1" ht="14" spans="1:8">
      <c r="A71" s="2">
        <v>1170056</v>
      </c>
      <c r="B71" s="2" t="s">
        <v>719</v>
      </c>
      <c r="C71" s="3" t="s">
        <v>679</v>
      </c>
      <c r="D71" s="4">
        <v>6188</v>
      </c>
      <c r="E71" s="4">
        <v>2.66</v>
      </c>
      <c r="F71" s="4">
        <v>16460.08</v>
      </c>
      <c r="G71" s="4">
        <v>2.66</v>
      </c>
      <c r="H71" s="4">
        <v>16460.08</v>
      </c>
    </row>
    <row r="72" s="1" customFormat="1" ht="14" spans="1:8">
      <c r="A72" s="2">
        <v>1170057</v>
      </c>
      <c r="B72" s="2" t="s">
        <v>720</v>
      </c>
      <c r="C72" s="3" t="s">
        <v>52</v>
      </c>
      <c r="D72" s="4">
        <v>74973.48</v>
      </c>
      <c r="E72" s="4">
        <v>31.02</v>
      </c>
      <c r="F72" s="4">
        <v>2325677.75</v>
      </c>
      <c r="G72" s="4">
        <v>50</v>
      </c>
      <c r="H72" s="4">
        <v>3748674.65</v>
      </c>
    </row>
    <row r="73" s="1" customFormat="1" ht="14" spans="1:8">
      <c r="A73" s="2">
        <v>1170060</v>
      </c>
      <c r="B73" s="2" t="s">
        <v>721</v>
      </c>
      <c r="C73" s="3" t="s">
        <v>722</v>
      </c>
      <c r="D73" s="4">
        <v>2647291.21</v>
      </c>
      <c r="E73" s="4">
        <v>0.19</v>
      </c>
      <c r="F73" s="4">
        <v>502985.33</v>
      </c>
      <c r="G73" s="4">
        <v>0.8</v>
      </c>
      <c r="H73" s="4">
        <v>2117832.97</v>
      </c>
    </row>
    <row r="74" s="1" customFormat="1" ht="14" spans="1:8">
      <c r="A74" s="2">
        <v>1170068</v>
      </c>
      <c r="B74" s="2" t="s">
        <v>723</v>
      </c>
      <c r="C74" s="3" t="s">
        <v>722</v>
      </c>
      <c r="D74" s="4">
        <v>12820.04</v>
      </c>
      <c r="E74" s="4">
        <v>13.29</v>
      </c>
      <c r="F74" s="4">
        <v>170378.18</v>
      </c>
      <c r="G74" s="4">
        <v>13.29</v>
      </c>
      <c r="H74" s="4">
        <v>170378.18</v>
      </c>
    </row>
    <row r="75" s="1" customFormat="1" ht="14" spans="1:8">
      <c r="A75" s="2">
        <v>1200010</v>
      </c>
      <c r="B75" s="2" t="s">
        <v>724</v>
      </c>
      <c r="C75" s="3" t="s">
        <v>725</v>
      </c>
      <c r="D75" s="4">
        <v>556</v>
      </c>
      <c r="E75" s="4">
        <v>277.06</v>
      </c>
      <c r="F75" s="4">
        <v>154045.36</v>
      </c>
      <c r="G75" s="4">
        <v>277.06</v>
      </c>
      <c r="H75" s="4">
        <v>154045.36</v>
      </c>
    </row>
    <row r="76" s="1" customFormat="1" ht="14" spans="1:8">
      <c r="A76" s="2">
        <v>1200011</v>
      </c>
      <c r="B76" s="2" t="s">
        <v>726</v>
      </c>
      <c r="C76" s="3" t="s">
        <v>52</v>
      </c>
      <c r="D76" s="4">
        <v>111200</v>
      </c>
      <c r="E76" s="4">
        <v>0.46</v>
      </c>
      <c r="F76" s="4">
        <v>51152</v>
      </c>
      <c r="G76" s="4">
        <v>0.46</v>
      </c>
      <c r="H76" s="4">
        <v>51152</v>
      </c>
    </row>
    <row r="77" s="1" customFormat="1" ht="14" spans="1:8">
      <c r="A77" s="2">
        <v>1200014</v>
      </c>
      <c r="B77" s="2" t="s">
        <v>727</v>
      </c>
      <c r="C77" s="3" t="s">
        <v>52</v>
      </c>
      <c r="D77" s="4">
        <v>9835886.27</v>
      </c>
      <c r="E77" s="4">
        <v>0.15</v>
      </c>
      <c r="F77" s="4">
        <v>1475382.99</v>
      </c>
      <c r="G77" s="4">
        <v>0.25</v>
      </c>
      <c r="H77" s="4">
        <v>2768213.09</v>
      </c>
    </row>
    <row r="78" s="1" customFormat="1" ht="14" spans="1:8">
      <c r="A78" s="2">
        <v>1200015</v>
      </c>
      <c r="B78" s="2" t="s">
        <v>728</v>
      </c>
      <c r="C78" s="3" t="s">
        <v>52</v>
      </c>
      <c r="D78" s="4">
        <v>66989351.44</v>
      </c>
      <c r="E78" s="4">
        <v>0.19</v>
      </c>
      <c r="F78" s="4">
        <v>12727976.8</v>
      </c>
      <c r="G78" s="4">
        <v>0.27</v>
      </c>
      <c r="H78" s="4">
        <v>18107448.41</v>
      </c>
    </row>
    <row r="79" s="1" customFormat="1" ht="14" spans="1:8">
      <c r="A79" s="2">
        <v>1210002</v>
      </c>
      <c r="B79" s="2" t="s">
        <v>729</v>
      </c>
      <c r="C79" s="3" t="s">
        <v>52</v>
      </c>
      <c r="D79" s="4">
        <v>7352858.99</v>
      </c>
      <c r="E79" s="4">
        <v>0.24</v>
      </c>
      <c r="F79" s="4">
        <v>1764686.17</v>
      </c>
      <c r="G79" s="4">
        <v>0.24</v>
      </c>
      <c r="H79" s="4">
        <v>1764686.17</v>
      </c>
    </row>
    <row r="80" s="1" customFormat="1" ht="14" spans="1:8">
      <c r="A80" s="2">
        <v>1210004</v>
      </c>
      <c r="B80" s="2" t="s">
        <v>730</v>
      </c>
      <c r="C80" s="3" t="s">
        <v>45</v>
      </c>
      <c r="D80" s="4">
        <v>114355.87</v>
      </c>
      <c r="E80" s="4">
        <v>9.72</v>
      </c>
      <c r="F80" s="4">
        <v>1111538.92</v>
      </c>
      <c r="G80" s="4">
        <v>43</v>
      </c>
      <c r="H80" s="4">
        <v>4917302.1</v>
      </c>
    </row>
    <row r="81" s="1" customFormat="1" ht="14" spans="1:11">
      <c r="A81" s="2">
        <v>1210016</v>
      </c>
      <c r="B81" s="2" t="s">
        <v>731</v>
      </c>
      <c r="C81" s="3" t="s">
        <v>45</v>
      </c>
      <c r="D81" s="4">
        <v>2323.42</v>
      </c>
      <c r="E81" s="4">
        <v>19.74</v>
      </c>
      <c r="F81" s="4">
        <v>45864.21</v>
      </c>
      <c r="G81" s="4">
        <v>43</v>
      </c>
      <c r="H81" s="4">
        <v>99906.81</v>
      </c>
    </row>
    <row r="82" s="1" customFormat="1" ht="14" spans="1:11">
      <c r="A82" s="2">
        <v>1210020</v>
      </c>
      <c r="B82" s="2" t="s">
        <v>732</v>
      </c>
      <c r="C82" s="3" t="s">
        <v>52</v>
      </c>
      <c r="D82" s="4">
        <v>28371338.25</v>
      </c>
      <c r="E82" s="4">
        <v>0.14</v>
      </c>
      <c r="F82" s="4">
        <v>3971987.4</v>
      </c>
      <c r="G82" s="4">
        <v>0.2</v>
      </c>
      <c r="H82" s="4">
        <v>5674267.65</v>
      </c>
    </row>
    <row r="83" s="1" customFormat="1" ht="14" spans="1:11">
      <c r="A83" s="2">
        <v>1230006</v>
      </c>
      <c r="B83" s="2" t="s">
        <v>733</v>
      </c>
      <c r="C83" s="3" t="s">
        <v>45</v>
      </c>
      <c r="D83" s="4">
        <v>653551.46</v>
      </c>
      <c r="E83" s="4">
        <v>24.31</v>
      </c>
      <c r="F83" s="4">
        <v>15887835.72</v>
      </c>
      <c r="G83" s="4">
        <v>90</v>
      </c>
      <c r="H83" s="4">
        <v>58819630.14</v>
      </c>
    </row>
    <row r="84" s="1" customFormat="1" ht="14" spans="1:11">
      <c r="A84" s="2">
        <v>1240009</v>
      </c>
      <c r="B84" s="2" t="s">
        <v>734</v>
      </c>
      <c r="C84" s="3" t="s">
        <v>45</v>
      </c>
      <c r="D84" s="4">
        <v>2676.56</v>
      </c>
      <c r="E84" s="4">
        <v>38.8</v>
      </c>
      <c r="F84" s="4">
        <v>103850.71</v>
      </c>
      <c r="G84" s="4">
        <v>100</v>
      </c>
      <c r="H84" s="4">
        <v>267656.5</v>
      </c>
      <c r="I84" s="2" t="s">
        <v>734</v>
      </c>
      <c r="J84" s="3" t="s">
        <v>45</v>
      </c>
      <c r="K84" s="4">
        <v>2676.56</v>
      </c>
    </row>
    <row r="85" s="1" customFormat="1" ht="14" spans="1:11">
      <c r="A85" s="2">
        <v>1240010</v>
      </c>
      <c r="B85" s="2" t="s">
        <v>735</v>
      </c>
      <c r="C85" s="3" t="s">
        <v>45</v>
      </c>
      <c r="D85" s="4">
        <v>161980.97</v>
      </c>
      <c r="E85" s="4">
        <v>36.86</v>
      </c>
      <c r="F85" s="4">
        <v>5970618.64</v>
      </c>
      <c r="G85" s="4">
        <v>100</v>
      </c>
      <c r="H85" s="4">
        <v>16198097.2</v>
      </c>
      <c r="I85" s="2" t="s">
        <v>735</v>
      </c>
      <c r="J85" s="3" t="s">
        <v>45</v>
      </c>
      <c r="K85" s="4">
        <v>161980.97</v>
      </c>
    </row>
    <row r="86" s="1" customFormat="1" ht="14" spans="1:11">
      <c r="A86" s="2">
        <v>1240011</v>
      </c>
      <c r="B86" s="2" t="s">
        <v>736</v>
      </c>
      <c r="C86" s="3" t="s">
        <v>45</v>
      </c>
      <c r="D86" s="4">
        <v>118593.41</v>
      </c>
      <c r="E86" s="4">
        <v>39.77</v>
      </c>
      <c r="F86" s="4">
        <v>4716460.26</v>
      </c>
      <c r="G86" s="4">
        <v>100</v>
      </c>
      <c r="H86" s="4">
        <v>11859341.7</v>
      </c>
      <c r="I86" s="2" t="s">
        <v>736</v>
      </c>
      <c r="J86" s="3" t="s">
        <v>45</v>
      </c>
      <c r="K86" s="4">
        <v>118593.41</v>
      </c>
    </row>
    <row r="87" s="1" customFormat="1" ht="14" spans="1:11">
      <c r="A87" s="2">
        <v>1240012</v>
      </c>
      <c r="B87" s="2" t="s">
        <v>737</v>
      </c>
      <c r="C87" s="3" t="s">
        <v>45</v>
      </c>
      <c r="D87" s="4">
        <v>360005.04</v>
      </c>
      <c r="E87" s="4">
        <v>38.8</v>
      </c>
      <c r="F87" s="4">
        <v>13968194.53</v>
      </c>
      <c r="G87" s="4">
        <v>100</v>
      </c>
      <c r="H87" s="4">
        <v>36000501.5</v>
      </c>
      <c r="I87" s="2" t="s">
        <v>737</v>
      </c>
      <c r="J87" s="3" t="s">
        <v>45</v>
      </c>
      <c r="K87" s="4">
        <v>360005.04</v>
      </c>
    </row>
    <row r="88" s="1" customFormat="1" ht="14" spans="1:11">
      <c r="A88" s="2">
        <v>1240013</v>
      </c>
      <c r="B88" s="2" t="s">
        <v>738</v>
      </c>
      <c r="C88" s="3" t="s">
        <v>45</v>
      </c>
      <c r="D88" s="4">
        <v>361990.17</v>
      </c>
      <c r="E88" s="4">
        <v>36.86</v>
      </c>
      <c r="F88" s="4">
        <v>13342957.44</v>
      </c>
      <c r="G88" s="4">
        <v>100</v>
      </c>
      <c r="H88" s="4">
        <v>36199016.5</v>
      </c>
      <c r="I88" s="2" t="s">
        <v>738</v>
      </c>
      <c r="J88" s="3" t="s">
        <v>45</v>
      </c>
      <c r="K88" s="4">
        <v>361990.17</v>
      </c>
    </row>
    <row r="89" s="1" customFormat="1" ht="14" spans="1:11">
      <c r="A89" s="2">
        <v>1240014</v>
      </c>
      <c r="B89" s="2" t="s">
        <v>739</v>
      </c>
      <c r="C89" s="3" t="s">
        <v>45</v>
      </c>
      <c r="D89" s="4">
        <v>299586.58</v>
      </c>
      <c r="E89" s="4">
        <v>34.92</v>
      </c>
      <c r="F89" s="4">
        <v>10461562.9</v>
      </c>
      <c r="G89" s="4">
        <v>100</v>
      </c>
      <c r="H89" s="4">
        <v>29958656.2</v>
      </c>
      <c r="I89" s="2" t="s">
        <v>739</v>
      </c>
      <c r="J89" s="3" t="s">
        <v>45</v>
      </c>
      <c r="K89" s="4">
        <v>299586.58</v>
      </c>
    </row>
    <row r="90" s="1" customFormat="1" ht="14" spans="1:11">
      <c r="A90" s="2">
        <v>1240015</v>
      </c>
      <c r="B90" s="2" t="s">
        <v>740</v>
      </c>
      <c r="C90" s="3" t="s">
        <v>45</v>
      </c>
      <c r="D90" s="4">
        <v>150498.64</v>
      </c>
      <c r="E90" s="4">
        <v>33.95</v>
      </c>
      <c r="F90" s="4">
        <v>5109428.44</v>
      </c>
      <c r="G90" s="4">
        <v>100</v>
      </c>
      <c r="H90" s="4">
        <v>15049862.9</v>
      </c>
      <c r="I90" s="2" t="s">
        <v>740</v>
      </c>
      <c r="J90" s="3" t="s">
        <v>45</v>
      </c>
      <c r="K90" s="4">
        <v>150498.64</v>
      </c>
    </row>
    <row r="91" s="1" customFormat="1" ht="14" spans="1:11">
      <c r="A91" s="2">
        <v>1240016</v>
      </c>
      <c r="B91" s="2" t="s">
        <v>741</v>
      </c>
      <c r="C91" s="3" t="s">
        <v>45</v>
      </c>
      <c r="D91" s="4">
        <v>129954.19</v>
      </c>
      <c r="E91" s="4">
        <v>32.01</v>
      </c>
      <c r="F91" s="4">
        <v>4159833.98</v>
      </c>
      <c r="G91" s="4">
        <v>100</v>
      </c>
      <c r="H91" s="4">
        <v>12995420.3</v>
      </c>
      <c r="I91" s="2" t="s">
        <v>741</v>
      </c>
      <c r="J91" s="3" t="s">
        <v>45</v>
      </c>
      <c r="K91" s="4">
        <v>129954.19</v>
      </c>
    </row>
    <row r="92" s="1" customFormat="1" ht="14" spans="1:11">
      <c r="A92" s="2">
        <v>1240019</v>
      </c>
      <c r="B92" s="2" t="s">
        <v>742</v>
      </c>
      <c r="C92" s="3" t="s">
        <v>45</v>
      </c>
      <c r="D92" s="4">
        <v>499934.75</v>
      </c>
      <c r="E92" s="4">
        <v>54.33</v>
      </c>
      <c r="F92" s="4">
        <v>27161455.02</v>
      </c>
      <c r="G92" s="4">
        <v>120</v>
      </c>
      <c r="H92" s="4">
        <v>64279504.74</v>
      </c>
      <c r="I92" s="2" t="s">
        <v>742</v>
      </c>
      <c r="J92" s="3" t="s">
        <v>45</v>
      </c>
      <c r="K92" s="4">
        <v>499934.75</v>
      </c>
    </row>
    <row r="93" s="1" customFormat="1" ht="14" spans="1:11">
      <c r="A93" s="2">
        <v>1240022</v>
      </c>
      <c r="B93" s="2" t="s">
        <v>743</v>
      </c>
      <c r="C93" s="3" t="s">
        <v>45</v>
      </c>
      <c r="D93" s="4">
        <v>62562.92</v>
      </c>
      <c r="E93" s="4">
        <v>44.63</v>
      </c>
      <c r="F93" s="4">
        <v>2792182.99</v>
      </c>
      <c r="G93" s="4">
        <v>100</v>
      </c>
      <c r="H93" s="4">
        <v>6256291.7</v>
      </c>
      <c r="I93" s="2" t="s">
        <v>743</v>
      </c>
      <c r="J93" s="3" t="s">
        <v>45</v>
      </c>
      <c r="K93" s="4">
        <v>62562.92</v>
      </c>
    </row>
    <row r="94" s="1" customFormat="1" ht="14" spans="1:11">
      <c r="A94" s="2">
        <v>1240023</v>
      </c>
      <c r="B94" s="2" t="s">
        <v>744</v>
      </c>
      <c r="C94" s="3" t="s">
        <v>45</v>
      </c>
      <c r="D94" s="4">
        <v>94943.92</v>
      </c>
      <c r="E94" s="4">
        <v>43.66</v>
      </c>
      <c r="F94" s="4">
        <v>4145252.27</v>
      </c>
      <c r="G94" s="4">
        <v>100</v>
      </c>
      <c r="H94" s="4">
        <v>9494393.6</v>
      </c>
      <c r="I94" s="2" t="s">
        <v>744</v>
      </c>
      <c r="J94" s="3" t="s">
        <v>45</v>
      </c>
      <c r="K94" s="4">
        <v>94943.92</v>
      </c>
    </row>
    <row r="95" s="1" customFormat="1" ht="14" spans="1:11">
      <c r="A95" s="2">
        <v>1240024</v>
      </c>
      <c r="B95" s="2" t="s">
        <v>745</v>
      </c>
      <c r="C95" s="3" t="s">
        <v>45</v>
      </c>
      <c r="D95" s="4">
        <v>160108.93</v>
      </c>
      <c r="E95" s="4">
        <v>41.72</v>
      </c>
      <c r="F95" s="4">
        <v>6679745.61</v>
      </c>
      <c r="G95" s="4">
        <v>100</v>
      </c>
      <c r="H95" s="4">
        <v>16010895.5</v>
      </c>
      <c r="I95" s="2" t="s">
        <v>745</v>
      </c>
      <c r="J95" s="3" t="s">
        <v>45</v>
      </c>
      <c r="K95" s="4">
        <v>160108.93</v>
      </c>
    </row>
    <row r="96" s="1" customFormat="1" ht="14" spans="1:11">
      <c r="A96" s="2">
        <v>1240025</v>
      </c>
      <c r="B96" s="2" t="s">
        <v>746</v>
      </c>
      <c r="C96" s="3" t="s">
        <v>45</v>
      </c>
      <c r="D96" s="4">
        <v>14242.59</v>
      </c>
      <c r="E96" s="4">
        <v>39.77</v>
      </c>
      <c r="F96" s="4">
        <v>566427.96</v>
      </c>
      <c r="G96" s="4">
        <v>100</v>
      </c>
      <c r="H96" s="4">
        <v>1424259.4</v>
      </c>
      <c r="I96" s="2" t="s">
        <v>746</v>
      </c>
      <c r="J96" s="3" t="s">
        <v>45</v>
      </c>
      <c r="K96" s="4">
        <v>14242.59</v>
      </c>
    </row>
    <row r="97" s="1" customFormat="1" ht="14" spans="1:12">
      <c r="A97" s="2">
        <v>1240030</v>
      </c>
      <c r="B97" s="2" t="s">
        <v>747</v>
      </c>
      <c r="C97" s="3" t="s">
        <v>45</v>
      </c>
      <c r="D97" s="4">
        <v>25.37</v>
      </c>
      <c r="E97" s="4">
        <v>43.66</v>
      </c>
      <c r="F97" s="4">
        <v>1107.35</v>
      </c>
      <c r="G97" s="4">
        <v>100</v>
      </c>
      <c r="H97" s="4">
        <v>2536.3</v>
      </c>
      <c r="I97" s="2" t="s">
        <v>747</v>
      </c>
      <c r="J97" s="3" t="s">
        <v>45</v>
      </c>
      <c r="K97" s="4">
        <v>25.37</v>
      </c>
    </row>
    <row r="98" s="1" customFormat="1" ht="14" spans="1:12">
      <c r="A98" s="2">
        <v>1240111</v>
      </c>
      <c r="B98" s="2" t="s">
        <v>748</v>
      </c>
      <c r="C98" s="3" t="s">
        <v>45</v>
      </c>
      <c r="D98" s="4">
        <v>128.48</v>
      </c>
      <c r="E98" s="4">
        <v>28.13</v>
      </c>
      <c r="F98" s="4">
        <v>3614.26</v>
      </c>
      <c r="G98" s="4">
        <v>80</v>
      </c>
      <c r="H98" s="4">
        <v>10278.72</v>
      </c>
      <c r="J98" s="5" t="s">
        <v>749</v>
      </c>
      <c r="K98" s="1">
        <f>SUM(K84:K97)</f>
        <v>2417104.04</v>
      </c>
      <c r="L98" s="1" t="s">
        <v>750</v>
      </c>
    </row>
    <row r="99" s="1" customFormat="1" ht="14" spans="1:12">
      <c r="A99" s="2">
        <v>1240112</v>
      </c>
      <c r="B99" s="2" t="s">
        <v>751</v>
      </c>
      <c r="C99" s="3" t="s">
        <v>45</v>
      </c>
      <c r="D99" s="4">
        <v>870.68</v>
      </c>
      <c r="E99" s="4">
        <v>25.22</v>
      </c>
      <c r="F99" s="4">
        <v>21958.43</v>
      </c>
      <c r="G99" s="4">
        <v>80</v>
      </c>
      <c r="H99" s="4">
        <v>69654</v>
      </c>
    </row>
    <row r="100" s="1" customFormat="1" ht="14" spans="1:12">
      <c r="A100" s="2">
        <v>1240113</v>
      </c>
      <c r="B100" s="2" t="s">
        <v>752</v>
      </c>
      <c r="C100" s="3" t="s">
        <v>45</v>
      </c>
      <c r="D100" s="4">
        <v>10203.64</v>
      </c>
      <c r="E100" s="4">
        <v>25.22</v>
      </c>
      <c r="F100" s="4">
        <v>257335.33</v>
      </c>
      <c r="G100" s="4">
        <v>80</v>
      </c>
      <c r="H100" s="4">
        <v>816289.76</v>
      </c>
    </row>
    <row r="101" s="1" customFormat="1" ht="14" spans="1:12">
      <c r="A101" s="2">
        <v>1240115</v>
      </c>
      <c r="B101" s="2" t="s">
        <v>753</v>
      </c>
      <c r="C101" s="3" t="s">
        <v>45</v>
      </c>
      <c r="D101" s="4">
        <v>340.2</v>
      </c>
      <c r="E101" s="4">
        <v>23.28</v>
      </c>
      <c r="F101" s="4">
        <v>7919.85</v>
      </c>
      <c r="G101" s="4">
        <v>80</v>
      </c>
      <c r="H101" s="4">
        <v>27216</v>
      </c>
      <c r="I101" s="2" t="s">
        <v>748</v>
      </c>
      <c r="J101" s="3" t="s">
        <v>45</v>
      </c>
      <c r="K101" s="4">
        <v>128.48</v>
      </c>
    </row>
    <row r="102" s="1" customFormat="1" ht="14" spans="1:12">
      <c r="A102" s="2">
        <v>1240118</v>
      </c>
      <c r="B102" s="2" t="s">
        <v>44</v>
      </c>
      <c r="C102" s="3" t="s">
        <v>45</v>
      </c>
      <c r="D102" s="4">
        <v>794447.19</v>
      </c>
      <c r="E102" s="4">
        <v>18.43</v>
      </c>
      <c r="F102" s="4">
        <v>14641661.94</v>
      </c>
      <c r="G102" s="4">
        <v>40</v>
      </c>
      <c r="H102" s="4">
        <v>31777887.84</v>
      </c>
      <c r="I102" s="2" t="s">
        <v>751</v>
      </c>
      <c r="J102" s="3" t="s">
        <v>45</v>
      </c>
      <c r="K102" s="4">
        <v>870.68</v>
      </c>
    </row>
    <row r="103" s="1" customFormat="1" ht="14" spans="1:12">
      <c r="A103" s="2">
        <v>1240120</v>
      </c>
      <c r="B103" s="2" t="s">
        <v>47</v>
      </c>
      <c r="C103" s="3" t="s">
        <v>45</v>
      </c>
      <c r="D103" s="4">
        <v>81403.59</v>
      </c>
      <c r="E103" s="4">
        <v>17.5</v>
      </c>
      <c r="F103" s="4">
        <v>1424563.46</v>
      </c>
      <c r="G103" s="4">
        <v>50</v>
      </c>
      <c r="H103" s="4">
        <v>4070180.8</v>
      </c>
      <c r="I103" s="2" t="s">
        <v>752</v>
      </c>
      <c r="J103" s="3" t="s">
        <v>45</v>
      </c>
      <c r="K103" s="4">
        <v>10203.64</v>
      </c>
    </row>
    <row r="104" s="1" customFormat="1" ht="14" spans="1:12">
      <c r="A104" s="2">
        <v>1240121</v>
      </c>
      <c r="B104" s="2" t="s">
        <v>49</v>
      </c>
      <c r="C104" s="3" t="s">
        <v>45</v>
      </c>
      <c r="D104" s="4">
        <v>19468.47</v>
      </c>
      <c r="E104" s="4">
        <v>10.7</v>
      </c>
      <c r="F104" s="4">
        <v>208312.6</v>
      </c>
      <c r="G104" s="4">
        <v>80</v>
      </c>
      <c r="H104" s="4">
        <v>1557477.28</v>
      </c>
      <c r="I104" s="2" t="s">
        <v>753</v>
      </c>
      <c r="J104" s="3" t="s">
        <v>45</v>
      </c>
      <c r="K104" s="4">
        <v>340.2</v>
      </c>
    </row>
    <row r="105" s="1" customFormat="1" ht="14" spans="1:12">
      <c r="A105" s="2">
        <v>1250008</v>
      </c>
      <c r="B105" s="2" t="s">
        <v>754</v>
      </c>
      <c r="C105" s="3" t="s">
        <v>679</v>
      </c>
      <c r="D105" s="4">
        <v>119.34</v>
      </c>
      <c r="E105" s="4">
        <v>222.94</v>
      </c>
      <c r="F105" s="4">
        <v>26605.66</v>
      </c>
      <c r="G105" s="4">
        <v>222.94</v>
      </c>
      <c r="H105" s="4">
        <v>26605.66</v>
      </c>
      <c r="I105" s="2" t="s">
        <v>44</v>
      </c>
      <c r="J105" s="3" t="s">
        <v>45</v>
      </c>
      <c r="K105" s="4">
        <v>794447.19</v>
      </c>
    </row>
    <row r="106" s="1" customFormat="1" ht="14" spans="1:12">
      <c r="A106" s="2">
        <v>1250012</v>
      </c>
      <c r="B106" s="2" t="s">
        <v>755</v>
      </c>
      <c r="C106" s="3" t="s">
        <v>679</v>
      </c>
      <c r="D106" s="4">
        <v>921.18</v>
      </c>
      <c r="E106" s="4">
        <v>131.1</v>
      </c>
      <c r="F106" s="4">
        <v>120767.19</v>
      </c>
      <c r="G106" s="4">
        <v>131.1</v>
      </c>
      <c r="H106" s="4">
        <v>120767.19</v>
      </c>
      <c r="I106" s="2" t="s">
        <v>47</v>
      </c>
      <c r="J106" s="3" t="s">
        <v>45</v>
      </c>
      <c r="K106" s="4">
        <v>81403.59</v>
      </c>
    </row>
    <row r="107" s="1" customFormat="1" ht="14" spans="1:12">
      <c r="A107" s="2">
        <v>1250115</v>
      </c>
      <c r="B107" s="2" t="s">
        <v>756</v>
      </c>
      <c r="C107" s="3" t="s">
        <v>679</v>
      </c>
      <c r="D107" s="4">
        <v>10258.46</v>
      </c>
      <c r="E107" s="4">
        <v>188.64</v>
      </c>
      <c r="F107" s="4">
        <v>1935156.23</v>
      </c>
      <c r="G107" s="4">
        <v>188.64</v>
      </c>
      <c r="H107" s="4">
        <v>1935156.23</v>
      </c>
      <c r="I107" s="2" t="s">
        <v>49</v>
      </c>
      <c r="J107" s="3" t="s">
        <v>45</v>
      </c>
      <c r="K107" s="4">
        <v>19468.47</v>
      </c>
    </row>
    <row r="108" s="1" customFormat="1" ht="14" spans="1:12">
      <c r="A108" s="2">
        <v>1250116</v>
      </c>
      <c r="B108" s="2" t="s">
        <v>757</v>
      </c>
      <c r="C108" s="3" t="s">
        <v>679</v>
      </c>
      <c r="D108" s="4">
        <v>20.4</v>
      </c>
      <c r="E108" s="4">
        <v>143.2</v>
      </c>
      <c r="F108" s="4">
        <v>2921.28</v>
      </c>
      <c r="G108" s="4">
        <v>143.2</v>
      </c>
      <c r="H108" s="4">
        <v>2921.28</v>
      </c>
      <c r="J108" s="1" t="s">
        <v>758</v>
      </c>
      <c r="K108" s="1">
        <f>SUM(K101:K107)</f>
        <v>906862.25</v>
      </c>
      <c r="L108" s="1" t="s">
        <v>750</v>
      </c>
    </row>
    <row r="109" s="1" customFormat="1" ht="14" spans="1:12">
      <c r="A109" s="2">
        <v>1250130</v>
      </c>
      <c r="B109" s="2" t="s">
        <v>759</v>
      </c>
      <c r="C109" s="3" t="s">
        <v>679</v>
      </c>
      <c r="D109" s="4">
        <v>4.08</v>
      </c>
      <c r="E109" s="4">
        <v>235.42</v>
      </c>
      <c r="F109" s="4">
        <v>961.22</v>
      </c>
      <c r="G109" s="4">
        <v>235.42</v>
      </c>
      <c r="H109" s="4">
        <v>961.22</v>
      </c>
    </row>
    <row r="110" s="1" customFormat="1" ht="14" spans="1:12">
      <c r="A110" s="2">
        <v>1250134</v>
      </c>
      <c r="B110" s="2" t="s">
        <v>760</v>
      </c>
      <c r="C110" s="3" t="s">
        <v>679</v>
      </c>
      <c r="D110" s="4">
        <v>27.47</v>
      </c>
      <c r="E110" s="4">
        <v>111.13</v>
      </c>
      <c r="F110" s="4">
        <v>3053.38</v>
      </c>
      <c r="G110" s="4">
        <v>111.13</v>
      </c>
      <c r="H110" s="4">
        <v>3053.38</v>
      </c>
    </row>
    <row r="111" s="1" customFormat="1" ht="14" spans="1:12">
      <c r="A111" s="2">
        <v>1250211</v>
      </c>
      <c r="B111" s="2" t="s">
        <v>761</v>
      </c>
      <c r="C111" s="3" t="s">
        <v>679</v>
      </c>
      <c r="D111" s="4">
        <v>362.63</v>
      </c>
      <c r="E111" s="4">
        <v>43.3</v>
      </c>
      <c r="F111" s="4">
        <v>15701.04</v>
      </c>
      <c r="G111" s="4">
        <v>43.3</v>
      </c>
      <c r="H111" s="4">
        <v>15701.04</v>
      </c>
    </row>
    <row r="112" s="1" customFormat="1" ht="14" spans="1:12">
      <c r="A112" s="2">
        <v>1251052</v>
      </c>
      <c r="B112" s="2" t="s">
        <v>762</v>
      </c>
      <c r="C112" s="3" t="s">
        <v>52</v>
      </c>
      <c r="D112" s="4">
        <v>92220.23</v>
      </c>
      <c r="E112" s="4">
        <v>0.15</v>
      </c>
      <c r="F112" s="4">
        <v>13833.06</v>
      </c>
      <c r="G112" s="4">
        <v>0.15</v>
      </c>
      <c r="H112" s="4">
        <v>13833.06</v>
      </c>
    </row>
    <row r="113" s="1" customFormat="1" ht="14" spans="1:12">
      <c r="A113" s="2">
        <v>1251058</v>
      </c>
      <c r="B113" s="2" t="s">
        <v>763</v>
      </c>
      <c r="C113" s="3" t="s">
        <v>45</v>
      </c>
      <c r="D113" s="4">
        <v>7831.95</v>
      </c>
      <c r="E113" s="4">
        <v>54.88</v>
      </c>
      <c r="F113" s="4">
        <v>429817.53</v>
      </c>
      <c r="G113" s="4">
        <v>54.88</v>
      </c>
      <c r="H113" s="4">
        <v>429817.53</v>
      </c>
    </row>
    <row r="114" s="1" customFormat="1" ht="14" spans="1:12">
      <c r="A114" s="2">
        <v>1252110</v>
      </c>
      <c r="B114" s="2" t="s">
        <v>764</v>
      </c>
      <c r="C114" s="3" t="s">
        <v>679</v>
      </c>
      <c r="D114" s="4">
        <v>6489.3</v>
      </c>
      <c r="E114" s="4">
        <v>9.43</v>
      </c>
      <c r="F114" s="4">
        <v>61194.06</v>
      </c>
      <c r="G114" s="4">
        <v>9.43</v>
      </c>
      <c r="H114" s="4">
        <v>61194.06</v>
      </c>
    </row>
    <row r="115" s="1" customFormat="1" ht="14" spans="1:12">
      <c r="A115" s="2">
        <v>1252134</v>
      </c>
      <c r="B115" s="2" t="s">
        <v>765</v>
      </c>
      <c r="C115" s="3" t="s">
        <v>45</v>
      </c>
      <c r="D115" s="4">
        <v>1883.92</v>
      </c>
      <c r="E115" s="4">
        <v>102.89</v>
      </c>
      <c r="F115" s="4">
        <v>193836.73</v>
      </c>
      <c r="G115" s="4">
        <v>102.89</v>
      </c>
      <c r="H115" s="4">
        <v>193836.73</v>
      </c>
    </row>
    <row r="116" s="1" customFormat="1" ht="14" spans="1:12">
      <c r="A116" s="2">
        <v>1252151</v>
      </c>
      <c r="B116" s="2" t="s">
        <v>766</v>
      </c>
      <c r="C116" s="3" t="s">
        <v>45</v>
      </c>
      <c r="D116" s="4">
        <v>61.85</v>
      </c>
      <c r="E116" s="4">
        <v>321.72</v>
      </c>
      <c r="F116" s="4">
        <v>19898.33</v>
      </c>
      <c r="G116" s="4">
        <v>321.72</v>
      </c>
      <c r="H116" s="4">
        <v>19898.33</v>
      </c>
    </row>
    <row r="117" s="1" customFormat="1" ht="14" spans="1:12">
      <c r="A117" s="2">
        <v>1260019</v>
      </c>
      <c r="B117" s="2" t="s">
        <v>767</v>
      </c>
      <c r="C117" s="3" t="s">
        <v>45</v>
      </c>
      <c r="D117" s="4">
        <v>204.67</v>
      </c>
      <c r="E117" s="4">
        <v>29.14</v>
      </c>
      <c r="F117" s="4">
        <v>5964.08</v>
      </c>
      <c r="G117" s="4">
        <v>29.14</v>
      </c>
      <c r="H117" s="4">
        <v>5964.08</v>
      </c>
    </row>
    <row r="118" s="1" customFormat="1" ht="14" spans="1:12">
      <c r="A118" s="2">
        <v>1260020</v>
      </c>
      <c r="B118" s="2" t="s">
        <v>768</v>
      </c>
      <c r="C118" s="3" t="s">
        <v>52</v>
      </c>
      <c r="D118" s="4">
        <v>213077.84</v>
      </c>
      <c r="E118" s="4">
        <v>0.27</v>
      </c>
      <c r="F118" s="4">
        <v>57530.92</v>
      </c>
      <c r="G118" s="4">
        <v>0.27</v>
      </c>
      <c r="H118" s="4">
        <v>57530.92</v>
      </c>
    </row>
    <row r="119" s="1" customFormat="1" ht="14" spans="1:12">
      <c r="A119" s="2">
        <v>1260022</v>
      </c>
      <c r="B119" s="2" t="s">
        <v>769</v>
      </c>
      <c r="C119" s="3" t="s">
        <v>45</v>
      </c>
      <c r="D119" s="4">
        <v>843953.45</v>
      </c>
      <c r="E119" s="4">
        <v>24.25</v>
      </c>
      <c r="F119" s="4">
        <v>20465873.02</v>
      </c>
      <c r="G119" s="4">
        <v>110</v>
      </c>
      <c r="H119" s="4">
        <v>92834880.16</v>
      </c>
      <c r="I119" s="2" t="s">
        <v>769</v>
      </c>
      <c r="J119" s="3" t="s">
        <v>45</v>
      </c>
      <c r="K119" s="4">
        <v>843953.45</v>
      </c>
    </row>
    <row r="120" s="1" customFormat="1" ht="14" spans="1:12">
      <c r="A120" s="2">
        <v>1260023</v>
      </c>
      <c r="B120" s="2" t="s">
        <v>770</v>
      </c>
      <c r="C120" s="3" t="s">
        <v>45</v>
      </c>
      <c r="D120" s="4">
        <v>24672.41</v>
      </c>
      <c r="E120" s="4">
        <v>19.4</v>
      </c>
      <c r="F120" s="4">
        <v>478644.49</v>
      </c>
      <c r="G120" s="4">
        <v>110</v>
      </c>
      <c r="H120" s="4">
        <v>2713963.23</v>
      </c>
      <c r="I120" s="2" t="s">
        <v>770</v>
      </c>
      <c r="J120" s="3" t="s">
        <v>45</v>
      </c>
      <c r="K120" s="4">
        <v>24672.41</v>
      </c>
    </row>
    <row r="121" s="1" customFormat="1" ht="14" spans="1:12">
      <c r="A121" s="2">
        <v>1260024</v>
      </c>
      <c r="B121" s="2" t="s">
        <v>771</v>
      </c>
      <c r="C121" s="3" t="s">
        <v>45</v>
      </c>
      <c r="D121" s="4">
        <v>241972.29</v>
      </c>
      <c r="E121" s="4">
        <v>26.19</v>
      </c>
      <c r="F121" s="4">
        <v>6337254.14</v>
      </c>
      <c r="G121" s="4">
        <v>110</v>
      </c>
      <c r="H121" s="4">
        <v>26616951.35</v>
      </c>
      <c r="I121" s="2" t="s">
        <v>771</v>
      </c>
      <c r="J121" s="3" t="s">
        <v>45</v>
      </c>
      <c r="K121" s="4">
        <v>241972.29</v>
      </c>
    </row>
    <row r="122" s="1" customFormat="1" ht="14" spans="1:12">
      <c r="A122" s="2">
        <v>1260030</v>
      </c>
      <c r="B122" s="2" t="s">
        <v>772</v>
      </c>
      <c r="C122" s="3" t="s">
        <v>52</v>
      </c>
      <c r="D122" s="4">
        <v>438409.35</v>
      </c>
      <c r="E122" s="4">
        <v>2.4</v>
      </c>
      <c r="F122" s="4">
        <v>1052182.44</v>
      </c>
      <c r="G122" s="4">
        <v>2.4</v>
      </c>
      <c r="H122" s="4">
        <v>1052182.44</v>
      </c>
      <c r="J122" s="1" t="s">
        <v>773</v>
      </c>
      <c r="K122" s="1">
        <f>SUM(K119:K121)</f>
        <v>1110598.15</v>
      </c>
      <c r="L122" s="1" t="s">
        <v>750</v>
      </c>
    </row>
    <row r="123" s="1" customFormat="1" ht="14" spans="1:12">
      <c r="A123" s="2">
        <v>1260033</v>
      </c>
      <c r="B123" s="2" t="s">
        <v>774</v>
      </c>
      <c r="C123" s="3" t="s">
        <v>52</v>
      </c>
      <c r="D123" s="4">
        <v>128.63</v>
      </c>
      <c r="E123" s="4">
        <v>1.71</v>
      </c>
      <c r="F123" s="4">
        <v>219.95</v>
      </c>
      <c r="G123" s="4">
        <v>1.71</v>
      </c>
      <c r="H123" s="4">
        <v>219.95</v>
      </c>
    </row>
    <row r="124" s="1" customFormat="1" ht="14" spans="1:12">
      <c r="A124" s="2">
        <v>1260128</v>
      </c>
      <c r="B124" s="2" t="s">
        <v>775</v>
      </c>
      <c r="C124" s="3" t="s">
        <v>45</v>
      </c>
      <c r="D124" s="4">
        <v>1355.23</v>
      </c>
      <c r="E124" s="4">
        <v>10.29</v>
      </c>
      <c r="F124" s="4">
        <v>13945.27</v>
      </c>
      <c r="G124" s="4">
        <v>10.29</v>
      </c>
      <c r="H124" s="4">
        <v>13945.27</v>
      </c>
    </row>
    <row r="125" s="1" customFormat="1" ht="14" spans="1:12">
      <c r="A125" s="2">
        <v>1260130</v>
      </c>
      <c r="B125" s="2" t="s">
        <v>776</v>
      </c>
      <c r="C125" s="3" t="s">
        <v>29</v>
      </c>
      <c r="D125" s="4">
        <v>1525.34</v>
      </c>
      <c r="E125" s="4">
        <v>111.39</v>
      </c>
      <c r="F125" s="4">
        <v>169909.08</v>
      </c>
      <c r="G125" s="4">
        <v>155</v>
      </c>
      <c r="H125" s="4">
        <v>236429.73</v>
      </c>
      <c r="I125" s="2" t="s">
        <v>776</v>
      </c>
      <c r="J125" s="3" t="s">
        <v>29</v>
      </c>
      <c r="K125" s="4">
        <v>1525.34</v>
      </c>
    </row>
    <row r="126" s="1" customFormat="1" ht="14" spans="1:12">
      <c r="A126" s="2">
        <v>1260132</v>
      </c>
      <c r="B126" s="2" t="s">
        <v>777</v>
      </c>
      <c r="C126" s="3" t="s">
        <v>52</v>
      </c>
      <c r="D126" s="4">
        <v>79583903.8</v>
      </c>
      <c r="E126" s="4">
        <v>0.15</v>
      </c>
      <c r="F126" s="4">
        <v>11937585.85</v>
      </c>
      <c r="G126" s="4">
        <v>0.15</v>
      </c>
      <c r="H126" s="4">
        <v>11937585.85</v>
      </c>
      <c r="I126" s="2" t="s">
        <v>777</v>
      </c>
      <c r="J126" s="3" t="s">
        <v>29</v>
      </c>
      <c r="K126" s="1">
        <f>I127/1000</f>
        <v>79583.9038</v>
      </c>
    </row>
    <row r="127" s="1" customFormat="1" ht="14" spans="1:12">
      <c r="A127" s="2">
        <v>1260133</v>
      </c>
      <c r="B127" s="2" t="s">
        <v>778</v>
      </c>
      <c r="C127" s="3" t="s">
        <v>779</v>
      </c>
      <c r="D127" s="4">
        <v>1.18</v>
      </c>
      <c r="E127" s="4">
        <v>4947.52</v>
      </c>
      <c r="F127" s="4">
        <v>5852.92</v>
      </c>
      <c r="G127" s="4">
        <v>4947.52</v>
      </c>
      <c r="H127" s="4">
        <v>5852.92</v>
      </c>
      <c r="I127" s="4">
        <v>79583903.8</v>
      </c>
      <c r="J127" s="1" t="s">
        <v>780</v>
      </c>
      <c r="K127" s="10">
        <f>SUM(K125:K126)</f>
        <v>81109.2438</v>
      </c>
    </row>
    <row r="128" s="1" customFormat="1" ht="14" spans="1:12">
      <c r="A128" s="2">
        <v>1260135</v>
      </c>
      <c r="B128" s="2" t="s">
        <v>781</v>
      </c>
      <c r="C128" s="3" t="s">
        <v>45</v>
      </c>
      <c r="D128" s="4">
        <v>1396.18</v>
      </c>
      <c r="E128" s="4">
        <v>63.03</v>
      </c>
      <c r="F128" s="4">
        <v>88001.13</v>
      </c>
      <c r="G128" s="4">
        <v>63.03</v>
      </c>
      <c r="H128" s="4">
        <v>88001.13</v>
      </c>
    </row>
    <row r="129" s="1" customFormat="1" ht="14" spans="1:11">
      <c r="A129" s="2">
        <v>1260136</v>
      </c>
      <c r="B129" s="2" t="s">
        <v>782</v>
      </c>
      <c r="C129" s="3" t="s">
        <v>52</v>
      </c>
      <c r="D129" s="4">
        <v>34248.19</v>
      </c>
      <c r="E129" s="4">
        <v>0.3</v>
      </c>
      <c r="F129" s="4">
        <v>10274.44</v>
      </c>
      <c r="G129" s="4">
        <v>0.3</v>
      </c>
      <c r="H129" s="4">
        <v>10274.44</v>
      </c>
    </row>
    <row r="130" s="1" customFormat="1" ht="14" spans="1:11">
      <c r="A130" s="2">
        <v>1260139</v>
      </c>
      <c r="B130" s="2" t="s">
        <v>783</v>
      </c>
      <c r="C130" s="3" t="s">
        <v>52</v>
      </c>
      <c r="D130" s="4">
        <v>2618127.48</v>
      </c>
      <c r="E130" s="4">
        <v>0.17</v>
      </c>
      <c r="F130" s="4">
        <v>445081.67</v>
      </c>
      <c r="G130" s="4">
        <v>0.17</v>
      </c>
      <c r="H130" s="4">
        <v>445081.67</v>
      </c>
    </row>
    <row r="131" s="1" customFormat="1" ht="14" spans="1:11">
      <c r="A131" s="2">
        <v>1260141</v>
      </c>
      <c r="B131" s="2" t="s">
        <v>784</v>
      </c>
      <c r="C131" s="3" t="s">
        <v>52</v>
      </c>
      <c r="D131" s="4">
        <v>16487.58</v>
      </c>
      <c r="E131" s="4">
        <v>0.34</v>
      </c>
      <c r="F131" s="4">
        <v>5605.76</v>
      </c>
      <c r="G131" s="4">
        <v>0.34</v>
      </c>
      <c r="H131" s="4">
        <v>5605.76</v>
      </c>
    </row>
    <row r="132" s="1" customFormat="1" ht="14" spans="1:11">
      <c r="A132" s="2">
        <v>1270010</v>
      </c>
      <c r="B132" s="2" t="s">
        <v>785</v>
      </c>
      <c r="C132" s="3" t="s">
        <v>52</v>
      </c>
      <c r="D132" s="4">
        <v>206120.86</v>
      </c>
      <c r="E132" s="4">
        <v>3.43</v>
      </c>
      <c r="F132" s="4">
        <v>706994.94</v>
      </c>
      <c r="G132" s="4">
        <v>3.43</v>
      </c>
      <c r="H132" s="4">
        <v>706994.94</v>
      </c>
      <c r="I132" s="2" t="s">
        <v>785</v>
      </c>
      <c r="J132" s="3" t="s">
        <v>52</v>
      </c>
      <c r="K132" s="4">
        <v>206120.86</v>
      </c>
    </row>
    <row r="133" s="1" customFormat="1" ht="28" spans="1:11">
      <c r="A133" s="2">
        <v>1270011</v>
      </c>
      <c r="B133" s="2" t="s">
        <v>786</v>
      </c>
      <c r="C133" s="3" t="s">
        <v>52</v>
      </c>
      <c r="D133" s="4">
        <v>3660374.13</v>
      </c>
      <c r="E133" s="4">
        <v>3</v>
      </c>
      <c r="F133" s="4">
        <v>10981122.4</v>
      </c>
      <c r="G133" s="4">
        <v>3</v>
      </c>
      <c r="H133" s="4">
        <v>10981122.4</v>
      </c>
      <c r="I133" s="2" t="s">
        <v>786</v>
      </c>
      <c r="J133" s="3" t="s">
        <v>52</v>
      </c>
      <c r="K133" s="4">
        <v>3660374.13</v>
      </c>
    </row>
    <row r="134" s="1" customFormat="1" ht="14" spans="1:11">
      <c r="A134" s="2">
        <v>1270012</v>
      </c>
      <c r="B134" s="2" t="s">
        <v>787</v>
      </c>
      <c r="C134" s="3" t="s">
        <v>52</v>
      </c>
      <c r="D134" s="4">
        <v>318288.83</v>
      </c>
      <c r="E134" s="4">
        <v>3.43</v>
      </c>
      <c r="F134" s="4">
        <v>1091730.68</v>
      </c>
      <c r="G134" s="4">
        <v>3.43</v>
      </c>
      <c r="H134" s="4">
        <v>1091730.68</v>
      </c>
      <c r="I134" s="2" t="s">
        <v>787</v>
      </c>
      <c r="J134" s="3" t="s">
        <v>52</v>
      </c>
      <c r="K134" s="4">
        <v>318288.83</v>
      </c>
    </row>
    <row r="135" s="1" customFormat="1" ht="14" spans="1:11">
      <c r="A135" s="2">
        <v>1270015</v>
      </c>
      <c r="B135" s="2" t="s">
        <v>788</v>
      </c>
      <c r="C135" s="3" t="s">
        <v>52</v>
      </c>
      <c r="D135" s="4">
        <v>630081.06</v>
      </c>
      <c r="E135" s="4">
        <v>2.34</v>
      </c>
      <c r="F135" s="4">
        <v>1474389.62</v>
      </c>
      <c r="G135" s="4">
        <v>2.34</v>
      </c>
      <c r="H135" s="4">
        <v>1474389.62</v>
      </c>
      <c r="I135" s="2" t="s">
        <v>788</v>
      </c>
      <c r="J135" s="3" t="s">
        <v>52</v>
      </c>
      <c r="K135" s="4">
        <v>630081.06</v>
      </c>
    </row>
    <row r="136" s="1" customFormat="1" ht="14" spans="1:11">
      <c r="A136" s="2">
        <v>1270016</v>
      </c>
      <c r="B136" s="2" t="s">
        <v>789</v>
      </c>
      <c r="C136" s="3" t="s">
        <v>52</v>
      </c>
      <c r="D136" s="4">
        <v>11001.86</v>
      </c>
      <c r="E136" s="4">
        <v>1.29</v>
      </c>
      <c r="F136" s="4">
        <v>14192.41</v>
      </c>
      <c r="G136" s="4">
        <v>1.29</v>
      </c>
      <c r="H136" s="4">
        <v>14192.41</v>
      </c>
      <c r="I136" s="2" t="s">
        <v>790</v>
      </c>
      <c r="J136" s="3" t="s">
        <v>52</v>
      </c>
      <c r="K136" s="4">
        <v>203522.13</v>
      </c>
    </row>
    <row r="137" s="1" customFormat="1" ht="14" spans="1:11">
      <c r="A137" s="2">
        <v>1270017</v>
      </c>
      <c r="B137" s="2" t="s">
        <v>790</v>
      </c>
      <c r="C137" s="3" t="s">
        <v>52</v>
      </c>
      <c r="D137" s="4">
        <v>203522.13</v>
      </c>
      <c r="E137" s="4">
        <v>4.12</v>
      </c>
      <c r="F137" s="4">
        <v>838511.17</v>
      </c>
      <c r="G137" s="4">
        <v>4.12</v>
      </c>
      <c r="H137" s="4">
        <v>838511.17</v>
      </c>
      <c r="J137" s="1" t="s">
        <v>791</v>
      </c>
      <c r="K137" s="1">
        <f>SUM(K132:K136)</f>
        <v>5018387.01</v>
      </c>
    </row>
    <row r="138" s="1" customFormat="1" ht="14" spans="1:11">
      <c r="A138" s="2">
        <v>1270020</v>
      </c>
      <c r="B138" s="2" t="s">
        <v>792</v>
      </c>
      <c r="C138" s="3" t="s">
        <v>52</v>
      </c>
      <c r="D138" s="4">
        <v>3657.63</v>
      </c>
      <c r="E138" s="4">
        <v>1.35</v>
      </c>
      <c r="F138" s="4">
        <v>4937.79</v>
      </c>
      <c r="G138" s="4">
        <v>1.35</v>
      </c>
      <c r="H138" s="4">
        <v>4937.79</v>
      </c>
    </row>
    <row r="139" s="1" customFormat="1" ht="14" spans="1:11">
      <c r="A139" s="2">
        <v>1280006</v>
      </c>
      <c r="B139" s="2" t="s">
        <v>793</v>
      </c>
      <c r="C139" s="3" t="s">
        <v>52</v>
      </c>
      <c r="D139" s="4">
        <v>13007.06</v>
      </c>
      <c r="E139" s="4">
        <v>25.42</v>
      </c>
      <c r="F139" s="4">
        <v>330639.47</v>
      </c>
      <c r="G139" s="4">
        <v>25.42</v>
      </c>
      <c r="H139" s="4">
        <v>330639.47</v>
      </c>
    </row>
    <row r="140" s="1" customFormat="1" ht="14" spans="1:11">
      <c r="A140" s="2">
        <v>1280008</v>
      </c>
      <c r="B140" s="2" t="s">
        <v>794</v>
      </c>
      <c r="C140" s="3" t="s">
        <v>52</v>
      </c>
      <c r="D140" s="4">
        <v>210.94</v>
      </c>
      <c r="E140" s="4">
        <v>14.76</v>
      </c>
      <c r="F140" s="4">
        <v>3113.39</v>
      </c>
      <c r="G140" s="4">
        <v>14.76</v>
      </c>
      <c r="H140" s="4">
        <v>3113.39</v>
      </c>
    </row>
    <row r="141" s="1" customFormat="1" ht="14" spans="1:11">
      <c r="A141" s="2">
        <v>1280009</v>
      </c>
      <c r="B141" s="2" t="s">
        <v>795</v>
      </c>
      <c r="C141" s="3" t="s">
        <v>52</v>
      </c>
      <c r="D141" s="4">
        <v>651.63</v>
      </c>
      <c r="E141" s="4">
        <v>5.57</v>
      </c>
      <c r="F141" s="4">
        <v>3629.54</v>
      </c>
      <c r="G141" s="4">
        <v>5.57</v>
      </c>
      <c r="H141" s="4">
        <v>3629.54</v>
      </c>
    </row>
    <row r="142" s="1" customFormat="1" ht="14" spans="1:11">
      <c r="A142" s="2">
        <v>1280010</v>
      </c>
      <c r="B142" s="2" t="s">
        <v>796</v>
      </c>
      <c r="C142" s="3" t="s">
        <v>797</v>
      </c>
      <c r="D142" s="4">
        <v>491.42</v>
      </c>
      <c r="E142" s="4">
        <v>8.57</v>
      </c>
      <c r="F142" s="4">
        <v>4211.53</v>
      </c>
      <c r="G142" s="4">
        <v>8.57</v>
      </c>
      <c r="H142" s="4">
        <v>4211.53</v>
      </c>
    </row>
    <row r="143" s="1" customFormat="1" ht="14" spans="1:11">
      <c r="A143" s="2">
        <v>1280014</v>
      </c>
      <c r="B143" s="2" t="s">
        <v>798</v>
      </c>
      <c r="C143" s="3" t="s">
        <v>52</v>
      </c>
      <c r="D143" s="4">
        <v>55.2</v>
      </c>
      <c r="E143" s="4">
        <v>14.23</v>
      </c>
      <c r="F143" s="4">
        <v>785.5</v>
      </c>
      <c r="G143" s="4">
        <v>14.23</v>
      </c>
      <c r="H143" s="4">
        <v>785.5</v>
      </c>
    </row>
    <row r="144" s="1" customFormat="1" ht="14" spans="1:11">
      <c r="A144" s="2">
        <v>1280016</v>
      </c>
      <c r="B144" s="2" t="s">
        <v>799</v>
      </c>
      <c r="C144" s="3" t="s">
        <v>52</v>
      </c>
      <c r="D144" s="4">
        <v>19</v>
      </c>
      <c r="E144" s="4">
        <v>9.17</v>
      </c>
      <c r="F144" s="4">
        <v>174.23</v>
      </c>
      <c r="G144" s="4">
        <v>9.17</v>
      </c>
      <c r="H144" s="4">
        <v>174.23</v>
      </c>
    </row>
    <row r="145" s="1" customFormat="1" ht="14" spans="1:8">
      <c r="A145" s="2">
        <v>1280018</v>
      </c>
      <c r="B145" s="2" t="s">
        <v>800</v>
      </c>
      <c r="C145" s="3" t="s">
        <v>52</v>
      </c>
      <c r="D145" s="4">
        <v>113.4</v>
      </c>
      <c r="E145" s="4">
        <v>21.44</v>
      </c>
      <c r="F145" s="4">
        <v>2431.3</v>
      </c>
      <c r="G145" s="4">
        <v>21.44</v>
      </c>
      <c r="H145" s="4">
        <v>2431.3</v>
      </c>
    </row>
    <row r="146" s="1" customFormat="1" ht="14" spans="1:8">
      <c r="A146" s="2">
        <v>1280019</v>
      </c>
      <c r="B146" s="2" t="s">
        <v>801</v>
      </c>
      <c r="C146" s="3" t="s">
        <v>52</v>
      </c>
      <c r="D146" s="4">
        <v>25.62</v>
      </c>
      <c r="E146" s="4">
        <v>25.72</v>
      </c>
      <c r="F146" s="4">
        <v>658.94</v>
      </c>
      <c r="G146" s="4">
        <v>25.72</v>
      </c>
      <c r="H146" s="4">
        <v>658.94</v>
      </c>
    </row>
    <row r="147" s="1" customFormat="1" ht="14" spans="1:8">
      <c r="A147" s="2">
        <v>1280020</v>
      </c>
      <c r="B147" s="2" t="s">
        <v>802</v>
      </c>
      <c r="C147" s="3" t="s">
        <v>52</v>
      </c>
      <c r="D147" s="4">
        <v>519.53</v>
      </c>
      <c r="E147" s="4">
        <v>28.3</v>
      </c>
      <c r="F147" s="4">
        <v>14702.86</v>
      </c>
      <c r="G147" s="4">
        <v>28.3</v>
      </c>
      <c r="H147" s="4">
        <v>14702.86</v>
      </c>
    </row>
    <row r="148" s="1" customFormat="1" ht="14" spans="1:8">
      <c r="A148" s="2">
        <v>1280024</v>
      </c>
      <c r="B148" s="2" t="s">
        <v>803</v>
      </c>
      <c r="C148" s="3" t="s">
        <v>52</v>
      </c>
      <c r="D148" s="4">
        <v>1535.9</v>
      </c>
      <c r="E148" s="4">
        <v>32.24</v>
      </c>
      <c r="F148" s="4">
        <v>49517.26</v>
      </c>
      <c r="G148" s="4">
        <v>32.24</v>
      </c>
      <c r="H148" s="4">
        <v>49517.26</v>
      </c>
    </row>
    <row r="149" s="1" customFormat="1" ht="14" spans="1:8">
      <c r="A149" s="2">
        <v>1280025</v>
      </c>
      <c r="B149" s="2" t="s">
        <v>804</v>
      </c>
      <c r="C149" s="3" t="s">
        <v>52</v>
      </c>
      <c r="D149" s="4">
        <v>275.63</v>
      </c>
      <c r="E149" s="4">
        <v>20.24</v>
      </c>
      <c r="F149" s="4">
        <v>5578.86</v>
      </c>
      <c r="G149" s="4">
        <v>20.24</v>
      </c>
      <c r="H149" s="4">
        <v>5578.86</v>
      </c>
    </row>
    <row r="150" s="1" customFormat="1" ht="14" spans="1:8">
      <c r="A150" s="2">
        <v>1280026</v>
      </c>
      <c r="B150" s="2" t="s">
        <v>805</v>
      </c>
      <c r="C150" s="3" t="s">
        <v>52</v>
      </c>
      <c r="D150" s="4">
        <v>345.5</v>
      </c>
      <c r="E150" s="4">
        <v>13.92</v>
      </c>
      <c r="F150" s="4">
        <v>4809.23</v>
      </c>
      <c r="G150" s="4">
        <v>13.92</v>
      </c>
      <c r="H150" s="4">
        <v>4809.23</v>
      </c>
    </row>
    <row r="151" s="1" customFormat="1" ht="14" spans="1:8">
      <c r="A151" s="2">
        <v>1280027</v>
      </c>
      <c r="B151" s="2" t="s">
        <v>806</v>
      </c>
      <c r="C151" s="3" t="s">
        <v>52</v>
      </c>
      <c r="D151" s="4">
        <v>2686.19</v>
      </c>
      <c r="E151" s="4">
        <v>1.8</v>
      </c>
      <c r="F151" s="4">
        <v>4835.14</v>
      </c>
      <c r="G151" s="4">
        <v>1.8</v>
      </c>
      <c r="H151" s="4">
        <v>4835.14</v>
      </c>
    </row>
    <row r="152" s="1" customFormat="1" ht="14" spans="1:8">
      <c r="A152" s="2">
        <v>1280029</v>
      </c>
      <c r="B152" s="2" t="s">
        <v>807</v>
      </c>
      <c r="C152" s="3" t="s">
        <v>52</v>
      </c>
      <c r="D152" s="4">
        <v>21665.6</v>
      </c>
      <c r="E152" s="4">
        <v>2.66</v>
      </c>
      <c r="F152" s="4">
        <v>57630.5</v>
      </c>
      <c r="G152" s="4">
        <v>2.66</v>
      </c>
      <c r="H152" s="4">
        <v>57630.5</v>
      </c>
    </row>
    <row r="153" s="1" customFormat="1" ht="14" spans="1:8">
      <c r="A153" s="2">
        <v>1280036</v>
      </c>
      <c r="B153" s="2" t="s">
        <v>808</v>
      </c>
      <c r="C153" s="3" t="s">
        <v>52</v>
      </c>
      <c r="D153" s="4">
        <v>48745.81</v>
      </c>
      <c r="E153" s="4">
        <v>11.15</v>
      </c>
      <c r="F153" s="4">
        <v>543515.79</v>
      </c>
      <c r="G153" s="4">
        <v>11.15</v>
      </c>
      <c r="H153" s="4">
        <v>543515.79</v>
      </c>
    </row>
    <row r="154" s="1" customFormat="1" ht="14" spans="1:8">
      <c r="A154" s="2">
        <v>1280037</v>
      </c>
      <c r="B154" s="2" t="s">
        <v>809</v>
      </c>
      <c r="C154" s="3" t="s">
        <v>52</v>
      </c>
      <c r="D154" s="4">
        <v>1208.31</v>
      </c>
      <c r="E154" s="4">
        <v>13.46</v>
      </c>
      <c r="F154" s="4">
        <v>16263.84</v>
      </c>
      <c r="G154" s="4">
        <v>13.46</v>
      </c>
      <c r="H154" s="4">
        <v>16263.84</v>
      </c>
    </row>
    <row r="155" s="1" customFormat="1" ht="14" spans="1:8">
      <c r="A155" s="2">
        <v>1280039</v>
      </c>
      <c r="B155" s="2" t="s">
        <v>810</v>
      </c>
      <c r="C155" s="3" t="s">
        <v>52</v>
      </c>
      <c r="D155" s="4">
        <v>172.32</v>
      </c>
      <c r="E155" s="4">
        <v>25.9</v>
      </c>
      <c r="F155" s="4">
        <v>4463.09</v>
      </c>
      <c r="G155" s="4">
        <v>25.9</v>
      </c>
      <c r="H155" s="4">
        <v>4463.09</v>
      </c>
    </row>
    <row r="156" s="1" customFormat="1" ht="14" spans="1:8">
      <c r="A156" s="2">
        <v>1280040</v>
      </c>
      <c r="B156" s="2" t="s">
        <v>811</v>
      </c>
      <c r="C156" s="3" t="s">
        <v>52</v>
      </c>
      <c r="D156" s="4">
        <v>2147.79</v>
      </c>
      <c r="E156" s="4">
        <v>42.87</v>
      </c>
      <c r="F156" s="4">
        <v>92075.37</v>
      </c>
      <c r="G156" s="4">
        <v>42.87</v>
      </c>
      <c r="H156" s="4">
        <v>92075.37</v>
      </c>
    </row>
    <row r="157" s="1" customFormat="1" ht="14" spans="1:8">
      <c r="A157" s="2">
        <v>1280041</v>
      </c>
      <c r="B157" s="2" t="s">
        <v>812</v>
      </c>
      <c r="C157" s="3" t="s">
        <v>52</v>
      </c>
      <c r="D157" s="4">
        <v>7357</v>
      </c>
      <c r="E157" s="4">
        <v>16.98</v>
      </c>
      <c r="F157" s="4">
        <v>124921.34</v>
      </c>
      <c r="G157" s="4">
        <v>16.98</v>
      </c>
      <c r="H157" s="4">
        <v>124921.34</v>
      </c>
    </row>
    <row r="158" s="1" customFormat="1" ht="14" spans="1:8">
      <c r="A158" s="2">
        <v>1280046</v>
      </c>
      <c r="B158" s="2" t="s">
        <v>813</v>
      </c>
      <c r="C158" s="3" t="s">
        <v>52</v>
      </c>
      <c r="D158" s="4">
        <v>907.9</v>
      </c>
      <c r="E158" s="4">
        <v>44.76</v>
      </c>
      <c r="F158" s="4">
        <v>40637.61</v>
      </c>
      <c r="G158" s="4">
        <v>44.76</v>
      </c>
      <c r="H158" s="4">
        <v>40637.61</v>
      </c>
    </row>
    <row r="159" s="1" customFormat="1" ht="14" spans="1:8">
      <c r="A159" s="2">
        <v>1280048</v>
      </c>
      <c r="B159" s="2" t="s">
        <v>814</v>
      </c>
      <c r="C159" s="3" t="s">
        <v>52</v>
      </c>
      <c r="D159" s="4">
        <v>8.3</v>
      </c>
      <c r="E159" s="4">
        <v>21.61</v>
      </c>
      <c r="F159" s="4">
        <v>179.37</v>
      </c>
      <c r="G159" s="4">
        <v>21.61</v>
      </c>
      <c r="H159" s="4">
        <v>179.37</v>
      </c>
    </row>
    <row r="160" s="1" customFormat="1" ht="14" spans="1:8">
      <c r="A160" s="2">
        <v>1280049</v>
      </c>
      <c r="B160" s="2" t="s">
        <v>815</v>
      </c>
      <c r="C160" s="3" t="s">
        <v>52</v>
      </c>
      <c r="D160" s="4">
        <v>11074.55</v>
      </c>
      <c r="E160" s="4">
        <v>68.77</v>
      </c>
      <c r="F160" s="4">
        <v>761596.81</v>
      </c>
      <c r="G160" s="4">
        <v>68.77</v>
      </c>
      <c r="H160" s="4">
        <v>761596.81</v>
      </c>
    </row>
    <row r="161" s="1" customFormat="1" ht="14" spans="1:11">
      <c r="A161" s="2">
        <v>1280050</v>
      </c>
      <c r="B161" s="2" t="s">
        <v>816</v>
      </c>
      <c r="C161" s="3" t="s">
        <v>52</v>
      </c>
      <c r="D161" s="4">
        <v>19088.94</v>
      </c>
      <c r="E161" s="4">
        <v>3.6</v>
      </c>
      <c r="F161" s="4">
        <v>68720.2</v>
      </c>
      <c r="G161" s="4">
        <v>3.6</v>
      </c>
      <c r="H161" s="4">
        <v>68720.2</v>
      </c>
    </row>
    <row r="162" s="1" customFormat="1" ht="14" spans="1:11">
      <c r="A162" s="2">
        <v>1280055</v>
      </c>
      <c r="B162" s="2" t="s">
        <v>817</v>
      </c>
      <c r="C162" s="3" t="s">
        <v>52</v>
      </c>
      <c r="D162" s="4">
        <v>2254.84</v>
      </c>
      <c r="E162" s="4">
        <v>17.15</v>
      </c>
      <c r="F162" s="4">
        <v>38670.44</v>
      </c>
      <c r="G162" s="4">
        <v>17.15</v>
      </c>
      <c r="H162" s="4">
        <v>38670.44</v>
      </c>
    </row>
    <row r="163" s="1" customFormat="1" ht="14" spans="1:11">
      <c r="A163" s="2">
        <v>1280058</v>
      </c>
      <c r="B163" s="2" t="s">
        <v>818</v>
      </c>
      <c r="C163" s="3" t="s">
        <v>52</v>
      </c>
      <c r="D163" s="4">
        <v>0.71</v>
      </c>
      <c r="E163" s="4">
        <v>41.16</v>
      </c>
      <c r="F163" s="4">
        <v>29.39</v>
      </c>
      <c r="G163" s="4">
        <v>41.16</v>
      </c>
      <c r="H163" s="4">
        <v>29.39</v>
      </c>
    </row>
    <row r="164" s="1" customFormat="1" ht="14" spans="1:11">
      <c r="A164" s="2">
        <v>1280060</v>
      </c>
      <c r="B164" s="2" t="s">
        <v>819</v>
      </c>
      <c r="C164" s="3" t="s">
        <v>52</v>
      </c>
      <c r="D164" s="4">
        <v>7068.72</v>
      </c>
      <c r="E164" s="4">
        <v>1.44</v>
      </c>
      <c r="F164" s="4">
        <v>10178.97</v>
      </c>
      <c r="G164" s="4">
        <v>1.44</v>
      </c>
      <c r="H164" s="4">
        <v>10178.97</v>
      </c>
    </row>
    <row r="165" s="1" customFormat="1" ht="14" spans="1:11">
      <c r="A165" s="2">
        <v>1280061</v>
      </c>
      <c r="B165" s="2" t="s">
        <v>820</v>
      </c>
      <c r="C165" s="3" t="s">
        <v>45</v>
      </c>
      <c r="D165" s="4">
        <v>168.57</v>
      </c>
      <c r="E165" s="4">
        <v>432.16</v>
      </c>
      <c r="F165" s="4">
        <v>72858.34</v>
      </c>
      <c r="G165" s="4">
        <v>432.16</v>
      </c>
      <c r="H165" s="4">
        <v>72858.34</v>
      </c>
    </row>
    <row r="166" s="1" customFormat="1" ht="14" spans="1:11">
      <c r="A166" s="2">
        <v>1280069</v>
      </c>
      <c r="B166" s="2" t="s">
        <v>821</v>
      </c>
      <c r="C166" s="3" t="s">
        <v>52</v>
      </c>
      <c r="D166" s="4">
        <v>78799.95</v>
      </c>
      <c r="E166" s="4">
        <v>5.49</v>
      </c>
      <c r="F166" s="4">
        <v>432611.68</v>
      </c>
      <c r="G166" s="4">
        <v>5.49</v>
      </c>
      <c r="H166" s="4">
        <v>432611.68</v>
      </c>
    </row>
    <row r="167" s="1" customFormat="1" ht="14" spans="1:11">
      <c r="A167" s="2">
        <v>1280071</v>
      </c>
      <c r="B167" s="2" t="s">
        <v>822</v>
      </c>
      <c r="C167" s="3" t="s">
        <v>29</v>
      </c>
      <c r="D167" s="4">
        <v>93.08</v>
      </c>
      <c r="E167" s="4">
        <v>236.01</v>
      </c>
      <c r="F167" s="4">
        <v>21966.63</v>
      </c>
      <c r="G167" s="4">
        <v>236.01</v>
      </c>
      <c r="H167" s="4">
        <v>21966.63</v>
      </c>
    </row>
    <row r="168" s="1" customFormat="1" ht="14" spans="1:11">
      <c r="A168" s="2">
        <v>1280081</v>
      </c>
      <c r="B168" s="2" t="s">
        <v>823</v>
      </c>
      <c r="C168" s="3" t="s">
        <v>824</v>
      </c>
      <c r="D168" s="4">
        <v>1145.92</v>
      </c>
      <c r="E168" s="4">
        <v>12.86</v>
      </c>
      <c r="F168" s="4">
        <v>14736.53</v>
      </c>
      <c r="G168" s="4">
        <v>12.86</v>
      </c>
      <c r="H168" s="4">
        <v>14736.53</v>
      </c>
    </row>
    <row r="169" s="1" customFormat="1" ht="14" spans="1:11">
      <c r="A169" s="2">
        <v>1280086</v>
      </c>
      <c r="B169" s="2" t="s">
        <v>825</v>
      </c>
      <c r="C169" s="3" t="s">
        <v>52</v>
      </c>
      <c r="D169" s="4">
        <v>5654</v>
      </c>
      <c r="E169" s="4">
        <v>29.15</v>
      </c>
      <c r="F169" s="4">
        <v>164814.1</v>
      </c>
      <c r="G169" s="4">
        <v>29.15</v>
      </c>
      <c r="H169" s="4">
        <v>164814.1</v>
      </c>
    </row>
    <row r="170" s="1" customFormat="1" ht="14" spans="1:11">
      <c r="A170" s="2">
        <v>1280090</v>
      </c>
      <c r="B170" s="2" t="s">
        <v>826</v>
      </c>
      <c r="C170" s="3" t="s">
        <v>52</v>
      </c>
      <c r="D170" s="4">
        <v>14695.06</v>
      </c>
      <c r="E170" s="4">
        <v>8.73</v>
      </c>
      <c r="F170" s="4">
        <v>128287.85</v>
      </c>
      <c r="G170" s="4">
        <v>8.73</v>
      </c>
      <c r="H170" s="4">
        <v>128287.85</v>
      </c>
    </row>
    <row r="171" s="1" customFormat="1" ht="14" spans="1:11">
      <c r="A171" s="2">
        <v>1280091</v>
      </c>
      <c r="B171" s="2" t="s">
        <v>827</v>
      </c>
      <c r="C171" s="3" t="s">
        <v>52</v>
      </c>
      <c r="D171" s="4">
        <v>99573.26</v>
      </c>
      <c r="E171" s="4">
        <v>1.54</v>
      </c>
      <c r="F171" s="4">
        <v>153342.83</v>
      </c>
      <c r="G171" s="4">
        <v>1.54</v>
      </c>
      <c r="H171" s="4">
        <v>153342.83</v>
      </c>
    </row>
    <row r="172" s="1" customFormat="1" ht="14" spans="1:11">
      <c r="A172" s="2">
        <v>1280092</v>
      </c>
      <c r="B172" s="2" t="s">
        <v>828</v>
      </c>
      <c r="C172" s="3" t="s">
        <v>52</v>
      </c>
      <c r="D172" s="4">
        <v>484803.98</v>
      </c>
      <c r="E172" s="4">
        <v>2.4</v>
      </c>
      <c r="F172" s="4">
        <v>1163529.54</v>
      </c>
      <c r="G172" s="4">
        <v>2.4</v>
      </c>
      <c r="H172" s="4">
        <v>1163529.54</v>
      </c>
    </row>
    <row r="173" s="1" customFormat="1" ht="14" spans="1:11">
      <c r="A173" s="2">
        <v>1280093</v>
      </c>
      <c r="B173" s="2" t="s">
        <v>829</v>
      </c>
      <c r="C173" s="3" t="s">
        <v>52</v>
      </c>
      <c r="D173" s="4">
        <v>1271.67</v>
      </c>
      <c r="E173" s="4">
        <v>1.17</v>
      </c>
      <c r="F173" s="4">
        <v>1487.86</v>
      </c>
      <c r="G173" s="4">
        <v>1.17</v>
      </c>
      <c r="H173" s="4">
        <v>1487.86</v>
      </c>
    </row>
    <row r="174" s="1" customFormat="1" ht="14" spans="1:11">
      <c r="A174" s="2">
        <v>1280096</v>
      </c>
      <c r="B174" s="2" t="s">
        <v>830</v>
      </c>
      <c r="C174" s="3" t="s">
        <v>52</v>
      </c>
      <c r="D174" s="4">
        <v>10440.87</v>
      </c>
      <c r="E174" s="4">
        <v>2.4</v>
      </c>
      <c r="F174" s="4">
        <v>25058.08</v>
      </c>
      <c r="G174" s="4">
        <v>2.4</v>
      </c>
      <c r="H174" s="4">
        <v>25058.08</v>
      </c>
    </row>
    <row r="175" s="1" customFormat="1" ht="14" spans="1:11">
      <c r="A175" s="2">
        <v>1280099</v>
      </c>
      <c r="B175" s="2" t="s">
        <v>831</v>
      </c>
      <c r="C175" s="3" t="s">
        <v>45</v>
      </c>
      <c r="D175" s="4">
        <v>26.27</v>
      </c>
      <c r="E175" s="4">
        <v>557.35</v>
      </c>
      <c r="F175" s="4">
        <v>14641.6</v>
      </c>
      <c r="G175" s="4">
        <v>557.35</v>
      </c>
      <c r="H175" s="4">
        <v>14641.6</v>
      </c>
    </row>
    <row r="176" s="1" customFormat="1" ht="14" spans="1:11">
      <c r="A176" s="2">
        <v>1280100</v>
      </c>
      <c r="B176" s="2" t="s">
        <v>832</v>
      </c>
      <c r="C176" s="3" t="s">
        <v>52</v>
      </c>
      <c r="D176" s="4">
        <v>3297.54</v>
      </c>
      <c r="E176" s="4">
        <v>1.5</v>
      </c>
      <c r="F176" s="4">
        <v>4946.31</v>
      </c>
      <c r="G176" s="4">
        <v>1.5</v>
      </c>
      <c r="H176" s="4">
        <v>4946.31</v>
      </c>
      <c r="I176" s="2" t="s">
        <v>833</v>
      </c>
      <c r="J176" s="3" t="s">
        <v>32</v>
      </c>
      <c r="K176" s="4">
        <v>716.53</v>
      </c>
    </row>
    <row r="177" s="1" customFormat="1" ht="14" spans="1:11">
      <c r="A177" s="2">
        <v>1300001</v>
      </c>
      <c r="B177" s="2" t="s">
        <v>834</v>
      </c>
      <c r="C177" s="3" t="s">
        <v>32</v>
      </c>
      <c r="D177" s="4">
        <v>19494.27</v>
      </c>
      <c r="E177" s="4">
        <v>305.59</v>
      </c>
      <c r="F177" s="4">
        <v>5957260.41</v>
      </c>
      <c r="G177" s="4">
        <v>450</v>
      </c>
      <c r="H177" s="4">
        <v>9152293.85</v>
      </c>
      <c r="I177" s="2" t="s">
        <v>834</v>
      </c>
      <c r="J177" s="3" t="s">
        <v>32</v>
      </c>
      <c r="K177" s="4">
        <v>19494.27</v>
      </c>
    </row>
    <row r="178" s="1" customFormat="1" ht="14" spans="1:11">
      <c r="A178" s="2">
        <v>1300066</v>
      </c>
      <c r="B178" s="2" t="s">
        <v>835</v>
      </c>
      <c r="C178" s="3" t="s">
        <v>32</v>
      </c>
      <c r="D178" s="4">
        <v>212.42</v>
      </c>
      <c r="E178" s="4">
        <v>375.24</v>
      </c>
      <c r="F178" s="4">
        <v>79708.46</v>
      </c>
      <c r="G178" s="4">
        <v>375.24</v>
      </c>
      <c r="H178" s="4">
        <v>79708.46</v>
      </c>
      <c r="I178" s="2" t="s">
        <v>835</v>
      </c>
      <c r="J178" s="3" t="s">
        <v>32</v>
      </c>
      <c r="K178" s="4">
        <v>212.42</v>
      </c>
    </row>
    <row r="179" s="1" customFormat="1" ht="14" spans="1:11">
      <c r="A179" s="2">
        <v>1300068</v>
      </c>
      <c r="B179" s="2" t="s">
        <v>836</v>
      </c>
      <c r="C179" s="3" t="s">
        <v>32</v>
      </c>
      <c r="D179" s="4">
        <v>124.76</v>
      </c>
      <c r="E179" s="4">
        <v>475.36</v>
      </c>
      <c r="F179" s="4">
        <v>59300.25</v>
      </c>
      <c r="G179" s="4">
        <v>475.36</v>
      </c>
      <c r="H179" s="4">
        <v>59300.25</v>
      </c>
      <c r="I179" s="2" t="s">
        <v>836</v>
      </c>
      <c r="J179" s="3" t="s">
        <v>32</v>
      </c>
      <c r="K179" s="4">
        <v>124.76</v>
      </c>
    </row>
    <row r="180" s="1" customFormat="1" ht="14" spans="1:11">
      <c r="A180" s="2">
        <v>1300071</v>
      </c>
      <c r="B180" s="2" t="s">
        <v>837</v>
      </c>
      <c r="C180" s="3" t="s">
        <v>45</v>
      </c>
      <c r="D180" s="4">
        <v>10338.72</v>
      </c>
      <c r="E180" s="4">
        <v>231.78</v>
      </c>
      <c r="F180" s="4">
        <v>2396305.04</v>
      </c>
      <c r="G180" s="4">
        <v>231.78</v>
      </c>
      <c r="H180" s="4">
        <v>2396305.04</v>
      </c>
      <c r="J180" s="1" t="s">
        <v>838</v>
      </c>
      <c r="K180" s="1">
        <f>SUM(K176:K179)</f>
        <v>20547.98</v>
      </c>
    </row>
    <row r="181" s="1" customFormat="1" ht="14" spans="1:11">
      <c r="A181" s="2">
        <v>1300072</v>
      </c>
      <c r="B181" s="2" t="s">
        <v>839</v>
      </c>
      <c r="C181" s="3" t="s">
        <v>45</v>
      </c>
      <c r="D181" s="4">
        <v>12180.23</v>
      </c>
      <c r="E181" s="4">
        <v>103.01</v>
      </c>
      <c r="F181" s="4">
        <v>1254685.11</v>
      </c>
      <c r="G181" s="4">
        <v>103.01</v>
      </c>
      <c r="H181" s="4">
        <v>1254685.11</v>
      </c>
    </row>
    <row r="182" s="1" customFormat="1" ht="14" spans="1:11">
      <c r="A182" s="2">
        <v>1300074</v>
      </c>
      <c r="B182" s="2" t="s">
        <v>840</v>
      </c>
      <c r="C182" s="3" t="s">
        <v>45</v>
      </c>
      <c r="D182" s="4">
        <v>1099.55</v>
      </c>
      <c r="E182" s="4">
        <v>180.27</v>
      </c>
      <c r="F182" s="4">
        <v>198214.99</v>
      </c>
      <c r="G182" s="4">
        <v>180.27</v>
      </c>
      <c r="H182" s="4">
        <v>198214.99</v>
      </c>
    </row>
    <row r="183" s="1" customFormat="1" ht="14" spans="1:11">
      <c r="A183" s="2">
        <v>1300085</v>
      </c>
      <c r="B183" s="2" t="s">
        <v>833</v>
      </c>
      <c r="C183" s="3" t="s">
        <v>32</v>
      </c>
      <c r="D183" s="4">
        <v>716.53</v>
      </c>
      <c r="E183" s="4">
        <v>223.13</v>
      </c>
      <c r="F183" s="4">
        <v>159878.44</v>
      </c>
      <c r="G183" s="4">
        <v>223.13</v>
      </c>
      <c r="H183" s="4">
        <v>159878.44</v>
      </c>
    </row>
    <row r="184" s="1" customFormat="1" ht="14" spans="1:11">
      <c r="A184" s="2">
        <v>1300202</v>
      </c>
      <c r="B184" s="2" t="s">
        <v>841</v>
      </c>
      <c r="C184" s="3" t="s">
        <v>679</v>
      </c>
      <c r="D184" s="4">
        <v>9.9</v>
      </c>
      <c r="E184" s="4">
        <v>28.54</v>
      </c>
      <c r="F184" s="4">
        <v>282.9</v>
      </c>
      <c r="G184" s="4">
        <v>28.54</v>
      </c>
      <c r="H184" s="4">
        <v>282.9</v>
      </c>
    </row>
    <row r="185" s="1" customFormat="1" ht="14" spans="1:11">
      <c r="A185" s="2">
        <v>1300203</v>
      </c>
      <c r="B185" s="2" t="s">
        <v>842</v>
      </c>
      <c r="C185" s="3" t="s">
        <v>843</v>
      </c>
      <c r="D185" s="4">
        <v>6497.26</v>
      </c>
      <c r="E185" s="4">
        <v>1.75</v>
      </c>
      <c r="F185" s="4">
        <v>11370.27</v>
      </c>
      <c r="G185" s="4">
        <v>1.75</v>
      </c>
      <c r="H185" s="4">
        <v>11370.27</v>
      </c>
    </row>
    <row r="186" s="1" customFormat="1" ht="14" spans="1:11">
      <c r="A186" s="2">
        <v>1300206</v>
      </c>
      <c r="B186" s="2" t="s">
        <v>844</v>
      </c>
      <c r="C186" s="3" t="s">
        <v>679</v>
      </c>
      <c r="D186" s="4">
        <v>196.63</v>
      </c>
      <c r="E186" s="4">
        <v>21.18</v>
      </c>
      <c r="F186" s="4">
        <v>4164.48</v>
      </c>
      <c r="G186" s="4">
        <v>21.18</v>
      </c>
      <c r="H186" s="4">
        <v>4164.48</v>
      </c>
    </row>
    <row r="187" s="1" customFormat="1" ht="14" spans="1:11">
      <c r="A187" s="2">
        <v>1300223</v>
      </c>
      <c r="B187" s="2" t="s">
        <v>845</v>
      </c>
      <c r="C187" s="3" t="s">
        <v>679</v>
      </c>
      <c r="D187" s="4">
        <v>50.96</v>
      </c>
      <c r="E187" s="4">
        <v>15.2</v>
      </c>
      <c r="F187" s="4">
        <v>774.58</v>
      </c>
      <c r="G187" s="4">
        <v>15.2</v>
      </c>
      <c r="H187" s="4">
        <v>774.58</v>
      </c>
    </row>
    <row r="188" s="1" customFormat="1" ht="14" spans="1:11">
      <c r="A188" s="2">
        <v>1300230</v>
      </c>
      <c r="B188" s="2" t="s">
        <v>846</v>
      </c>
      <c r="C188" s="3" t="s">
        <v>679</v>
      </c>
      <c r="D188" s="4">
        <v>504.11</v>
      </c>
      <c r="E188" s="4">
        <v>23.15</v>
      </c>
      <c r="F188" s="4">
        <v>11670.09</v>
      </c>
      <c r="G188" s="4">
        <v>23.15</v>
      </c>
      <c r="H188" s="4">
        <v>11670.09</v>
      </c>
    </row>
    <row r="189" s="1" customFormat="1" ht="14" spans="1:11">
      <c r="A189" s="2">
        <v>1300240</v>
      </c>
      <c r="B189" s="2" t="s">
        <v>847</v>
      </c>
      <c r="C189" s="3" t="s">
        <v>679</v>
      </c>
      <c r="D189" s="4">
        <v>151713</v>
      </c>
      <c r="E189" s="4">
        <v>14.87</v>
      </c>
      <c r="F189" s="4">
        <v>2255972.27</v>
      </c>
      <c r="G189" s="4">
        <v>14.87</v>
      </c>
      <c r="H189" s="4">
        <v>2255972.27</v>
      </c>
    </row>
    <row r="190" s="1" customFormat="1" ht="14" spans="1:11">
      <c r="A190" s="2">
        <v>1300244</v>
      </c>
      <c r="B190" s="2" t="s">
        <v>848</v>
      </c>
      <c r="C190" s="3" t="s">
        <v>679</v>
      </c>
      <c r="D190" s="4">
        <v>1926.02</v>
      </c>
      <c r="E190" s="4">
        <v>19.24</v>
      </c>
      <c r="F190" s="4">
        <v>37056.71</v>
      </c>
      <c r="G190" s="4">
        <v>19.24</v>
      </c>
      <c r="H190" s="4">
        <v>37056.71</v>
      </c>
    </row>
    <row r="191" s="1" customFormat="1" ht="14" spans="1:11">
      <c r="A191" s="2">
        <v>1300247</v>
      </c>
      <c r="B191" s="2" t="s">
        <v>849</v>
      </c>
      <c r="C191" s="3" t="s">
        <v>679</v>
      </c>
      <c r="D191" s="4">
        <v>139.2</v>
      </c>
      <c r="E191" s="4">
        <v>36.01</v>
      </c>
      <c r="F191" s="4">
        <v>5012.59</v>
      </c>
      <c r="G191" s="4">
        <v>36.01</v>
      </c>
      <c r="H191" s="4">
        <v>5012.59</v>
      </c>
    </row>
    <row r="192" s="1" customFormat="1" ht="14" spans="1:11">
      <c r="A192" s="2">
        <v>1300255</v>
      </c>
      <c r="B192" s="2" t="s">
        <v>850</v>
      </c>
      <c r="C192" s="3" t="s">
        <v>679</v>
      </c>
      <c r="D192" s="4">
        <v>22032.37</v>
      </c>
      <c r="E192" s="4">
        <v>81.46</v>
      </c>
      <c r="F192" s="4">
        <v>1794757.67</v>
      </c>
      <c r="G192" s="4">
        <v>81.46</v>
      </c>
      <c r="H192" s="4">
        <v>1794757.67</v>
      </c>
    </row>
    <row r="193" s="1" customFormat="1" ht="14" spans="1:8">
      <c r="A193" s="2">
        <v>1300262</v>
      </c>
      <c r="B193" s="2" t="s">
        <v>851</v>
      </c>
      <c r="C193" s="3" t="s">
        <v>679</v>
      </c>
      <c r="D193" s="4">
        <v>16916.61</v>
      </c>
      <c r="E193" s="4">
        <v>68.6</v>
      </c>
      <c r="F193" s="4">
        <v>1160480.06</v>
      </c>
      <c r="G193" s="4">
        <v>68.6</v>
      </c>
      <c r="H193" s="4">
        <v>1160480.06</v>
      </c>
    </row>
    <row r="194" s="1" customFormat="1" ht="14" spans="1:8">
      <c r="A194" s="2">
        <v>1300266</v>
      </c>
      <c r="B194" s="2" t="s">
        <v>852</v>
      </c>
      <c r="C194" s="3" t="s">
        <v>679</v>
      </c>
      <c r="D194" s="4">
        <v>7674.75</v>
      </c>
      <c r="E194" s="4">
        <v>39.07</v>
      </c>
      <c r="F194" s="4">
        <v>299852.37</v>
      </c>
      <c r="G194" s="4">
        <v>39.07</v>
      </c>
      <c r="H194" s="4">
        <v>299852.37</v>
      </c>
    </row>
    <row r="195" s="1" customFormat="1" ht="14" spans="1:8">
      <c r="A195" s="2">
        <v>1300268</v>
      </c>
      <c r="B195" s="2" t="s">
        <v>853</v>
      </c>
      <c r="C195" s="3" t="s">
        <v>679</v>
      </c>
      <c r="D195" s="4">
        <v>42647.54</v>
      </c>
      <c r="E195" s="4">
        <v>56.91</v>
      </c>
      <c r="F195" s="4">
        <v>2427071.13</v>
      </c>
      <c r="G195" s="4">
        <v>56.91</v>
      </c>
      <c r="H195" s="4">
        <v>2427071.13</v>
      </c>
    </row>
    <row r="196" s="1" customFormat="1" ht="14" spans="1:8">
      <c r="A196" s="2">
        <v>1300269</v>
      </c>
      <c r="B196" s="2" t="s">
        <v>854</v>
      </c>
      <c r="C196" s="3" t="s">
        <v>679</v>
      </c>
      <c r="D196" s="4">
        <v>4838.02</v>
      </c>
      <c r="E196" s="4">
        <v>84.41</v>
      </c>
      <c r="F196" s="4">
        <v>408377.26</v>
      </c>
      <c r="G196" s="4">
        <v>84.41</v>
      </c>
      <c r="H196" s="4">
        <v>408377.26</v>
      </c>
    </row>
    <row r="197" s="1" customFormat="1" ht="14" spans="1:8">
      <c r="A197" s="2">
        <v>1300453</v>
      </c>
      <c r="B197" s="2" t="s">
        <v>855</v>
      </c>
      <c r="C197" s="3" t="s">
        <v>679</v>
      </c>
      <c r="D197" s="4">
        <v>319.25</v>
      </c>
      <c r="E197" s="4">
        <v>23.5</v>
      </c>
      <c r="F197" s="4">
        <v>7502.39</v>
      </c>
      <c r="G197" s="4">
        <v>23.5</v>
      </c>
      <c r="H197" s="4">
        <v>7502.39</v>
      </c>
    </row>
    <row r="198" s="1" customFormat="1" ht="14" spans="1:8">
      <c r="A198" s="2">
        <v>1300454</v>
      </c>
      <c r="B198" s="2" t="s">
        <v>856</v>
      </c>
      <c r="C198" s="3" t="s">
        <v>679</v>
      </c>
      <c r="D198" s="4">
        <v>1107.72</v>
      </c>
      <c r="E198" s="4">
        <v>26.66</v>
      </c>
      <c r="F198" s="4">
        <v>29531.82</v>
      </c>
      <c r="G198" s="4">
        <v>26.66</v>
      </c>
      <c r="H198" s="4">
        <v>29531.82</v>
      </c>
    </row>
    <row r="199" s="1" customFormat="1" ht="14" spans="1:8">
      <c r="A199" s="2">
        <v>1310002</v>
      </c>
      <c r="B199" s="2" t="s">
        <v>857</v>
      </c>
      <c r="C199" s="3" t="s">
        <v>32</v>
      </c>
      <c r="D199" s="4">
        <v>119.86</v>
      </c>
      <c r="E199" s="4">
        <v>419.09</v>
      </c>
      <c r="F199" s="4">
        <v>50231.2</v>
      </c>
      <c r="G199" s="4">
        <v>419.09</v>
      </c>
      <c r="H199" s="4">
        <v>50231.2</v>
      </c>
    </row>
    <row r="200" s="1" customFormat="1" ht="14" spans="1:8">
      <c r="A200" s="2">
        <v>1310014</v>
      </c>
      <c r="B200" s="2" t="s">
        <v>858</v>
      </c>
      <c r="C200" s="3" t="s">
        <v>679</v>
      </c>
      <c r="D200" s="4">
        <v>42565.44</v>
      </c>
      <c r="E200" s="4">
        <v>17.32</v>
      </c>
      <c r="F200" s="4">
        <v>737233.62</v>
      </c>
      <c r="G200" s="4">
        <v>17.32</v>
      </c>
      <c r="H200" s="4">
        <v>737233.62</v>
      </c>
    </row>
    <row r="201" s="1" customFormat="1" ht="14" spans="1:8">
      <c r="A201" s="2">
        <v>1400004</v>
      </c>
      <c r="B201" s="2" t="s">
        <v>859</v>
      </c>
      <c r="C201" s="3" t="s">
        <v>472</v>
      </c>
      <c r="D201" s="4">
        <v>3</v>
      </c>
      <c r="E201" s="4">
        <v>31.59</v>
      </c>
      <c r="F201" s="4">
        <v>94.77</v>
      </c>
      <c r="G201" s="4">
        <v>37.52</v>
      </c>
      <c r="H201" s="4">
        <v>112.56</v>
      </c>
    </row>
    <row r="202" s="1" customFormat="1" ht="14" spans="1:8">
      <c r="A202" s="2">
        <v>1400007</v>
      </c>
      <c r="B202" s="2" t="s">
        <v>860</v>
      </c>
      <c r="C202" s="3" t="s">
        <v>472</v>
      </c>
      <c r="D202" s="4">
        <v>338</v>
      </c>
      <c r="E202" s="4">
        <v>52.11</v>
      </c>
      <c r="F202" s="4">
        <v>17613.18</v>
      </c>
      <c r="G202" s="4">
        <v>61.73</v>
      </c>
      <c r="H202" s="4">
        <v>20864.74</v>
      </c>
    </row>
    <row r="203" s="1" customFormat="1" ht="14" spans="1:8">
      <c r="A203" s="2">
        <v>1400009</v>
      </c>
      <c r="B203" s="2" t="s">
        <v>861</v>
      </c>
      <c r="C203" s="3" t="s">
        <v>472</v>
      </c>
      <c r="D203" s="4">
        <v>1845</v>
      </c>
      <c r="E203" s="4">
        <v>71</v>
      </c>
      <c r="F203" s="4">
        <v>130995</v>
      </c>
      <c r="G203" s="4">
        <v>84.61</v>
      </c>
      <c r="H203" s="4">
        <v>156105.45</v>
      </c>
    </row>
    <row r="204" s="1" customFormat="1" ht="14" spans="1:8">
      <c r="A204" s="2">
        <v>1400014</v>
      </c>
      <c r="B204" s="2" t="s">
        <v>862</v>
      </c>
      <c r="C204" s="3" t="s">
        <v>472</v>
      </c>
      <c r="D204" s="4">
        <v>12</v>
      </c>
      <c r="E204" s="4">
        <v>195.6</v>
      </c>
      <c r="F204" s="4">
        <v>2347.2</v>
      </c>
      <c r="G204" s="4">
        <v>233.25</v>
      </c>
      <c r="H204" s="4">
        <v>2799</v>
      </c>
    </row>
    <row r="205" s="1" customFormat="1" ht="14" spans="1:8">
      <c r="A205" s="2">
        <v>1400101</v>
      </c>
      <c r="B205" s="2" t="s">
        <v>863</v>
      </c>
      <c r="C205" s="3" t="s">
        <v>472</v>
      </c>
      <c r="D205" s="4">
        <v>40.4</v>
      </c>
      <c r="E205" s="4">
        <v>52.63</v>
      </c>
      <c r="F205" s="4">
        <v>2126.25</v>
      </c>
      <c r="G205" s="4">
        <v>62.53</v>
      </c>
      <c r="H205" s="4">
        <v>2526.21</v>
      </c>
    </row>
    <row r="206" s="1" customFormat="1" ht="14" spans="1:8">
      <c r="A206" s="2">
        <v>1400103</v>
      </c>
      <c r="B206" s="2" t="s">
        <v>864</v>
      </c>
      <c r="C206" s="3" t="s">
        <v>472</v>
      </c>
      <c r="D206" s="4">
        <v>10.1</v>
      </c>
      <c r="E206" s="4">
        <v>92.85</v>
      </c>
      <c r="F206" s="4">
        <v>937.79</v>
      </c>
      <c r="G206" s="4">
        <v>110.86</v>
      </c>
      <c r="H206" s="4">
        <v>1119.69</v>
      </c>
    </row>
    <row r="207" s="1" customFormat="1" ht="14" spans="1:8">
      <c r="A207" s="2">
        <v>1400105</v>
      </c>
      <c r="B207" s="2" t="s">
        <v>865</v>
      </c>
      <c r="C207" s="3" t="s">
        <v>472</v>
      </c>
      <c r="D207" s="4">
        <v>38</v>
      </c>
      <c r="E207" s="4">
        <v>126.46</v>
      </c>
      <c r="F207" s="4">
        <v>4805.48</v>
      </c>
      <c r="G207" s="4">
        <v>159.64</v>
      </c>
      <c r="H207" s="4">
        <v>6066.32</v>
      </c>
    </row>
    <row r="208" s="1" customFormat="1" ht="14" spans="1:8">
      <c r="A208" s="2">
        <v>1400106</v>
      </c>
      <c r="B208" s="2" t="s">
        <v>866</v>
      </c>
      <c r="C208" s="3" t="s">
        <v>472</v>
      </c>
      <c r="D208" s="4">
        <v>130</v>
      </c>
      <c r="E208" s="4">
        <v>165.41</v>
      </c>
      <c r="F208" s="4">
        <v>21503.3</v>
      </c>
      <c r="G208" s="4">
        <v>196.89</v>
      </c>
      <c r="H208" s="4">
        <v>25595.7</v>
      </c>
    </row>
    <row r="209" s="1" customFormat="1" ht="14" spans="1:8">
      <c r="A209" s="2">
        <v>1400108</v>
      </c>
      <c r="B209" s="2" t="s">
        <v>867</v>
      </c>
      <c r="C209" s="3" t="s">
        <v>472</v>
      </c>
      <c r="D209" s="4">
        <v>1662</v>
      </c>
      <c r="E209" s="4">
        <v>217.31</v>
      </c>
      <c r="F209" s="4">
        <v>361169.22</v>
      </c>
      <c r="G209" s="4">
        <v>258.97</v>
      </c>
      <c r="H209" s="4">
        <v>430408.14</v>
      </c>
    </row>
    <row r="210" s="1" customFormat="1" ht="14" spans="1:8">
      <c r="A210" s="2">
        <v>1402006</v>
      </c>
      <c r="B210" s="2" t="s">
        <v>868</v>
      </c>
      <c r="C210" s="3" t="s">
        <v>472</v>
      </c>
      <c r="D210" s="4">
        <v>1550</v>
      </c>
      <c r="E210" s="4">
        <v>34.63</v>
      </c>
      <c r="F210" s="4">
        <v>53676.5</v>
      </c>
      <c r="G210" s="4">
        <v>38.76</v>
      </c>
      <c r="H210" s="4">
        <v>60078</v>
      </c>
    </row>
    <row r="211" s="1" customFormat="1" ht="14" spans="1:8">
      <c r="A211" s="2">
        <v>1403003</v>
      </c>
      <c r="B211" s="2" t="s">
        <v>869</v>
      </c>
      <c r="C211" s="3" t="s">
        <v>472</v>
      </c>
      <c r="D211" s="4">
        <v>35</v>
      </c>
      <c r="E211" s="4">
        <v>109.01</v>
      </c>
      <c r="F211" s="4">
        <v>3815.35</v>
      </c>
      <c r="G211" s="4">
        <v>130.37</v>
      </c>
      <c r="H211" s="4">
        <v>4562.95</v>
      </c>
    </row>
    <row r="212" s="1" customFormat="1" ht="14" spans="1:8">
      <c r="A212" s="2">
        <v>1410009</v>
      </c>
      <c r="B212" s="2" t="s">
        <v>870</v>
      </c>
      <c r="C212" s="3" t="s">
        <v>725</v>
      </c>
      <c r="D212" s="4">
        <v>1464.06</v>
      </c>
      <c r="E212" s="4">
        <v>670.92</v>
      </c>
      <c r="F212" s="4">
        <v>982269.82</v>
      </c>
      <c r="G212" s="4">
        <v>895</v>
      </c>
      <c r="H212" s="4">
        <v>1310337.29</v>
      </c>
    </row>
    <row r="213" s="1" customFormat="1" ht="14" spans="1:8">
      <c r="A213" s="2">
        <v>1410012</v>
      </c>
      <c r="B213" s="2" t="s">
        <v>871</v>
      </c>
      <c r="C213" s="3" t="s">
        <v>725</v>
      </c>
      <c r="D213" s="4">
        <v>788.35</v>
      </c>
      <c r="E213" s="4">
        <v>1893.02</v>
      </c>
      <c r="F213" s="4">
        <v>1492349.07</v>
      </c>
      <c r="G213" s="4">
        <v>2542</v>
      </c>
      <c r="H213" s="4">
        <v>2003967.9</v>
      </c>
    </row>
    <row r="214" s="1" customFormat="1" ht="28" spans="1:8">
      <c r="A214" s="2">
        <v>1423501</v>
      </c>
      <c r="B214" s="2" t="s">
        <v>872</v>
      </c>
      <c r="C214" s="3" t="s">
        <v>824</v>
      </c>
      <c r="D214" s="4">
        <v>7655.8</v>
      </c>
      <c r="E214" s="4">
        <v>21.59</v>
      </c>
      <c r="F214" s="4">
        <v>165288.72</v>
      </c>
      <c r="G214" s="4">
        <v>21.59</v>
      </c>
      <c r="H214" s="4">
        <v>165288.72</v>
      </c>
    </row>
    <row r="215" s="1" customFormat="1" ht="28" spans="1:8">
      <c r="A215" s="2">
        <v>1423502</v>
      </c>
      <c r="B215" s="2" t="s">
        <v>873</v>
      </c>
      <c r="C215" s="3" t="s">
        <v>824</v>
      </c>
      <c r="D215" s="4">
        <v>18512.29</v>
      </c>
      <c r="E215" s="4">
        <v>24.86</v>
      </c>
      <c r="F215" s="4">
        <v>460215.54</v>
      </c>
      <c r="G215" s="4">
        <v>24.86</v>
      </c>
      <c r="H215" s="4">
        <v>460215.54</v>
      </c>
    </row>
    <row r="216" s="1" customFormat="1" ht="28" spans="1:8">
      <c r="A216" s="2">
        <v>1423504</v>
      </c>
      <c r="B216" s="2" t="s">
        <v>874</v>
      </c>
      <c r="C216" s="3" t="s">
        <v>725</v>
      </c>
      <c r="D216" s="4">
        <v>164734.5</v>
      </c>
      <c r="E216" s="4">
        <v>28.24</v>
      </c>
      <c r="F216" s="4">
        <v>4652102.28</v>
      </c>
      <c r="G216" s="4">
        <v>28.24</v>
      </c>
      <c r="H216" s="4">
        <v>4652102.28</v>
      </c>
    </row>
    <row r="217" s="1" customFormat="1" ht="14" spans="1:8">
      <c r="A217" s="2">
        <v>1423506</v>
      </c>
      <c r="B217" s="2" t="s">
        <v>875</v>
      </c>
      <c r="C217" s="3" t="s">
        <v>876</v>
      </c>
      <c r="D217" s="4">
        <v>238.36</v>
      </c>
      <c r="E217" s="4">
        <v>35.75</v>
      </c>
      <c r="F217" s="4">
        <v>8521.37</v>
      </c>
      <c r="G217" s="4">
        <v>35.75</v>
      </c>
      <c r="H217" s="4">
        <v>8521.37</v>
      </c>
    </row>
    <row r="218" s="1" customFormat="1" ht="14" spans="1:8">
      <c r="A218" s="2">
        <v>1423507</v>
      </c>
      <c r="B218" s="2" t="s">
        <v>877</v>
      </c>
      <c r="C218" s="3" t="s">
        <v>725</v>
      </c>
      <c r="D218" s="4">
        <v>34814.5</v>
      </c>
      <c r="E218" s="4">
        <v>32.17</v>
      </c>
      <c r="F218" s="4">
        <v>1119982.48</v>
      </c>
      <c r="G218" s="4">
        <v>32.17</v>
      </c>
      <c r="H218" s="4">
        <v>1119982.48</v>
      </c>
    </row>
    <row r="219" s="1" customFormat="1" ht="14" spans="1:8">
      <c r="A219" s="2">
        <v>1423508</v>
      </c>
      <c r="B219" s="2" t="s">
        <v>878</v>
      </c>
      <c r="C219" s="3" t="s">
        <v>843</v>
      </c>
      <c r="D219" s="4">
        <v>164734.5</v>
      </c>
      <c r="E219" s="4">
        <v>12.87</v>
      </c>
      <c r="F219" s="4">
        <v>2120133.03</v>
      </c>
      <c r="G219" s="4">
        <v>12.87</v>
      </c>
      <c r="H219" s="4">
        <v>2120133.03</v>
      </c>
    </row>
    <row r="220" s="1" customFormat="1" ht="14" spans="1:8">
      <c r="A220" s="2">
        <v>1423509</v>
      </c>
      <c r="B220" s="2" t="s">
        <v>879</v>
      </c>
      <c r="C220" s="3" t="s">
        <v>843</v>
      </c>
      <c r="D220" s="4">
        <v>14</v>
      </c>
      <c r="E220" s="4">
        <v>14.31</v>
      </c>
      <c r="F220" s="4">
        <v>200.34</v>
      </c>
      <c r="G220" s="4">
        <v>14.31</v>
      </c>
      <c r="H220" s="4">
        <v>200.34</v>
      </c>
    </row>
    <row r="221" s="1" customFormat="1" ht="14" spans="1:8">
      <c r="A221" s="2">
        <v>1423510</v>
      </c>
      <c r="B221" s="2" t="s">
        <v>880</v>
      </c>
      <c r="C221" s="3" t="s">
        <v>843</v>
      </c>
      <c r="D221" s="4">
        <v>34814.5</v>
      </c>
      <c r="E221" s="4">
        <v>19.31</v>
      </c>
      <c r="F221" s="4">
        <v>672268.01</v>
      </c>
      <c r="G221" s="4">
        <v>19.31</v>
      </c>
      <c r="H221" s="4">
        <v>672268.01</v>
      </c>
    </row>
    <row r="222" s="1" customFormat="1" ht="14" spans="1:8">
      <c r="A222" s="2">
        <v>1423602</v>
      </c>
      <c r="B222" s="2" t="s">
        <v>881</v>
      </c>
      <c r="C222" s="3" t="s">
        <v>843</v>
      </c>
      <c r="D222" s="4">
        <v>104.03</v>
      </c>
      <c r="E222" s="4">
        <v>43.05</v>
      </c>
      <c r="F222" s="4">
        <v>4478.49</v>
      </c>
      <c r="G222" s="4">
        <v>43.05</v>
      </c>
      <c r="H222" s="4">
        <v>4478.49</v>
      </c>
    </row>
    <row r="223" s="1" customFormat="1" ht="14" spans="1:8">
      <c r="A223" s="2">
        <v>1423603</v>
      </c>
      <c r="B223" s="2" t="s">
        <v>882</v>
      </c>
      <c r="C223" s="3" t="s">
        <v>843</v>
      </c>
      <c r="D223" s="4">
        <v>450.46</v>
      </c>
      <c r="E223" s="4">
        <v>59.51</v>
      </c>
      <c r="F223" s="4">
        <v>26806.87</v>
      </c>
      <c r="G223" s="4">
        <v>59.51</v>
      </c>
      <c r="H223" s="4">
        <v>26806.87</v>
      </c>
    </row>
    <row r="224" s="1" customFormat="1" ht="14" spans="1:8">
      <c r="A224" s="2">
        <v>1423604</v>
      </c>
      <c r="B224" s="2" t="s">
        <v>883</v>
      </c>
      <c r="C224" s="3" t="s">
        <v>843</v>
      </c>
      <c r="D224" s="4">
        <v>4715.89</v>
      </c>
      <c r="E224" s="4">
        <v>86.42</v>
      </c>
      <c r="F224" s="4">
        <v>407547.39</v>
      </c>
      <c r="G224" s="4">
        <v>86.42</v>
      </c>
      <c r="H224" s="4">
        <v>407547.39</v>
      </c>
    </row>
    <row r="225" s="1" customFormat="1" ht="14" spans="1:8">
      <c r="A225" s="2">
        <v>1423701</v>
      </c>
      <c r="B225" s="2" t="s">
        <v>884</v>
      </c>
      <c r="C225" s="3" t="s">
        <v>824</v>
      </c>
      <c r="D225" s="4">
        <v>363.6</v>
      </c>
      <c r="E225" s="4">
        <v>22.58</v>
      </c>
      <c r="F225" s="4">
        <v>8210.09</v>
      </c>
      <c r="G225" s="4">
        <v>22.58</v>
      </c>
      <c r="H225" s="4">
        <v>8210.09</v>
      </c>
    </row>
    <row r="226" s="1" customFormat="1" ht="14" spans="1:8">
      <c r="A226" s="2">
        <v>1423703</v>
      </c>
      <c r="B226" s="2" t="s">
        <v>885</v>
      </c>
      <c r="C226" s="3" t="s">
        <v>824</v>
      </c>
      <c r="D226" s="4">
        <v>5653.98</v>
      </c>
      <c r="E226" s="4">
        <v>18.08</v>
      </c>
      <c r="F226" s="4">
        <v>102223.96</v>
      </c>
      <c r="G226" s="4">
        <v>18.08</v>
      </c>
      <c r="H226" s="4">
        <v>102223.96</v>
      </c>
    </row>
    <row r="227" s="1" customFormat="1" ht="14" spans="1:8">
      <c r="A227" s="2">
        <v>1423704</v>
      </c>
      <c r="B227" s="2" t="s">
        <v>886</v>
      </c>
      <c r="C227" s="3" t="s">
        <v>824</v>
      </c>
      <c r="D227" s="4">
        <v>4715.89</v>
      </c>
      <c r="E227" s="4">
        <v>33.87</v>
      </c>
      <c r="F227" s="4">
        <v>159727.27</v>
      </c>
      <c r="G227" s="4">
        <v>33.87</v>
      </c>
      <c r="H227" s="4">
        <v>159727.27</v>
      </c>
    </row>
    <row r="228" s="1" customFormat="1" ht="14" spans="1:8">
      <c r="A228" s="2">
        <v>1423802</v>
      </c>
      <c r="B228" s="2" t="s">
        <v>887</v>
      </c>
      <c r="C228" s="3" t="s">
        <v>824</v>
      </c>
      <c r="D228" s="4">
        <v>470.66</v>
      </c>
      <c r="E228" s="4">
        <v>20.95</v>
      </c>
      <c r="F228" s="4">
        <v>9860.35</v>
      </c>
      <c r="G228" s="4">
        <v>20.95</v>
      </c>
      <c r="H228" s="4">
        <v>9860.35</v>
      </c>
    </row>
    <row r="229" s="1" customFormat="1" ht="14" spans="1:8">
      <c r="A229" s="2">
        <v>1423803</v>
      </c>
      <c r="B229" s="2" t="s">
        <v>888</v>
      </c>
      <c r="C229" s="3" t="s">
        <v>824</v>
      </c>
      <c r="D229" s="4">
        <v>6736.03</v>
      </c>
      <c r="E229" s="4">
        <v>35.88</v>
      </c>
      <c r="F229" s="4">
        <v>241688.75</v>
      </c>
      <c r="G229" s="4">
        <v>35.88</v>
      </c>
      <c r="H229" s="4">
        <v>241688.75</v>
      </c>
    </row>
    <row r="230" s="1" customFormat="1" ht="14" spans="1:8">
      <c r="A230" s="2">
        <v>1423804</v>
      </c>
      <c r="B230" s="2" t="s">
        <v>889</v>
      </c>
      <c r="C230" s="3" t="s">
        <v>824</v>
      </c>
      <c r="D230" s="4">
        <v>498</v>
      </c>
      <c r="E230" s="4">
        <v>54.54</v>
      </c>
      <c r="F230" s="4">
        <v>27160.59</v>
      </c>
      <c r="G230" s="4">
        <v>54.54</v>
      </c>
      <c r="H230" s="4">
        <v>27160.59</v>
      </c>
    </row>
    <row r="231" s="1" customFormat="1" ht="14" spans="1:8">
      <c r="A231" s="2">
        <v>1423851</v>
      </c>
      <c r="B231" s="2" t="s">
        <v>890</v>
      </c>
      <c r="C231" s="3" t="s">
        <v>891</v>
      </c>
      <c r="D231" s="4">
        <v>1346.32</v>
      </c>
      <c r="E231" s="4">
        <v>172.24</v>
      </c>
      <c r="F231" s="4">
        <v>231889.3</v>
      </c>
      <c r="G231" s="4">
        <v>172.24</v>
      </c>
      <c r="H231" s="4">
        <v>231889.3</v>
      </c>
    </row>
    <row r="232" s="1" customFormat="1" ht="14" spans="1:8">
      <c r="A232" s="2">
        <v>1423872</v>
      </c>
      <c r="B232" s="2" t="s">
        <v>892</v>
      </c>
      <c r="C232" s="3" t="s">
        <v>725</v>
      </c>
      <c r="D232" s="4">
        <v>46860.09</v>
      </c>
      <c r="E232" s="4">
        <v>7.3</v>
      </c>
      <c r="F232" s="4">
        <v>342078.66</v>
      </c>
      <c r="G232" s="4">
        <v>7.3</v>
      </c>
      <c r="H232" s="4">
        <v>342078.66</v>
      </c>
    </row>
    <row r="233" s="1" customFormat="1" ht="14" spans="1:8">
      <c r="A233" s="2">
        <v>1423901</v>
      </c>
      <c r="B233" s="2" t="s">
        <v>893</v>
      </c>
      <c r="C233" s="3" t="s">
        <v>725</v>
      </c>
      <c r="D233" s="4">
        <v>733.26</v>
      </c>
      <c r="E233" s="4">
        <v>4.78</v>
      </c>
      <c r="F233" s="4">
        <v>3504.97</v>
      </c>
      <c r="G233" s="4">
        <v>4.78</v>
      </c>
      <c r="H233" s="4">
        <v>3504.97</v>
      </c>
    </row>
    <row r="234" s="1" customFormat="1" ht="14" spans="1:8">
      <c r="A234" s="2">
        <v>1423902</v>
      </c>
      <c r="B234" s="2" t="s">
        <v>894</v>
      </c>
      <c r="C234" s="3" t="s">
        <v>824</v>
      </c>
      <c r="D234" s="4">
        <v>6187.06</v>
      </c>
      <c r="E234" s="4">
        <v>13.19</v>
      </c>
      <c r="F234" s="4">
        <v>81607.3</v>
      </c>
      <c r="G234" s="4">
        <v>13.19</v>
      </c>
      <c r="H234" s="4">
        <v>81607.3</v>
      </c>
    </row>
    <row r="235" s="1" customFormat="1" ht="14" spans="1:8">
      <c r="A235" s="2">
        <v>1423906</v>
      </c>
      <c r="B235" s="2" t="s">
        <v>895</v>
      </c>
      <c r="C235" s="3" t="s">
        <v>725</v>
      </c>
      <c r="D235" s="4">
        <v>75.75</v>
      </c>
      <c r="E235" s="4">
        <v>13.19</v>
      </c>
      <c r="F235" s="4">
        <v>999.14</v>
      </c>
      <c r="G235" s="4">
        <v>13.19</v>
      </c>
      <c r="H235" s="4">
        <v>999.14</v>
      </c>
    </row>
    <row r="236" s="1" customFormat="1" ht="14" spans="1:8">
      <c r="A236" s="2">
        <v>1423912</v>
      </c>
      <c r="B236" s="2" t="s">
        <v>896</v>
      </c>
      <c r="C236" s="3" t="s">
        <v>725</v>
      </c>
      <c r="D236" s="4">
        <v>5491.37</v>
      </c>
      <c r="E236" s="4">
        <v>68.6</v>
      </c>
      <c r="F236" s="4">
        <v>376707.98</v>
      </c>
      <c r="G236" s="4">
        <v>68.6</v>
      </c>
      <c r="H236" s="4">
        <v>376707.98</v>
      </c>
    </row>
    <row r="237" s="1" customFormat="1" ht="14" spans="1:8">
      <c r="A237" s="2">
        <v>1423960</v>
      </c>
      <c r="B237" s="2" t="s">
        <v>897</v>
      </c>
      <c r="C237" s="3" t="s">
        <v>45</v>
      </c>
      <c r="D237" s="4">
        <v>2736.82</v>
      </c>
      <c r="E237" s="4">
        <v>188.86</v>
      </c>
      <c r="F237" s="4">
        <v>516875.06</v>
      </c>
      <c r="G237" s="4">
        <v>188.86</v>
      </c>
      <c r="H237" s="4">
        <v>516875.06</v>
      </c>
    </row>
    <row r="238" s="1" customFormat="1" ht="14" spans="1:8">
      <c r="A238" s="2">
        <v>1432001</v>
      </c>
      <c r="B238" s="2" t="s">
        <v>898</v>
      </c>
      <c r="C238" s="3" t="s">
        <v>679</v>
      </c>
      <c r="D238" s="4">
        <v>168.39</v>
      </c>
      <c r="E238" s="4">
        <v>62.34</v>
      </c>
      <c r="F238" s="4">
        <v>10497.45</v>
      </c>
      <c r="G238" s="4">
        <v>62.34</v>
      </c>
      <c r="H238" s="4">
        <v>10497.45</v>
      </c>
    </row>
    <row r="239" s="1" customFormat="1" ht="14" spans="1:8">
      <c r="A239" s="2">
        <v>1432003</v>
      </c>
      <c r="B239" s="2" t="s">
        <v>899</v>
      </c>
      <c r="C239" s="3" t="s">
        <v>679</v>
      </c>
      <c r="D239" s="4">
        <v>11.29</v>
      </c>
      <c r="E239" s="4">
        <v>16.51</v>
      </c>
      <c r="F239" s="4">
        <v>186.4</v>
      </c>
      <c r="G239" s="4">
        <v>16.51</v>
      </c>
      <c r="H239" s="4">
        <v>186.4</v>
      </c>
    </row>
    <row r="240" s="1" customFormat="1" ht="14" spans="1:8">
      <c r="A240" s="2">
        <v>1434003</v>
      </c>
      <c r="B240" s="2" t="s">
        <v>900</v>
      </c>
      <c r="C240" s="3" t="s">
        <v>725</v>
      </c>
      <c r="D240" s="4">
        <v>85.05</v>
      </c>
      <c r="E240" s="4">
        <v>9.49</v>
      </c>
      <c r="F240" s="4">
        <v>807.12</v>
      </c>
      <c r="G240" s="4">
        <v>9.49</v>
      </c>
      <c r="H240" s="4">
        <v>807.12</v>
      </c>
    </row>
    <row r="241" s="1" customFormat="1" ht="14" spans="1:8">
      <c r="A241" s="2">
        <v>1500719</v>
      </c>
      <c r="B241" s="2" t="s">
        <v>901</v>
      </c>
      <c r="C241" s="3" t="s">
        <v>52</v>
      </c>
      <c r="D241" s="4">
        <v>1411.27</v>
      </c>
      <c r="E241" s="4">
        <v>6.81</v>
      </c>
      <c r="F241" s="4">
        <v>9610.78</v>
      </c>
      <c r="G241" s="4">
        <v>6.81</v>
      </c>
      <c r="H241" s="4">
        <v>9610.78</v>
      </c>
    </row>
    <row r="242" s="1" customFormat="1" ht="14" spans="1:8">
      <c r="A242" s="2">
        <v>1600106</v>
      </c>
      <c r="B242" s="2" t="s">
        <v>902</v>
      </c>
      <c r="C242" s="3" t="s">
        <v>679</v>
      </c>
      <c r="D242" s="4">
        <v>0.72</v>
      </c>
      <c r="E242" s="4">
        <v>24.33</v>
      </c>
      <c r="F242" s="4">
        <v>17.45</v>
      </c>
      <c r="G242" s="4">
        <v>24.33</v>
      </c>
      <c r="H242" s="4">
        <v>17.45</v>
      </c>
    </row>
    <row r="243" s="1" customFormat="1" ht="14" spans="1:8">
      <c r="A243" s="2">
        <v>1600108</v>
      </c>
      <c r="B243" s="2" t="s">
        <v>903</v>
      </c>
      <c r="C243" s="3" t="s">
        <v>679</v>
      </c>
      <c r="D243" s="4">
        <v>215.47</v>
      </c>
      <c r="E243" s="4">
        <v>31.57</v>
      </c>
      <c r="F243" s="4">
        <v>6802.04</v>
      </c>
      <c r="G243" s="4">
        <v>31.57</v>
      </c>
      <c r="H243" s="4">
        <v>6802.04</v>
      </c>
    </row>
    <row r="244" s="1" customFormat="1" ht="14" spans="1:8">
      <c r="A244" s="2">
        <v>1600502</v>
      </c>
      <c r="B244" s="2" t="s">
        <v>904</v>
      </c>
      <c r="C244" s="3" t="s">
        <v>679</v>
      </c>
      <c r="D244" s="4">
        <v>2995.8</v>
      </c>
      <c r="E244" s="4">
        <v>95.69</v>
      </c>
      <c r="F244" s="4">
        <v>286668.39</v>
      </c>
      <c r="G244" s="4">
        <v>95.69</v>
      </c>
      <c r="H244" s="4">
        <v>286668.39</v>
      </c>
    </row>
    <row r="245" s="1" customFormat="1" ht="14" spans="1:8">
      <c r="A245" s="2">
        <v>1600601</v>
      </c>
      <c r="B245" s="2" t="s">
        <v>905</v>
      </c>
      <c r="C245" s="3" t="s">
        <v>679</v>
      </c>
      <c r="D245" s="4">
        <v>3011.47</v>
      </c>
      <c r="E245" s="4">
        <v>231.51</v>
      </c>
      <c r="F245" s="4">
        <v>697185.18</v>
      </c>
      <c r="G245" s="4">
        <v>231.51</v>
      </c>
      <c r="H245" s="4">
        <v>697185.18</v>
      </c>
    </row>
    <row r="246" s="1" customFormat="1" ht="14" spans="1:8">
      <c r="A246" s="2">
        <v>1600677</v>
      </c>
      <c r="B246" s="2" t="s">
        <v>906</v>
      </c>
      <c r="C246" s="3" t="s">
        <v>679</v>
      </c>
      <c r="D246" s="4">
        <v>120.24</v>
      </c>
      <c r="E246" s="4">
        <v>318.97</v>
      </c>
      <c r="F246" s="4">
        <v>38354.24</v>
      </c>
      <c r="G246" s="4">
        <v>318.97</v>
      </c>
      <c r="H246" s="4">
        <v>38354.24</v>
      </c>
    </row>
    <row r="247" s="1" customFormat="1" ht="14" spans="1:8">
      <c r="A247" s="2">
        <v>1600707</v>
      </c>
      <c r="B247" s="2" t="s">
        <v>907</v>
      </c>
      <c r="C247" s="3" t="s">
        <v>472</v>
      </c>
      <c r="D247" s="4">
        <v>141.58</v>
      </c>
      <c r="E247" s="4">
        <v>224.57</v>
      </c>
      <c r="F247" s="4">
        <v>31793.72</v>
      </c>
      <c r="G247" s="4">
        <v>224.57</v>
      </c>
      <c r="H247" s="4">
        <v>31793.72</v>
      </c>
    </row>
    <row r="248" s="1" customFormat="1" ht="14" spans="1:8">
      <c r="A248" s="2">
        <v>1600708</v>
      </c>
      <c r="B248" s="2" t="s">
        <v>908</v>
      </c>
      <c r="C248" s="3" t="s">
        <v>472</v>
      </c>
      <c r="D248" s="4">
        <v>471.24</v>
      </c>
      <c r="E248" s="4">
        <v>280.71</v>
      </c>
      <c r="F248" s="4">
        <v>132281.78</v>
      </c>
      <c r="G248" s="4">
        <v>280.71</v>
      </c>
      <c r="H248" s="4">
        <v>132281.78</v>
      </c>
    </row>
    <row r="249" s="1" customFormat="1" ht="14" spans="1:8">
      <c r="A249" s="2">
        <v>1600824</v>
      </c>
      <c r="B249" s="2" t="s">
        <v>909</v>
      </c>
      <c r="C249" s="3" t="s">
        <v>824</v>
      </c>
      <c r="D249" s="4">
        <v>14.34</v>
      </c>
      <c r="E249" s="4">
        <v>14.46</v>
      </c>
      <c r="F249" s="4">
        <v>207.3</v>
      </c>
      <c r="G249" s="4">
        <v>14.46</v>
      </c>
      <c r="H249" s="4">
        <v>207.3</v>
      </c>
    </row>
    <row r="250" s="1" customFormat="1" ht="14" spans="1:8">
      <c r="A250" s="2">
        <v>1600856</v>
      </c>
      <c r="B250" s="2" t="s">
        <v>910</v>
      </c>
      <c r="C250" s="3" t="s">
        <v>679</v>
      </c>
      <c r="D250" s="4">
        <v>643.25</v>
      </c>
      <c r="E250" s="4">
        <v>82.27</v>
      </c>
      <c r="F250" s="4">
        <v>52920</v>
      </c>
      <c r="G250" s="4">
        <v>82.27</v>
      </c>
      <c r="H250" s="4">
        <v>52920</v>
      </c>
    </row>
    <row r="251" s="1" customFormat="1" ht="14" spans="1:8">
      <c r="A251" s="2">
        <v>1600859</v>
      </c>
      <c r="B251" s="2" t="s">
        <v>911</v>
      </c>
      <c r="C251" s="3" t="s">
        <v>876</v>
      </c>
      <c r="D251" s="4">
        <v>101</v>
      </c>
      <c r="E251" s="4">
        <v>3.08</v>
      </c>
      <c r="F251" s="4">
        <v>311.07</v>
      </c>
      <c r="G251" s="4">
        <v>3.08</v>
      </c>
      <c r="H251" s="4">
        <v>311.07</v>
      </c>
    </row>
    <row r="252" s="1" customFormat="1" ht="14" spans="1:8">
      <c r="A252" s="2">
        <v>1600860</v>
      </c>
      <c r="B252" s="2" t="s">
        <v>912</v>
      </c>
      <c r="C252" s="3" t="s">
        <v>876</v>
      </c>
      <c r="D252" s="4">
        <v>343.95</v>
      </c>
      <c r="E252" s="4">
        <v>4.49</v>
      </c>
      <c r="F252" s="4">
        <v>1544.33</v>
      </c>
      <c r="G252" s="4">
        <v>4.49</v>
      </c>
      <c r="H252" s="4">
        <v>1544.33</v>
      </c>
    </row>
    <row r="253" s="1" customFormat="1" ht="14" spans="1:8">
      <c r="A253" s="2">
        <v>1600864</v>
      </c>
      <c r="B253" s="2" t="s">
        <v>913</v>
      </c>
      <c r="C253" s="3" t="s">
        <v>679</v>
      </c>
      <c r="D253" s="4">
        <v>78000.29</v>
      </c>
      <c r="E253" s="4">
        <v>1.71</v>
      </c>
      <c r="F253" s="4">
        <v>133380.59</v>
      </c>
      <c r="G253" s="4">
        <v>1.71</v>
      </c>
      <c r="H253" s="4">
        <v>133380.59</v>
      </c>
    </row>
    <row r="254" s="1" customFormat="1" ht="14" spans="1:8">
      <c r="A254" s="2">
        <v>1600865</v>
      </c>
      <c r="B254" s="2" t="s">
        <v>914</v>
      </c>
      <c r="C254" s="3" t="s">
        <v>472</v>
      </c>
      <c r="D254" s="4">
        <v>554.4</v>
      </c>
      <c r="E254" s="4">
        <v>0.47</v>
      </c>
      <c r="F254" s="4">
        <v>260.57</v>
      </c>
      <c r="G254" s="4">
        <v>0.47</v>
      </c>
      <c r="H254" s="4">
        <v>260.57</v>
      </c>
    </row>
    <row r="255" s="1" customFormat="1" ht="14" spans="1:8">
      <c r="A255" s="2">
        <v>1600867</v>
      </c>
      <c r="B255" s="2" t="s">
        <v>915</v>
      </c>
      <c r="C255" s="3" t="s">
        <v>679</v>
      </c>
      <c r="D255" s="4">
        <v>2590</v>
      </c>
      <c r="E255" s="4">
        <v>1.26</v>
      </c>
      <c r="F255" s="4">
        <v>3263.4</v>
      </c>
      <c r="G255" s="4">
        <v>1.26</v>
      </c>
      <c r="H255" s="4">
        <v>3263.4</v>
      </c>
    </row>
    <row r="256" s="1" customFormat="1" ht="14" spans="1:8">
      <c r="A256" s="2">
        <v>1601001</v>
      </c>
      <c r="B256" s="2" t="s">
        <v>916</v>
      </c>
      <c r="C256" s="3" t="s">
        <v>679</v>
      </c>
      <c r="D256" s="4">
        <v>46122.41</v>
      </c>
      <c r="E256" s="4">
        <v>2.19</v>
      </c>
      <c r="F256" s="4">
        <v>101008.19</v>
      </c>
      <c r="G256" s="4">
        <v>2.19</v>
      </c>
      <c r="H256" s="4">
        <v>101008.19</v>
      </c>
    </row>
    <row r="257" s="1" customFormat="1" ht="14" spans="1:8">
      <c r="A257" s="2">
        <v>1601002</v>
      </c>
      <c r="B257" s="2" t="s">
        <v>917</v>
      </c>
      <c r="C257" s="3" t="s">
        <v>45</v>
      </c>
      <c r="D257" s="4">
        <v>72.44</v>
      </c>
      <c r="E257" s="4">
        <v>271.32</v>
      </c>
      <c r="F257" s="4">
        <v>19654.42</v>
      </c>
      <c r="G257" s="4">
        <v>271.32</v>
      </c>
      <c r="H257" s="4">
        <v>19654.42</v>
      </c>
    </row>
    <row r="258" s="1" customFormat="1" ht="14" spans="1:8">
      <c r="A258" s="2">
        <v>1601003</v>
      </c>
      <c r="B258" s="2" t="s">
        <v>918</v>
      </c>
      <c r="C258" s="3" t="s">
        <v>52</v>
      </c>
      <c r="D258" s="4">
        <v>43740.51</v>
      </c>
      <c r="E258" s="4">
        <v>3.96</v>
      </c>
      <c r="F258" s="4">
        <v>173212.42</v>
      </c>
      <c r="G258" s="4">
        <v>3.96</v>
      </c>
      <c r="H258" s="4">
        <v>173212.42</v>
      </c>
    </row>
    <row r="259" s="1" customFormat="1" ht="14" spans="1:8">
      <c r="A259" s="2">
        <v>1601005</v>
      </c>
      <c r="B259" s="2" t="s">
        <v>919</v>
      </c>
      <c r="C259" s="3" t="s">
        <v>679</v>
      </c>
      <c r="D259" s="4">
        <v>11.42</v>
      </c>
      <c r="E259" s="4">
        <v>46.17</v>
      </c>
      <c r="F259" s="4">
        <v>526.48</v>
      </c>
      <c r="G259" s="4">
        <v>46.17</v>
      </c>
      <c r="H259" s="4">
        <v>526.48</v>
      </c>
    </row>
    <row r="260" s="1" customFormat="1" ht="14" spans="1:8">
      <c r="A260" s="2">
        <v>1601010</v>
      </c>
      <c r="B260" s="2" t="s">
        <v>920</v>
      </c>
      <c r="C260" s="3" t="s">
        <v>52</v>
      </c>
      <c r="D260" s="4">
        <v>61.78</v>
      </c>
      <c r="E260" s="4">
        <v>1.78</v>
      </c>
      <c r="F260" s="4">
        <v>109.97</v>
      </c>
      <c r="G260" s="4">
        <v>1.78</v>
      </c>
      <c r="H260" s="4">
        <v>109.97</v>
      </c>
    </row>
    <row r="261" s="1" customFormat="1" ht="14" spans="1:8">
      <c r="A261" s="2">
        <v>1601011</v>
      </c>
      <c r="B261" s="2" t="s">
        <v>921</v>
      </c>
      <c r="C261" s="3" t="s">
        <v>679</v>
      </c>
      <c r="D261" s="4">
        <v>1261.79</v>
      </c>
      <c r="E261" s="4">
        <v>22.29</v>
      </c>
      <c r="F261" s="4">
        <v>28125.43</v>
      </c>
      <c r="G261" s="4">
        <v>22.29</v>
      </c>
      <c r="H261" s="4">
        <v>28125.43</v>
      </c>
    </row>
    <row r="262" s="1" customFormat="1" ht="14" spans="1:8">
      <c r="A262" s="2">
        <v>1710001</v>
      </c>
      <c r="B262" s="2" t="s">
        <v>922</v>
      </c>
      <c r="C262" s="3" t="s">
        <v>923</v>
      </c>
      <c r="D262" s="4">
        <v>784.24</v>
      </c>
      <c r="E262" s="4">
        <v>47.16</v>
      </c>
      <c r="F262" s="4">
        <v>36984.97</v>
      </c>
      <c r="G262" s="4">
        <v>47.16</v>
      </c>
      <c r="H262" s="4">
        <v>36984.97</v>
      </c>
    </row>
    <row r="263" s="1" customFormat="1" ht="14" spans="1:8">
      <c r="A263" s="2">
        <v>1710002</v>
      </c>
      <c r="B263" s="2" t="s">
        <v>924</v>
      </c>
      <c r="C263" s="3" t="s">
        <v>923</v>
      </c>
      <c r="D263" s="4">
        <v>24.17</v>
      </c>
      <c r="E263" s="4">
        <v>49.73</v>
      </c>
      <c r="F263" s="4">
        <v>1201.59</v>
      </c>
      <c r="G263" s="4">
        <v>49.73</v>
      </c>
      <c r="H263" s="4">
        <v>1201.59</v>
      </c>
    </row>
    <row r="264" s="1" customFormat="1" ht="14" spans="1:8">
      <c r="A264" s="2">
        <v>1710051</v>
      </c>
      <c r="B264" s="2" t="s">
        <v>925</v>
      </c>
      <c r="C264" s="3" t="s">
        <v>679</v>
      </c>
      <c r="D264" s="4">
        <v>4871.01</v>
      </c>
      <c r="E264" s="4">
        <v>19.68</v>
      </c>
      <c r="F264" s="4">
        <v>95861.27</v>
      </c>
      <c r="G264" s="4">
        <v>19.68</v>
      </c>
      <c r="H264" s="4">
        <v>95861.27</v>
      </c>
    </row>
    <row r="265" s="1" customFormat="1" ht="14" spans="1:8">
      <c r="A265" s="2">
        <v>1710052</v>
      </c>
      <c r="B265" s="2" t="s">
        <v>926</v>
      </c>
      <c r="C265" s="3" t="s">
        <v>679</v>
      </c>
      <c r="D265" s="4">
        <v>0</v>
      </c>
      <c r="E265" s="4">
        <v>17.89</v>
      </c>
      <c r="F265" s="4">
        <v>0</v>
      </c>
      <c r="G265" s="4">
        <v>17.89</v>
      </c>
      <c r="H265" s="4">
        <v>0</v>
      </c>
    </row>
    <row r="266" s="1" customFormat="1" ht="14" spans="1:8">
      <c r="A266" s="2">
        <v>1710056</v>
      </c>
      <c r="B266" s="2" t="s">
        <v>927</v>
      </c>
      <c r="C266" s="3" t="s">
        <v>679</v>
      </c>
      <c r="D266" s="4">
        <v>0</v>
      </c>
      <c r="E266" s="4">
        <v>12.35</v>
      </c>
      <c r="F266" s="4">
        <v>0</v>
      </c>
      <c r="G266" s="4">
        <v>12.35</v>
      </c>
      <c r="H266" s="4">
        <v>0</v>
      </c>
    </row>
    <row r="267" s="1" customFormat="1" ht="14" spans="1:8">
      <c r="A267" s="2">
        <v>1710061</v>
      </c>
      <c r="B267" s="2" t="s">
        <v>928</v>
      </c>
      <c r="C267" s="3" t="s">
        <v>679</v>
      </c>
      <c r="D267" s="4">
        <v>3812.66</v>
      </c>
      <c r="E267" s="4">
        <v>35.94</v>
      </c>
      <c r="F267" s="4">
        <v>137027.08</v>
      </c>
      <c r="G267" s="4">
        <v>35.94</v>
      </c>
      <c r="H267" s="4">
        <v>137027.08</v>
      </c>
    </row>
    <row r="268" s="1" customFormat="1" ht="14" spans="1:8">
      <c r="A268" s="2">
        <v>1710070</v>
      </c>
      <c r="B268" s="2" t="s">
        <v>929</v>
      </c>
      <c r="C268" s="3" t="s">
        <v>679</v>
      </c>
      <c r="D268" s="4">
        <v>1417.5</v>
      </c>
      <c r="E268" s="4">
        <v>24.87</v>
      </c>
      <c r="F268" s="4">
        <v>35253.24</v>
      </c>
      <c r="G268" s="4">
        <v>24.87</v>
      </c>
      <c r="H268" s="4">
        <v>35253.24</v>
      </c>
    </row>
    <row r="269" s="1" customFormat="1" ht="14" spans="1:8">
      <c r="A269" s="2">
        <v>1710079</v>
      </c>
      <c r="B269" s="2" t="s">
        <v>930</v>
      </c>
      <c r="C269" s="3" t="s">
        <v>472</v>
      </c>
      <c r="D269" s="4">
        <v>34764.48</v>
      </c>
      <c r="E269" s="4">
        <v>5.79</v>
      </c>
      <c r="F269" s="4">
        <v>201286.23</v>
      </c>
      <c r="G269" s="4">
        <v>5.79</v>
      </c>
      <c r="H269" s="4">
        <v>201286.23</v>
      </c>
    </row>
    <row r="270" s="1" customFormat="1" ht="14" spans="1:8">
      <c r="A270" s="2">
        <v>1710085</v>
      </c>
      <c r="B270" s="2" t="s">
        <v>931</v>
      </c>
      <c r="C270" s="3" t="s">
        <v>679</v>
      </c>
      <c r="D270" s="4">
        <v>1840.57</v>
      </c>
      <c r="E270" s="4">
        <v>158.63</v>
      </c>
      <c r="F270" s="4">
        <v>291970.26</v>
      </c>
      <c r="G270" s="4">
        <v>158.63</v>
      </c>
      <c r="H270" s="4">
        <v>291970.26</v>
      </c>
    </row>
    <row r="271" s="1" customFormat="1" ht="14" spans="1:8">
      <c r="A271" s="2">
        <v>1710086</v>
      </c>
      <c r="B271" s="2" t="s">
        <v>932</v>
      </c>
      <c r="C271" s="3" t="s">
        <v>679</v>
      </c>
      <c r="D271" s="4">
        <v>1840.57</v>
      </c>
      <c r="E271" s="4">
        <v>55.56</v>
      </c>
      <c r="F271" s="4">
        <v>102262.29</v>
      </c>
      <c r="G271" s="4">
        <v>55.56</v>
      </c>
      <c r="H271" s="4">
        <v>102262.29</v>
      </c>
    </row>
    <row r="272" s="1" customFormat="1" ht="14" spans="1:8">
      <c r="A272" s="2">
        <v>1710087</v>
      </c>
      <c r="B272" s="2" t="s">
        <v>933</v>
      </c>
      <c r="C272" s="3" t="s">
        <v>52</v>
      </c>
      <c r="D272" s="4">
        <v>1.09</v>
      </c>
      <c r="E272" s="4">
        <v>4.24</v>
      </c>
      <c r="F272" s="4">
        <v>4.6</v>
      </c>
      <c r="G272" s="4">
        <v>4.24</v>
      </c>
      <c r="H272" s="4">
        <v>4.6</v>
      </c>
    </row>
    <row r="273" s="1" customFormat="1" ht="14" spans="1:8">
      <c r="A273" s="2">
        <v>1710088</v>
      </c>
      <c r="B273" s="2" t="s">
        <v>934</v>
      </c>
      <c r="C273" s="3" t="s">
        <v>52</v>
      </c>
      <c r="D273" s="4">
        <v>1.25</v>
      </c>
      <c r="E273" s="4">
        <v>4.24</v>
      </c>
      <c r="F273" s="4">
        <v>5.28</v>
      </c>
      <c r="G273" s="4">
        <v>4.24</v>
      </c>
      <c r="H273" s="4">
        <v>5.28</v>
      </c>
    </row>
    <row r="274" s="1" customFormat="1" ht="14" spans="1:8">
      <c r="A274" s="2">
        <v>1710101</v>
      </c>
      <c r="B274" s="2" t="s">
        <v>935</v>
      </c>
      <c r="C274" s="3" t="s">
        <v>52</v>
      </c>
      <c r="D274" s="4">
        <v>6177.92</v>
      </c>
      <c r="E274" s="4">
        <v>12.86</v>
      </c>
      <c r="F274" s="4">
        <v>79448.09</v>
      </c>
      <c r="G274" s="4">
        <v>12.86</v>
      </c>
      <c r="H274" s="4">
        <v>79448.09</v>
      </c>
    </row>
    <row r="275" s="1" customFormat="1" ht="14" spans="1:8">
      <c r="A275" s="2">
        <v>1710104</v>
      </c>
      <c r="B275" s="2" t="s">
        <v>936</v>
      </c>
      <c r="C275" s="3" t="s">
        <v>52</v>
      </c>
      <c r="D275" s="4">
        <v>200578.92</v>
      </c>
      <c r="E275" s="4">
        <v>13.72</v>
      </c>
      <c r="F275" s="4">
        <v>2751942.92</v>
      </c>
      <c r="G275" s="4">
        <v>13.72</v>
      </c>
      <c r="H275" s="4">
        <v>2751942.92</v>
      </c>
    </row>
    <row r="276" s="1" customFormat="1" ht="14" spans="1:8">
      <c r="A276" s="2">
        <v>1710107</v>
      </c>
      <c r="B276" s="2" t="s">
        <v>937</v>
      </c>
      <c r="C276" s="3" t="s">
        <v>52</v>
      </c>
      <c r="D276" s="4">
        <v>8765.67</v>
      </c>
      <c r="E276" s="4">
        <v>18.75</v>
      </c>
      <c r="F276" s="4">
        <v>164356.37</v>
      </c>
      <c r="G276" s="4">
        <v>18.75</v>
      </c>
      <c r="H276" s="4">
        <v>164356.37</v>
      </c>
    </row>
    <row r="277" s="1" customFormat="1" ht="14" spans="1:8">
      <c r="A277" s="2">
        <v>1710130</v>
      </c>
      <c r="B277" s="2" t="s">
        <v>938</v>
      </c>
      <c r="C277" s="3" t="s">
        <v>679</v>
      </c>
      <c r="D277" s="4">
        <v>193.88</v>
      </c>
      <c r="E277" s="4">
        <v>4.97</v>
      </c>
      <c r="F277" s="4">
        <v>963.62</v>
      </c>
      <c r="G277" s="4">
        <v>4.97</v>
      </c>
      <c r="H277" s="4">
        <v>963.62</v>
      </c>
    </row>
    <row r="278" s="1" customFormat="1" ht="14" spans="1:8">
      <c r="A278" s="2">
        <v>1710205</v>
      </c>
      <c r="B278" s="2" t="s">
        <v>939</v>
      </c>
      <c r="C278" s="3" t="s">
        <v>52</v>
      </c>
      <c r="D278" s="4">
        <v>310.08</v>
      </c>
      <c r="E278" s="4">
        <v>13.11</v>
      </c>
      <c r="F278" s="4">
        <v>4065.1</v>
      </c>
      <c r="G278" s="4">
        <v>13.11</v>
      </c>
      <c r="H278" s="4">
        <v>4065.1</v>
      </c>
    </row>
    <row r="279" s="1" customFormat="1" ht="14" spans="1:8">
      <c r="A279" s="2">
        <v>1710207</v>
      </c>
      <c r="B279" s="2" t="s">
        <v>940</v>
      </c>
      <c r="C279" s="3" t="s">
        <v>52</v>
      </c>
      <c r="D279" s="4">
        <v>1093.42</v>
      </c>
      <c r="E279" s="4">
        <v>4.3</v>
      </c>
      <c r="F279" s="4">
        <v>4701.65</v>
      </c>
      <c r="G279" s="4">
        <v>4.3</v>
      </c>
      <c r="H279" s="4">
        <v>4701.65</v>
      </c>
    </row>
    <row r="280" s="1" customFormat="1" ht="14" spans="1:8">
      <c r="A280" s="2">
        <v>1710210</v>
      </c>
      <c r="B280" s="2" t="s">
        <v>941</v>
      </c>
      <c r="C280" s="3" t="s">
        <v>797</v>
      </c>
      <c r="D280" s="4">
        <v>49209.15</v>
      </c>
      <c r="E280" s="4">
        <v>7.38</v>
      </c>
      <c r="F280" s="4">
        <v>363163.6</v>
      </c>
      <c r="G280" s="4">
        <v>7.38</v>
      </c>
      <c r="H280" s="4">
        <v>363163.6</v>
      </c>
    </row>
    <row r="281" s="1" customFormat="1" ht="14" spans="1:8">
      <c r="A281" s="2">
        <v>1710213</v>
      </c>
      <c r="B281" s="2" t="s">
        <v>942</v>
      </c>
      <c r="C281" s="3" t="s">
        <v>52</v>
      </c>
      <c r="D281" s="4">
        <v>162.95</v>
      </c>
      <c r="E281" s="4">
        <v>46.83</v>
      </c>
      <c r="F281" s="4">
        <v>7630.95</v>
      </c>
      <c r="G281" s="4">
        <v>46.83</v>
      </c>
      <c r="H281" s="4">
        <v>7630.95</v>
      </c>
    </row>
    <row r="282" s="1" customFormat="1" ht="14" spans="1:8">
      <c r="A282" s="2">
        <v>1710216</v>
      </c>
      <c r="B282" s="2" t="s">
        <v>943</v>
      </c>
      <c r="C282" s="3" t="s">
        <v>52</v>
      </c>
      <c r="D282" s="4">
        <v>4937.17</v>
      </c>
      <c r="E282" s="4">
        <v>3.88</v>
      </c>
      <c r="F282" s="4">
        <v>19156.13</v>
      </c>
      <c r="G282" s="4">
        <v>3.88</v>
      </c>
      <c r="H282" s="4">
        <v>19156.13</v>
      </c>
    </row>
    <row r="283" s="1" customFormat="1" ht="14" spans="1:8">
      <c r="A283" s="2">
        <v>1710219</v>
      </c>
      <c r="B283" s="2" t="s">
        <v>944</v>
      </c>
      <c r="C283" s="3" t="s">
        <v>52</v>
      </c>
      <c r="D283" s="4">
        <v>9113.67</v>
      </c>
      <c r="E283" s="4">
        <v>1.63</v>
      </c>
      <c r="F283" s="4">
        <v>14855.28</v>
      </c>
      <c r="G283" s="4">
        <v>1.63</v>
      </c>
      <c r="H283" s="4">
        <v>14855.28</v>
      </c>
    </row>
    <row r="284" s="1" customFormat="1" ht="14" spans="1:8">
      <c r="A284" s="2">
        <v>1710222</v>
      </c>
      <c r="B284" s="2" t="s">
        <v>945</v>
      </c>
      <c r="C284" s="3" t="s">
        <v>52</v>
      </c>
      <c r="D284" s="4">
        <v>24163.31</v>
      </c>
      <c r="E284" s="4">
        <v>2.57</v>
      </c>
      <c r="F284" s="4">
        <v>62099.83</v>
      </c>
      <c r="G284" s="4">
        <v>2.57</v>
      </c>
      <c r="H284" s="4">
        <v>62099.83</v>
      </c>
    </row>
    <row r="285" s="1" customFormat="1" ht="14" spans="1:8">
      <c r="A285" s="2">
        <v>1710225</v>
      </c>
      <c r="B285" s="2" t="s">
        <v>946</v>
      </c>
      <c r="C285" s="3" t="s">
        <v>52</v>
      </c>
      <c r="D285" s="4">
        <v>39754.89</v>
      </c>
      <c r="E285" s="4">
        <v>19.26</v>
      </c>
      <c r="F285" s="4">
        <v>765679.18</v>
      </c>
      <c r="G285" s="4">
        <v>19.26</v>
      </c>
      <c r="H285" s="4">
        <v>765679.18</v>
      </c>
    </row>
    <row r="286" s="1" customFormat="1" ht="14" spans="1:8">
      <c r="A286" s="2">
        <v>1720003</v>
      </c>
      <c r="B286" s="2" t="s">
        <v>947</v>
      </c>
      <c r="C286" s="3" t="s">
        <v>45</v>
      </c>
      <c r="D286" s="4">
        <v>291.61</v>
      </c>
      <c r="E286" s="4">
        <v>256.71</v>
      </c>
      <c r="F286" s="4">
        <v>74859.97</v>
      </c>
      <c r="G286" s="4">
        <v>256.71</v>
      </c>
      <c r="H286" s="4">
        <v>74859.97</v>
      </c>
    </row>
    <row r="287" s="1" customFormat="1" ht="14" spans="1:8">
      <c r="A287" s="2">
        <v>1720006</v>
      </c>
      <c r="B287" s="2" t="s">
        <v>948</v>
      </c>
      <c r="C287" s="3" t="s">
        <v>679</v>
      </c>
      <c r="D287" s="4">
        <v>77.29</v>
      </c>
      <c r="E287" s="4">
        <v>25.12</v>
      </c>
      <c r="F287" s="4">
        <v>1941.52</v>
      </c>
      <c r="G287" s="4">
        <v>25.12</v>
      </c>
      <c r="H287" s="4">
        <v>1941.52</v>
      </c>
    </row>
    <row r="288" s="1" customFormat="1" ht="14" spans="1:8">
      <c r="A288" s="2">
        <v>1720011</v>
      </c>
      <c r="B288" s="2" t="s">
        <v>949</v>
      </c>
      <c r="C288" s="3" t="s">
        <v>45</v>
      </c>
      <c r="D288" s="4">
        <v>14.16</v>
      </c>
      <c r="E288" s="4">
        <v>162.66</v>
      </c>
      <c r="F288" s="4">
        <v>2303.27</v>
      </c>
      <c r="G288" s="4">
        <v>162.66</v>
      </c>
      <c r="H288" s="4">
        <v>2303.27</v>
      </c>
    </row>
    <row r="289" s="1" customFormat="1" ht="14" spans="1:8">
      <c r="A289" s="2">
        <v>1720020</v>
      </c>
      <c r="B289" s="2" t="s">
        <v>950</v>
      </c>
      <c r="C289" s="3" t="s">
        <v>52</v>
      </c>
      <c r="D289" s="4">
        <v>2299.65</v>
      </c>
      <c r="E289" s="4">
        <v>18.37</v>
      </c>
      <c r="F289" s="4">
        <v>42244.19</v>
      </c>
      <c r="G289" s="4">
        <v>18.37</v>
      </c>
      <c r="H289" s="4">
        <v>42244.19</v>
      </c>
    </row>
    <row r="290" s="1" customFormat="1" ht="14" spans="1:8">
      <c r="A290" s="2">
        <v>1720023</v>
      </c>
      <c r="B290" s="2" t="s">
        <v>951</v>
      </c>
      <c r="C290" s="3" t="s">
        <v>45</v>
      </c>
      <c r="D290" s="4">
        <v>3501.44</v>
      </c>
      <c r="E290" s="4">
        <v>480.36</v>
      </c>
      <c r="F290" s="4">
        <v>1681951.24</v>
      </c>
      <c r="G290" s="4">
        <v>480.36</v>
      </c>
      <c r="H290" s="4">
        <v>1681951.24</v>
      </c>
    </row>
    <row r="291" s="1" customFormat="1" ht="14" spans="1:8">
      <c r="A291" s="2">
        <v>1720025</v>
      </c>
      <c r="B291" s="2" t="s">
        <v>952</v>
      </c>
      <c r="C291" s="3" t="s">
        <v>52</v>
      </c>
      <c r="D291" s="4">
        <v>8.83</v>
      </c>
      <c r="E291" s="4">
        <v>0.51</v>
      </c>
      <c r="F291" s="4">
        <v>4.55</v>
      </c>
      <c r="G291" s="4">
        <v>0.51</v>
      </c>
      <c r="H291" s="4">
        <v>4.55</v>
      </c>
    </row>
    <row r="292" s="1" customFormat="1" ht="14" spans="1:8">
      <c r="A292" s="2">
        <v>1720032</v>
      </c>
      <c r="B292" s="2" t="s">
        <v>953</v>
      </c>
      <c r="C292" s="3" t="s">
        <v>679</v>
      </c>
      <c r="D292" s="4">
        <v>326.31</v>
      </c>
      <c r="E292" s="4">
        <v>15.04</v>
      </c>
      <c r="F292" s="4">
        <v>4907.77</v>
      </c>
      <c r="G292" s="4">
        <v>15.04</v>
      </c>
      <c r="H292" s="4">
        <v>4907.77</v>
      </c>
    </row>
    <row r="293" s="1" customFormat="1" ht="14" spans="1:8">
      <c r="A293" s="2">
        <v>1800305</v>
      </c>
      <c r="B293" s="2" t="s">
        <v>954</v>
      </c>
      <c r="C293" s="3" t="s">
        <v>52</v>
      </c>
      <c r="D293" s="4">
        <v>5165.88</v>
      </c>
      <c r="E293" s="4">
        <v>2.55</v>
      </c>
      <c r="F293" s="4">
        <v>13173.1</v>
      </c>
      <c r="G293" s="4">
        <v>2.55</v>
      </c>
      <c r="H293" s="4">
        <v>13173.1</v>
      </c>
    </row>
    <row r="294" s="1" customFormat="1" ht="14" spans="1:8">
      <c r="A294" s="2">
        <v>1800307</v>
      </c>
      <c r="B294" s="2" t="s">
        <v>955</v>
      </c>
      <c r="C294" s="3" t="s">
        <v>52</v>
      </c>
      <c r="D294" s="4">
        <v>35.85</v>
      </c>
      <c r="E294" s="4">
        <v>0.83</v>
      </c>
      <c r="F294" s="4">
        <v>29.76</v>
      </c>
      <c r="G294" s="4">
        <v>0.83</v>
      </c>
      <c r="H294" s="4">
        <v>29.76</v>
      </c>
    </row>
    <row r="295" s="1" customFormat="1" ht="14" spans="1:8">
      <c r="A295" s="2">
        <v>1800308</v>
      </c>
      <c r="B295" s="2" t="s">
        <v>956</v>
      </c>
      <c r="C295" s="3" t="s">
        <v>679</v>
      </c>
      <c r="D295" s="4">
        <v>550.8</v>
      </c>
      <c r="E295" s="4">
        <v>10.17</v>
      </c>
      <c r="F295" s="4">
        <v>5601.65</v>
      </c>
      <c r="G295" s="4">
        <v>10.17</v>
      </c>
      <c r="H295" s="4">
        <v>5601.65</v>
      </c>
    </row>
    <row r="296" s="1" customFormat="1" ht="14" spans="1:8">
      <c r="A296" s="2">
        <v>1810355</v>
      </c>
      <c r="B296" s="2" t="s">
        <v>957</v>
      </c>
      <c r="C296" s="3" t="s">
        <v>52</v>
      </c>
      <c r="D296" s="4">
        <v>3</v>
      </c>
      <c r="E296" s="4">
        <v>26.92</v>
      </c>
      <c r="F296" s="4">
        <v>80.77</v>
      </c>
      <c r="G296" s="4">
        <v>26.92</v>
      </c>
      <c r="H296" s="4">
        <v>80.77</v>
      </c>
    </row>
    <row r="297" s="1" customFormat="1" ht="14" spans="1:8">
      <c r="A297" s="2">
        <v>1810356</v>
      </c>
      <c r="B297" s="2" t="s">
        <v>958</v>
      </c>
      <c r="C297" s="3" t="s">
        <v>52</v>
      </c>
      <c r="D297" s="4">
        <v>82.15</v>
      </c>
      <c r="E297" s="4">
        <v>22.48</v>
      </c>
      <c r="F297" s="4">
        <v>1846.82</v>
      </c>
      <c r="G297" s="4">
        <v>22.48</v>
      </c>
      <c r="H297" s="4">
        <v>1846.82</v>
      </c>
    </row>
    <row r="298" s="1" customFormat="1" ht="14" spans="1:8">
      <c r="A298" s="2">
        <v>1810364</v>
      </c>
      <c r="B298" s="2" t="s">
        <v>959</v>
      </c>
      <c r="C298" s="3" t="s">
        <v>52</v>
      </c>
      <c r="D298" s="4">
        <v>0.54</v>
      </c>
      <c r="E298" s="4">
        <v>11.02</v>
      </c>
      <c r="F298" s="4">
        <v>5.8</v>
      </c>
      <c r="G298" s="4">
        <v>11.02</v>
      </c>
      <c r="H298" s="4">
        <v>5.8</v>
      </c>
    </row>
    <row r="299" s="1" customFormat="1" ht="14" spans="1:8">
      <c r="A299" s="2">
        <v>1820702</v>
      </c>
      <c r="B299" s="2" t="s">
        <v>960</v>
      </c>
      <c r="C299" s="3" t="s">
        <v>52</v>
      </c>
      <c r="D299" s="4">
        <v>26.84</v>
      </c>
      <c r="E299" s="4">
        <v>18.3</v>
      </c>
      <c r="F299" s="4">
        <v>491.17</v>
      </c>
      <c r="G299" s="4">
        <v>18.3</v>
      </c>
      <c r="H299" s="4">
        <v>491.17</v>
      </c>
    </row>
    <row r="300" s="1" customFormat="1" ht="14" spans="1:8">
      <c r="A300" s="2">
        <v>1820705</v>
      </c>
      <c r="B300" s="2" t="s">
        <v>961</v>
      </c>
      <c r="C300" s="3" t="s">
        <v>52</v>
      </c>
      <c r="D300" s="4">
        <v>20.48</v>
      </c>
      <c r="E300" s="4">
        <v>20.34</v>
      </c>
      <c r="F300" s="4">
        <v>416.58</v>
      </c>
      <c r="G300" s="4">
        <v>20.34</v>
      </c>
      <c r="H300" s="4">
        <v>416.58</v>
      </c>
    </row>
    <row r="301" s="1" customFormat="1" ht="14" spans="1:8">
      <c r="A301" s="2">
        <v>1830004</v>
      </c>
      <c r="B301" s="2" t="s">
        <v>962</v>
      </c>
      <c r="C301" s="3" t="s">
        <v>679</v>
      </c>
      <c r="D301" s="4">
        <v>170.64</v>
      </c>
      <c r="E301" s="4">
        <v>32.9</v>
      </c>
      <c r="F301" s="4">
        <v>5614.05</v>
      </c>
      <c r="G301" s="4">
        <v>32.9</v>
      </c>
      <c r="H301" s="4">
        <v>5614.05</v>
      </c>
    </row>
    <row r="302" s="1" customFormat="1" ht="14" spans="1:8">
      <c r="A302" s="2">
        <v>1831004</v>
      </c>
      <c r="B302" s="2" t="s">
        <v>963</v>
      </c>
      <c r="C302" s="3" t="s">
        <v>52</v>
      </c>
      <c r="D302" s="4">
        <v>24.65</v>
      </c>
      <c r="E302" s="4">
        <v>6.87</v>
      </c>
      <c r="F302" s="4">
        <v>169.34</v>
      </c>
      <c r="G302" s="4">
        <v>6.87</v>
      </c>
      <c r="H302" s="4">
        <v>169.34</v>
      </c>
    </row>
    <row r="303" s="1" customFormat="1" ht="14" spans="1:8">
      <c r="A303" s="2">
        <v>1831501</v>
      </c>
      <c r="B303" s="2" t="s">
        <v>964</v>
      </c>
      <c r="C303" s="3" t="s">
        <v>52</v>
      </c>
      <c r="D303" s="4">
        <v>48294.82</v>
      </c>
      <c r="E303" s="4">
        <v>5.69</v>
      </c>
      <c r="F303" s="4">
        <v>274797.59</v>
      </c>
      <c r="G303" s="4">
        <v>5.69</v>
      </c>
      <c r="H303" s="4">
        <v>274797.59</v>
      </c>
    </row>
    <row r="304" s="1" customFormat="1" ht="14" spans="1:8">
      <c r="A304" s="2">
        <v>1832003</v>
      </c>
      <c r="B304" s="2" t="s">
        <v>965</v>
      </c>
      <c r="C304" s="3" t="s">
        <v>52</v>
      </c>
      <c r="D304" s="4">
        <v>21.2</v>
      </c>
      <c r="E304" s="4">
        <v>10.8</v>
      </c>
      <c r="F304" s="4">
        <v>228.96</v>
      </c>
      <c r="G304" s="4">
        <v>10.8</v>
      </c>
      <c r="H304" s="4">
        <v>228.96</v>
      </c>
    </row>
    <row r="305" s="1" customFormat="1" ht="14" spans="1:8">
      <c r="A305" s="2">
        <v>1835003</v>
      </c>
      <c r="B305" s="2" t="s">
        <v>966</v>
      </c>
      <c r="C305" s="3" t="s">
        <v>679</v>
      </c>
      <c r="D305" s="4">
        <v>0.48</v>
      </c>
      <c r="E305" s="4">
        <v>23.65</v>
      </c>
      <c r="F305" s="4">
        <v>11.34</v>
      </c>
      <c r="G305" s="4">
        <v>23.65</v>
      </c>
      <c r="H305" s="4">
        <v>11.34</v>
      </c>
    </row>
    <row r="306" s="1" customFormat="1" ht="14" spans="1:8">
      <c r="A306" s="2">
        <v>1835004</v>
      </c>
      <c r="B306" s="2" t="s">
        <v>967</v>
      </c>
      <c r="C306" s="3" t="s">
        <v>679</v>
      </c>
      <c r="D306" s="4">
        <v>2.38</v>
      </c>
      <c r="E306" s="4">
        <v>26.16</v>
      </c>
      <c r="F306" s="4">
        <v>62.26</v>
      </c>
      <c r="G306" s="4">
        <v>26.16</v>
      </c>
      <c r="H306" s="4">
        <v>62.26</v>
      </c>
    </row>
    <row r="307" s="1" customFormat="1" ht="14" spans="1:8">
      <c r="A307" s="2">
        <v>1900014</v>
      </c>
      <c r="B307" s="2" t="s">
        <v>968</v>
      </c>
      <c r="C307" s="3" t="s">
        <v>52</v>
      </c>
      <c r="D307" s="4">
        <v>10129699.91</v>
      </c>
      <c r="E307" s="4">
        <v>2.72</v>
      </c>
      <c r="F307" s="4">
        <v>27552783.7</v>
      </c>
      <c r="G307" s="4">
        <v>3.388</v>
      </c>
      <c r="H307" s="4">
        <v>34229865.28</v>
      </c>
    </row>
    <row r="308" s="1" customFormat="1" ht="14" spans="1:8">
      <c r="A308" s="2">
        <v>1900015</v>
      </c>
      <c r="B308" s="2" t="s">
        <v>969</v>
      </c>
      <c r="C308" s="3" t="s">
        <v>52</v>
      </c>
      <c r="D308" s="4">
        <v>7106881.31</v>
      </c>
      <c r="E308" s="4">
        <v>2.79</v>
      </c>
      <c r="F308" s="4">
        <v>19828198.94</v>
      </c>
      <c r="G308" s="4">
        <v>3.458</v>
      </c>
      <c r="H308" s="4">
        <v>24490503.27</v>
      </c>
    </row>
    <row r="309" s="1" customFormat="1" ht="14" spans="1:8">
      <c r="A309" s="2">
        <v>1900017</v>
      </c>
      <c r="B309" s="2" t="s">
        <v>970</v>
      </c>
      <c r="C309" s="3" t="s">
        <v>52</v>
      </c>
      <c r="D309" s="4">
        <v>251.06</v>
      </c>
      <c r="E309" s="4">
        <v>2.75</v>
      </c>
      <c r="F309" s="4">
        <v>690.41</v>
      </c>
      <c r="G309" s="4">
        <v>3.372</v>
      </c>
      <c r="H309" s="4">
        <v>846.56</v>
      </c>
    </row>
    <row r="310" s="1" customFormat="1" ht="14" spans="1:8">
      <c r="A310" s="2">
        <v>1902001</v>
      </c>
      <c r="B310" s="2" t="s">
        <v>971</v>
      </c>
      <c r="C310" s="3" t="s">
        <v>52</v>
      </c>
      <c r="D310" s="4">
        <v>8516.4</v>
      </c>
      <c r="E310" s="4">
        <v>3.45</v>
      </c>
      <c r="F310" s="4">
        <v>29381.68</v>
      </c>
      <c r="G310" s="4">
        <v>4.118</v>
      </c>
      <c r="H310" s="4">
        <v>34962.81</v>
      </c>
    </row>
    <row r="311" s="1" customFormat="1" ht="14" spans="1:8">
      <c r="A311" s="2">
        <v>1902002</v>
      </c>
      <c r="B311" s="2" t="s">
        <v>972</v>
      </c>
      <c r="C311" s="3" t="s">
        <v>52</v>
      </c>
      <c r="D311" s="4">
        <v>34602.74</v>
      </c>
      <c r="E311" s="4">
        <v>3.52</v>
      </c>
      <c r="F311" s="4">
        <v>121801.65</v>
      </c>
      <c r="G311" s="4">
        <v>4.188</v>
      </c>
      <c r="H311" s="4">
        <v>144494.98</v>
      </c>
    </row>
    <row r="312" s="1" customFormat="1" ht="14" spans="1:8">
      <c r="A312" s="2">
        <v>1910105</v>
      </c>
      <c r="B312" s="2" t="s">
        <v>973</v>
      </c>
      <c r="C312" s="3" t="s">
        <v>52</v>
      </c>
      <c r="D312" s="4">
        <v>28955.66</v>
      </c>
      <c r="E312" s="4">
        <v>2.79</v>
      </c>
      <c r="F312" s="4">
        <v>80786.29</v>
      </c>
      <c r="G312" s="4">
        <v>3.385</v>
      </c>
      <c r="H312" s="4">
        <v>99207.03</v>
      </c>
    </row>
    <row r="313" s="1" customFormat="1" ht="14" spans="1:8">
      <c r="A313" s="2">
        <v>1910107</v>
      </c>
      <c r="B313" s="2" t="s">
        <v>974</v>
      </c>
      <c r="C313" s="3" t="s">
        <v>52</v>
      </c>
      <c r="D313" s="4">
        <v>36521502.37</v>
      </c>
      <c r="E313" s="4">
        <v>2.66</v>
      </c>
      <c r="F313" s="4">
        <v>97147196.38</v>
      </c>
      <c r="G313" s="4">
        <v>3.356</v>
      </c>
      <c r="H313" s="4">
        <v>121943261.54</v>
      </c>
    </row>
    <row r="314" s="1" customFormat="1" ht="14" spans="1:8">
      <c r="A314" s="2">
        <v>1910108</v>
      </c>
      <c r="B314" s="2" t="s">
        <v>975</v>
      </c>
      <c r="C314" s="3" t="s">
        <v>52</v>
      </c>
      <c r="D314" s="4">
        <v>36139329.09</v>
      </c>
      <c r="E314" s="4">
        <v>2.64</v>
      </c>
      <c r="F314" s="4">
        <v>95407828.75</v>
      </c>
      <c r="G314" s="4">
        <v>3.336</v>
      </c>
      <c r="H314" s="4">
        <v>119785586.05</v>
      </c>
    </row>
    <row r="315" s="1" customFormat="1" ht="14" spans="1:8">
      <c r="A315" s="2">
        <v>1910203</v>
      </c>
      <c r="B315" s="2" t="s">
        <v>976</v>
      </c>
      <c r="C315" s="3" t="s">
        <v>876</v>
      </c>
      <c r="D315" s="4">
        <v>1088</v>
      </c>
      <c r="E315" s="4">
        <v>3.47</v>
      </c>
      <c r="F315" s="4">
        <v>3775.36</v>
      </c>
      <c r="G315" s="4">
        <v>3.47</v>
      </c>
      <c r="H315" s="4">
        <v>3775.36</v>
      </c>
    </row>
    <row r="316" s="1" customFormat="1" ht="14" spans="1:8">
      <c r="A316" s="2">
        <v>1910205</v>
      </c>
      <c r="B316" s="2" t="s">
        <v>977</v>
      </c>
      <c r="C316" s="3" t="s">
        <v>876</v>
      </c>
      <c r="D316" s="4">
        <v>18674.11</v>
      </c>
      <c r="E316" s="4">
        <v>4.17</v>
      </c>
      <c r="F316" s="4">
        <v>77871.08</v>
      </c>
      <c r="G316" s="4">
        <v>4.17</v>
      </c>
      <c r="H316" s="4">
        <v>77871.08</v>
      </c>
    </row>
    <row r="317" s="1" customFormat="1" ht="14" spans="1:8">
      <c r="A317" s="2">
        <v>1910211</v>
      </c>
      <c r="B317" s="2" t="s">
        <v>978</v>
      </c>
      <c r="C317" s="3" t="s">
        <v>876</v>
      </c>
      <c r="D317" s="4">
        <v>98511.5</v>
      </c>
      <c r="E317" s="4">
        <v>4.63</v>
      </c>
      <c r="F317" s="4">
        <v>456108.18</v>
      </c>
      <c r="G317" s="4">
        <v>4.63</v>
      </c>
      <c r="H317" s="4">
        <v>456108.18</v>
      </c>
    </row>
    <row r="318" s="1" customFormat="1" ht="14" spans="1:8">
      <c r="A318" s="2">
        <v>1910212</v>
      </c>
      <c r="B318" s="2" t="s">
        <v>979</v>
      </c>
      <c r="C318" s="3" t="s">
        <v>876</v>
      </c>
      <c r="D318" s="4">
        <v>912</v>
      </c>
      <c r="E318" s="4">
        <v>5.33</v>
      </c>
      <c r="F318" s="4">
        <v>4860.96</v>
      </c>
      <c r="G318" s="4">
        <v>5.33</v>
      </c>
      <c r="H318" s="4">
        <v>4860.96</v>
      </c>
    </row>
    <row r="319" s="1" customFormat="1" ht="14" spans="1:8">
      <c r="A319" s="2">
        <v>1910213</v>
      </c>
      <c r="B319" s="2" t="s">
        <v>980</v>
      </c>
      <c r="C319" s="3" t="s">
        <v>876</v>
      </c>
      <c r="D319" s="4">
        <v>28832.7</v>
      </c>
      <c r="E319" s="4">
        <v>6.56</v>
      </c>
      <c r="F319" s="4">
        <v>189142.56</v>
      </c>
      <c r="G319" s="4">
        <v>6.56</v>
      </c>
      <c r="H319" s="4">
        <v>189142.56</v>
      </c>
    </row>
    <row r="320" s="1" customFormat="1" ht="14" spans="1:8">
      <c r="A320" s="2">
        <v>1920001</v>
      </c>
      <c r="B320" s="2" t="s">
        <v>981</v>
      </c>
      <c r="C320" s="3" t="s">
        <v>52</v>
      </c>
      <c r="D320" s="4">
        <v>4440.35</v>
      </c>
      <c r="E320" s="4">
        <v>2.89</v>
      </c>
      <c r="F320" s="4">
        <v>12832.62</v>
      </c>
      <c r="G320" s="4">
        <v>3.406</v>
      </c>
      <c r="H320" s="4">
        <v>15077.88</v>
      </c>
    </row>
    <row r="321" s="1" customFormat="1" ht="14" spans="1:8">
      <c r="A321" s="2">
        <v>1930031</v>
      </c>
      <c r="B321" s="2" t="s">
        <v>982</v>
      </c>
      <c r="C321" s="3" t="s">
        <v>52</v>
      </c>
      <c r="D321" s="4">
        <v>18600.34</v>
      </c>
      <c r="E321" s="4">
        <v>2.84</v>
      </c>
      <c r="F321" s="4">
        <v>52824.95</v>
      </c>
      <c r="G321" s="4">
        <v>3.489</v>
      </c>
      <c r="H321" s="4">
        <v>63682.16</v>
      </c>
    </row>
    <row r="322" s="1" customFormat="1" ht="14" spans="1:8">
      <c r="A322" s="2">
        <v>1932001</v>
      </c>
      <c r="B322" s="2" t="s">
        <v>983</v>
      </c>
      <c r="C322" s="3" t="s">
        <v>52</v>
      </c>
      <c r="D322" s="4">
        <v>219629.25</v>
      </c>
      <c r="E322" s="4">
        <v>3.87</v>
      </c>
      <c r="F322" s="4">
        <v>849965.32</v>
      </c>
      <c r="G322" s="4">
        <v>4.519</v>
      </c>
      <c r="H322" s="4">
        <v>968834.5</v>
      </c>
    </row>
    <row r="323" s="1" customFormat="1" ht="14" spans="1:8">
      <c r="A323" s="2">
        <v>1940005</v>
      </c>
      <c r="B323" s="2" t="s">
        <v>984</v>
      </c>
      <c r="C323" s="3" t="s">
        <v>52</v>
      </c>
      <c r="D323" s="4">
        <v>527173.6</v>
      </c>
      <c r="E323" s="4">
        <v>2.94</v>
      </c>
      <c r="F323" s="4">
        <v>1549890.38</v>
      </c>
      <c r="G323" s="4">
        <v>3.539</v>
      </c>
      <c r="H323" s="4">
        <v>1846063.79</v>
      </c>
    </row>
    <row r="324" s="1" customFormat="1" ht="14" spans="1:8">
      <c r="A324" s="2">
        <v>1950101</v>
      </c>
      <c r="B324" s="2" t="s">
        <v>985</v>
      </c>
      <c r="C324" s="3" t="s">
        <v>52</v>
      </c>
      <c r="D324" s="4">
        <v>210689.99</v>
      </c>
      <c r="E324" s="4">
        <v>2.89</v>
      </c>
      <c r="F324" s="4">
        <v>608894.15</v>
      </c>
      <c r="G324" s="4">
        <v>3.539</v>
      </c>
      <c r="H324" s="4">
        <v>733500.21</v>
      </c>
    </row>
    <row r="325" s="1" customFormat="1" ht="14" spans="1:8">
      <c r="A325" s="2">
        <v>1950102</v>
      </c>
      <c r="B325" s="2" t="s">
        <v>986</v>
      </c>
      <c r="C325" s="3" t="s">
        <v>52</v>
      </c>
      <c r="D325" s="4">
        <v>116141.93</v>
      </c>
      <c r="E325" s="4">
        <v>3.74</v>
      </c>
      <c r="F325" s="4">
        <v>434370.86</v>
      </c>
      <c r="G325" s="4">
        <v>4.389</v>
      </c>
      <c r="H325" s="4">
        <v>486074.12</v>
      </c>
    </row>
    <row r="326" s="1" customFormat="1" ht="14" spans="1:8">
      <c r="A326" s="2">
        <v>1960025</v>
      </c>
      <c r="B326" s="2" t="s">
        <v>987</v>
      </c>
      <c r="C326" s="3" t="s">
        <v>52</v>
      </c>
      <c r="D326" s="4">
        <v>2292316.29</v>
      </c>
      <c r="E326" s="4">
        <v>2.84</v>
      </c>
      <c r="F326" s="4">
        <v>6510178.22</v>
      </c>
      <c r="G326" s="4">
        <v>3.356</v>
      </c>
      <c r="H326" s="4">
        <v>7655077.72</v>
      </c>
    </row>
    <row r="327" s="1" customFormat="1" ht="14" spans="1:8">
      <c r="A327" s="2">
        <v>1960027</v>
      </c>
      <c r="B327" s="2" t="s">
        <v>988</v>
      </c>
      <c r="C327" s="3" t="s">
        <v>52</v>
      </c>
      <c r="D327" s="4">
        <v>603864.22</v>
      </c>
      <c r="E327" s="4">
        <v>3.62</v>
      </c>
      <c r="F327" s="4">
        <v>2185988.58</v>
      </c>
      <c r="G327" s="4">
        <v>4.136</v>
      </c>
      <c r="H327" s="4">
        <v>2473120.31</v>
      </c>
    </row>
    <row r="328" s="1" customFormat="1" ht="14" spans="1:8">
      <c r="A328" s="2">
        <v>1960029</v>
      </c>
      <c r="B328" s="2" t="s">
        <v>989</v>
      </c>
      <c r="C328" s="3" t="s">
        <v>52</v>
      </c>
      <c r="D328" s="4">
        <v>3954.47</v>
      </c>
      <c r="E328" s="4">
        <v>3.62</v>
      </c>
      <c r="F328" s="4">
        <v>14315.18</v>
      </c>
      <c r="G328" s="4">
        <v>4</v>
      </c>
      <c r="H328" s="4">
        <v>16515.57</v>
      </c>
    </row>
    <row r="329" s="1" customFormat="1" ht="14" spans="1:8">
      <c r="A329" s="2">
        <v>1962001</v>
      </c>
      <c r="B329" s="2" t="s">
        <v>990</v>
      </c>
      <c r="C329" s="3" t="s">
        <v>52</v>
      </c>
      <c r="D329" s="4">
        <v>5064988.52</v>
      </c>
      <c r="E329" s="4">
        <v>2.89</v>
      </c>
      <c r="F329" s="4">
        <v>14637816.82</v>
      </c>
      <c r="G329" s="4">
        <v>3.489</v>
      </c>
      <c r="H329" s="4">
        <v>17174258.55</v>
      </c>
    </row>
    <row r="330" s="1" customFormat="1" ht="14" spans="1:8">
      <c r="A330" s="2">
        <v>1980050</v>
      </c>
      <c r="B330" s="2" t="s">
        <v>991</v>
      </c>
      <c r="C330" s="3" t="s">
        <v>52</v>
      </c>
      <c r="D330" s="4">
        <v>2794.58</v>
      </c>
      <c r="E330" s="4">
        <v>3.31</v>
      </c>
      <c r="F330" s="4">
        <v>9250.06</v>
      </c>
      <c r="G330" s="4">
        <v>3.96</v>
      </c>
      <c r="H330" s="4">
        <v>11066.54</v>
      </c>
    </row>
    <row r="331" s="1" customFormat="1" ht="14" spans="1:8">
      <c r="A331" s="2">
        <v>1980053</v>
      </c>
      <c r="B331" s="2" t="s">
        <v>992</v>
      </c>
      <c r="C331" s="3" t="s">
        <v>52</v>
      </c>
      <c r="D331" s="4">
        <v>3019936.63</v>
      </c>
      <c r="E331" s="4">
        <v>3.84</v>
      </c>
      <c r="F331" s="4">
        <v>11596556.64</v>
      </c>
      <c r="G331" s="4">
        <v>4.31</v>
      </c>
      <c r="H331" s="4">
        <v>13015926.91</v>
      </c>
    </row>
    <row r="332" s="1" customFormat="1" ht="14" spans="1:8">
      <c r="A332" s="2">
        <v>1990051</v>
      </c>
      <c r="B332" s="2" t="s">
        <v>993</v>
      </c>
      <c r="C332" s="3" t="s">
        <v>29</v>
      </c>
      <c r="D332" s="4">
        <v>7.69</v>
      </c>
      <c r="E332" s="4">
        <v>3000</v>
      </c>
      <c r="F332" s="4">
        <v>23070</v>
      </c>
      <c r="G332" s="4">
        <v>3000</v>
      </c>
      <c r="H332" s="4">
        <v>23070</v>
      </c>
    </row>
    <row r="333" s="1" customFormat="1" ht="14" spans="1:8">
      <c r="A333" s="2">
        <v>2000001</v>
      </c>
      <c r="B333" s="2" t="s">
        <v>994</v>
      </c>
      <c r="C333" s="3" t="s">
        <v>52</v>
      </c>
      <c r="D333" s="4">
        <v>423327.9</v>
      </c>
      <c r="E333" s="4">
        <v>2.9</v>
      </c>
      <c r="F333" s="4">
        <v>1227650.94</v>
      </c>
      <c r="G333" s="4">
        <v>3.379</v>
      </c>
      <c r="H333" s="4">
        <v>1429300.65</v>
      </c>
    </row>
    <row r="334" s="1" customFormat="1" ht="14" spans="1:8">
      <c r="A334" s="2">
        <v>2000007</v>
      </c>
      <c r="B334" s="2" t="s">
        <v>995</v>
      </c>
      <c r="C334" s="3" t="s">
        <v>52</v>
      </c>
      <c r="D334" s="4">
        <v>3857476.76</v>
      </c>
      <c r="E334" s="4">
        <v>2.78</v>
      </c>
      <c r="F334" s="4">
        <v>10723785.44</v>
      </c>
      <c r="G334" s="4">
        <v>3.494</v>
      </c>
      <c r="H334" s="4">
        <v>13394360.2</v>
      </c>
    </row>
    <row r="335" s="1" customFormat="1" ht="14" spans="1:8">
      <c r="A335" s="2">
        <v>2000024</v>
      </c>
      <c r="B335" s="2" t="s">
        <v>996</v>
      </c>
      <c r="C335" s="3" t="s">
        <v>52</v>
      </c>
      <c r="D335" s="4">
        <v>18573.69</v>
      </c>
      <c r="E335" s="4">
        <v>2.9</v>
      </c>
      <c r="F335" s="4">
        <v>53863.73</v>
      </c>
      <c r="G335" s="4">
        <v>3.379</v>
      </c>
      <c r="H335" s="4">
        <v>61841.76</v>
      </c>
    </row>
    <row r="336" s="1" customFormat="1" ht="14" spans="1:8">
      <c r="A336" s="2">
        <v>2000027</v>
      </c>
      <c r="B336" s="2" t="s">
        <v>997</v>
      </c>
      <c r="C336" s="3" t="s">
        <v>52</v>
      </c>
      <c r="D336" s="4">
        <v>546.86</v>
      </c>
      <c r="E336" s="4">
        <v>2.78</v>
      </c>
      <c r="F336" s="4">
        <v>1520.26</v>
      </c>
      <c r="G336" s="4">
        <v>3.494</v>
      </c>
      <c r="H336" s="4">
        <v>1888.13</v>
      </c>
    </row>
    <row r="337" s="1" customFormat="1" ht="14" spans="1:8">
      <c r="A337" s="2">
        <v>2010001</v>
      </c>
      <c r="B337" s="2" t="s">
        <v>998</v>
      </c>
      <c r="C337" s="3" t="s">
        <v>52</v>
      </c>
      <c r="D337" s="4">
        <v>413.23</v>
      </c>
      <c r="E337" s="4">
        <v>2.73</v>
      </c>
      <c r="F337" s="4">
        <v>1128.18</v>
      </c>
      <c r="G337" s="4">
        <v>2.73</v>
      </c>
      <c r="H337" s="4">
        <v>1128.18</v>
      </c>
    </row>
    <row r="338" s="1" customFormat="1" ht="14" spans="1:8">
      <c r="A338" s="2">
        <v>2020001</v>
      </c>
      <c r="B338" s="2" t="s">
        <v>999</v>
      </c>
      <c r="C338" s="3" t="s">
        <v>52</v>
      </c>
      <c r="D338" s="4">
        <v>218431.35</v>
      </c>
      <c r="E338" s="4">
        <v>3.6</v>
      </c>
      <c r="F338" s="4">
        <v>786352.84</v>
      </c>
      <c r="G338" s="4">
        <v>3.6</v>
      </c>
      <c r="H338" s="4">
        <v>786352.84</v>
      </c>
    </row>
    <row r="339" s="1" customFormat="1" ht="14" spans="1:8">
      <c r="A339" s="2">
        <v>2020031</v>
      </c>
      <c r="B339" s="2" t="s">
        <v>1000</v>
      </c>
      <c r="C339" s="3" t="s">
        <v>824</v>
      </c>
      <c r="D339" s="4">
        <v>297.54</v>
      </c>
      <c r="E339" s="4">
        <v>176.99</v>
      </c>
      <c r="F339" s="4">
        <v>52662.49</v>
      </c>
      <c r="G339" s="4">
        <v>176.99</v>
      </c>
      <c r="H339" s="4">
        <v>52662.49</v>
      </c>
    </row>
    <row r="340" s="1" customFormat="1" ht="14" spans="1:8">
      <c r="A340" s="2">
        <v>2020051</v>
      </c>
      <c r="B340" s="2" t="s">
        <v>1001</v>
      </c>
      <c r="C340" s="3" t="s">
        <v>824</v>
      </c>
      <c r="D340" s="4">
        <v>265.42</v>
      </c>
      <c r="E340" s="4">
        <v>265.49</v>
      </c>
      <c r="F340" s="4">
        <v>70467.96</v>
      </c>
      <c r="G340" s="4">
        <v>265.49</v>
      </c>
      <c r="H340" s="4">
        <v>70467.96</v>
      </c>
    </row>
    <row r="341" s="1" customFormat="1" ht="14" spans="1:8">
      <c r="A341" s="2">
        <v>2030003</v>
      </c>
      <c r="B341" s="2" t="s">
        <v>1002</v>
      </c>
      <c r="C341" s="3" t="s">
        <v>52</v>
      </c>
      <c r="D341" s="4">
        <v>29422.14</v>
      </c>
      <c r="E341" s="4">
        <v>4.15</v>
      </c>
      <c r="F341" s="4">
        <v>122101.94</v>
      </c>
      <c r="G341" s="4">
        <v>4.15</v>
      </c>
      <c r="H341" s="4">
        <v>122101.94</v>
      </c>
    </row>
    <row r="342" s="1" customFormat="1" ht="14" spans="1:8">
      <c r="A342" s="2">
        <v>2031001</v>
      </c>
      <c r="B342" s="2" t="s">
        <v>1003</v>
      </c>
      <c r="C342" s="3" t="s">
        <v>52</v>
      </c>
      <c r="D342" s="4">
        <v>454.5</v>
      </c>
      <c r="E342" s="4">
        <v>15.44</v>
      </c>
      <c r="F342" s="4">
        <v>7017.48</v>
      </c>
      <c r="G342" s="4">
        <v>15.44</v>
      </c>
      <c r="H342" s="4">
        <v>7017.48</v>
      </c>
    </row>
    <row r="343" s="1" customFormat="1" ht="14" spans="1:8">
      <c r="A343" s="2">
        <v>2031002</v>
      </c>
      <c r="B343" s="2" t="s">
        <v>1004</v>
      </c>
      <c r="C343" s="3" t="s">
        <v>52</v>
      </c>
      <c r="D343" s="4">
        <v>11440.59</v>
      </c>
      <c r="E343" s="4">
        <v>15.44</v>
      </c>
      <c r="F343" s="4">
        <v>176642.67</v>
      </c>
      <c r="G343" s="4">
        <v>15.44</v>
      </c>
      <c r="H343" s="4">
        <v>176642.67</v>
      </c>
    </row>
    <row r="344" s="1" customFormat="1" ht="14" spans="1:8">
      <c r="A344" s="2">
        <v>2031005</v>
      </c>
      <c r="B344" s="2" t="s">
        <v>1005</v>
      </c>
      <c r="C344" s="3" t="s">
        <v>679</v>
      </c>
      <c r="D344" s="4">
        <v>433.41</v>
      </c>
      <c r="E344" s="4">
        <v>118.29</v>
      </c>
      <c r="F344" s="4">
        <v>51268.08</v>
      </c>
      <c r="G344" s="4">
        <v>118.29</v>
      </c>
      <c r="H344" s="4">
        <v>51268.08</v>
      </c>
    </row>
    <row r="345" s="1" customFormat="1" ht="14" spans="1:8">
      <c r="A345" s="2">
        <v>2031010</v>
      </c>
      <c r="B345" s="2" t="s">
        <v>1006</v>
      </c>
      <c r="C345" s="3" t="s">
        <v>52</v>
      </c>
      <c r="D345" s="4">
        <v>259</v>
      </c>
      <c r="E345" s="4">
        <v>26.24</v>
      </c>
      <c r="F345" s="4">
        <v>6796.16</v>
      </c>
      <c r="G345" s="4">
        <v>26.24</v>
      </c>
      <c r="H345" s="4">
        <v>6796.16</v>
      </c>
    </row>
    <row r="346" s="1" customFormat="1" ht="14" spans="1:8">
      <c r="A346" s="2">
        <v>2031014</v>
      </c>
      <c r="B346" s="2" t="s">
        <v>1007</v>
      </c>
      <c r="C346" s="3" t="s">
        <v>472</v>
      </c>
      <c r="D346" s="4">
        <v>166.5</v>
      </c>
      <c r="E346" s="4">
        <v>8.99</v>
      </c>
      <c r="F346" s="4">
        <v>1496.84</v>
      </c>
      <c r="G346" s="4">
        <v>8.99</v>
      </c>
      <c r="H346" s="4">
        <v>1496.84</v>
      </c>
    </row>
    <row r="347" s="1" customFormat="1" ht="14" spans="1:8">
      <c r="A347" s="2">
        <v>2031016</v>
      </c>
      <c r="B347" s="2" t="s">
        <v>1008</v>
      </c>
      <c r="C347" s="3" t="s">
        <v>472</v>
      </c>
      <c r="D347" s="4">
        <v>5360.69</v>
      </c>
      <c r="E347" s="4">
        <v>90.7</v>
      </c>
      <c r="F347" s="4">
        <v>486213.14</v>
      </c>
      <c r="G347" s="4">
        <v>90.7</v>
      </c>
      <c r="H347" s="4">
        <v>486213.14</v>
      </c>
    </row>
    <row r="348" s="1" customFormat="1" ht="14" spans="1:8">
      <c r="A348" s="2">
        <v>2031017</v>
      </c>
      <c r="B348" s="2" t="s">
        <v>1009</v>
      </c>
      <c r="C348" s="3" t="s">
        <v>824</v>
      </c>
      <c r="D348" s="4">
        <v>1215.64</v>
      </c>
      <c r="E348" s="4">
        <v>41.17</v>
      </c>
      <c r="F348" s="4">
        <v>50047.92</v>
      </c>
      <c r="G348" s="4">
        <v>41.17</v>
      </c>
      <c r="H348" s="4">
        <v>50047.92</v>
      </c>
    </row>
    <row r="349" s="1" customFormat="1" ht="14" spans="1:8">
      <c r="A349" s="2">
        <v>2031022</v>
      </c>
      <c r="B349" s="2" t="s">
        <v>1010</v>
      </c>
      <c r="C349" s="3" t="s">
        <v>52</v>
      </c>
      <c r="D349" s="4">
        <v>63.54</v>
      </c>
      <c r="E349" s="4">
        <v>21.44</v>
      </c>
      <c r="F349" s="4">
        <v>1362.5</v>
      </c>
      <c r="G349" s="4">
        <v>21.44</v>
      </c>
      <c r="H349" s="4">
        <v>1362.5</v>
      </c>
    </row>
    <row r="350" s="1" customFormat="1" ht="14" spans="1:8">
      <c r="A350" s="2">
        <v>2031031</v>
      </c>
      <c r="B350" s="2" t="s">
        <v>1011</v>
      </c>
      <c r="C350" s="3" t="s">
        <v>876</v>
      </c>
      <c r="D350" s="4">
        <v>52</v>
      </c>
      <c r="E350" s="4">
        <v>138.79</v>
      </c>
      <c r="F350" s="4">
        <v>7217.08</v>
      </c>
      <c r="G350" s="4">
        <v>138.79</v>
      </c>
      <c r="H350" s="4">
        <v>7217.08</v>
      </c>
    </row>
    <row r="351" s="1" customFormat="1" ht="14" spans="1:8">
      <c r="A351" s="2">
        <v>2031032</v>
      </c>
      <c r="B351" s="2" t="s">
        <v>1012</v>
      </c>
      <c r="C351" s="3" t="s">
        <v>472</v>
      </c>
      <c r="D351" s="4">
        <v>197</v>
      </c>
      <c r="E351" s="4">
        <v>42.24</v>
      </c>
      <c r="F351" s="4">
        <v>8321.28</v>
      </c>
      <c r="G351" s="4">
        <v>42.24</v>
      </c>
      <c r="H351" s="4">
        <v>8321.28</v>
      </c>
    </row>
    <row r="352" s="1" customFormat="1" ht="14" spans="1:8">
      <c r="A352" s="2">
        <v>2031043</v>
      </c>
      <c r="B352" s="2" t="s">
        <v>1013</v>
      </c>
      <c r="C352" s="3" t="s">
        <v>52</v>
      </c>
      <c r="D352" s="4">
        <v>1570.56</v>
      </c>
      <c r="E352" s="4">
        <v>3.24</v>
      </c>
      <c r="F352" s="4">
        <v>5088.58</v>
      </c>
      <c r="G352" s="4">
        <v>3.24</v>
      </c>
      <c r="H352" s="4">
        <v>5088.58</v>
      </c>
    </row>
    <row r="353" s="1" customFormat="1" ht="14" spans="1:8">
      <c r="A353" s="2">
        <v>2031054</v>
      </c>
      <c r="B353" s="2" t="s">
        <v>1014</v>
      </c>
      <c r="C353" s="3" t="s">
        <v>52</v>
      </c>
      <c r="D353" s="4">
        <v>12479.73</v>
      </c>
      <c r="E353" s="4">
        <v>4.91</v>
      </c>
      <c r="F353" s="4">
        <v>61275.49</v>
      </c>
      <c r="G353" s="4">
        <v>4.91</v>
      </c>
      <c r="H353" s="4">
        <v>61275.49</v>
      </c>
    </row>
    <row r="354" s="1" customFormat="1" ht="14" spans="1:8">
      <c r="A354" s="2">
        <v>2031059</v>
      </c>
      <c r="B354" s="2" t="s">
        <v>1015</v>
      </c>
      <c r="C354" s="3" t="s">
        <v>52</v>
      </c>
      <c r="D354" s="4">
        <v>34822.81</v>
      </c>
      <c r="E354" s="4">
        <v>4.09</v>
      </c>
      <c r="F354" s="4">
        <v>142425.32</v>
      </c>
      <c r="G354" s="4">
        <v>4.09</v>
      </c>
      <c r="H354" s="4">
        <v>142425.32</v>
      </c>
    </row>
    <row r="355" s="1" customFormat="1" ht="14" spans="1:8">
      <c r="A355" s="2">
        <v>2031061</v>
      </c>
      <c r="B355" s="2" t="s">
        <v>1016</v>
      </c>
      <c r="C355" s="3" t="s">
        <v>52</v>
      </c>
      <c r="D355" s="4">
        <v>11636.55</v>
      </c>
      <c r="E355" s="4">
        <v>4.48</v>
      </c>
      <c r="F355" s="4">
        <v>52131.79</v>
      </c>
      <c r="G355" s="4">
        <v>4.48</v>
      </c>
      <c r="H355" s="4">
        <v>52131.79</v>
      </c>
    </row>
    <row r="356" s="1" customFormat="1" ht="14" spans="1:8">
      <c r="A356" s="2">
        <v>2031069</v>
      </c>
      <c r="B356" s="2" t="s">
        <v>1017</v>
      </c>
      <c r="C356" s="3" t="s">
        <v>52</v>
      </c>
      <c r="D356" s="4">
        <v>15013.31</v>
      </c>
      <c r="E356" s="4">
        <v>4.25</v>
      </c>
      <c r="F356" s="4">
        <v>63806.57</v>
      </c>
      <c r="G356" s="4">
        <v>4.25</v>
      </c>
      <c r="H356" s="4">
        <v>63806.57</v>
      </c>
    </row>
    <row r="357" s="1" customFormat="1" ht="14" spans="1:8">
      <c r="A357" s="2">
        <v>2031070</v>
      </c>
      <c r="B357" s="2" t="s">
        <v>1018</v>
      </c>
      <c r="C357" s="3" t="s">
        <v>1019</v>
      </c>
      <c r="D357" s="4">
        <v>651.34</v>
      </c>
      <c r="E357" s="4">
        <v>0.93</v>
      </c>
      <c r="F357" s="4">
        <v>605.74</v>
      </c>
      <c r="G357" s="4">
        <v>0.93</v>
      </c>
      <c r="H357" s="4">
        <v>605.74</v>
      </c>
    </row>
    <row r="358" s="1" customFormat="1" ht="14" spans="1:8">
      <c r="A358" s="2">
        <v>2031071</v>
      </c>
      <c r="B358" s="2" t="s">
        <v>1020</v>
      </c>
      <c r="C358" s="3" t="s">
        <v>472</v>
      </c>
      <c r="D358" s="4">
        <v>1953.24</v>
      </c>
      <c r="E358" s="4">
        <v>20.15</v>
      </c>
      <c r="F358" s="4">
        <v>39357.76</v>
      </c>
      <c r="G358" s="4">
        <v>20.15</v>
      </c>
      <c r="H358" s="4">
        <v>39357.76</v>
      </c>
    </row>
    <row r="359" s="1" customFormat="1" ht="14" spans="1:8">
      <c r="A359" s="2">
        <v>2031072</v>
      </c>
      <c r="B359" s="2" t="s">
        <v>1021</v>
      </c>
      <c r="C359" s="3" t="s">
        <v>876</v>
      </c>
      <c r="D359" s="4">
        <v>651.34</v>
      </c>
      <c r="E359" s="4">
        <v>9.52</v>
      </c>
      <c r="F359" s="4">
        <v>6200.74</v>
      </c>
      <c r="G359" s="4">
        <v>9.52</v>
      </c>
      <c r="H359" s="4">
        <v>6200.74</v>
      </c>
    </row>
    <row r="360" s="1" customFormat="1" ht="28" spans="1:8">
      <c r="A360" s="2">
        <v>2031106</v>
      </c>
      <c r="B360" s="2" t="s">
        <v>1022</v>
      </c>
      <c r="C360" s="3" t="s">
        <v>472</v>
      </c>
      <c r="D360" s="4">
        <v>8204.77</v>
      </c>
      <c r="E360" s="4">
        <v>37.48</v>
      </c>
      <c r="F360" s="4">
        <v>307514.7</v>
      </c>
      <c r="G360" s="4">
        <v>37.48</v>
      </c>
      <c r="H360" s="4">
        <v>307514.7</v>
      </c>
    </row>
    <row r="361" s="1" customFormat="1" ht="14" spans="1:8">
      <c r="A361" s="2">
        <v>2031111</v>
      </c>
      <c r="B361" s="2" t="s">
        <v>1023</v>
      </c>
      <c r="C361" s="3" t="s">
        <v>679</v>
      </c>
      <c r="D361" s="4">
        <v>566.27</v>
      </c>
      <c r="E361" s="4">
        <v>120.92</v>
      </c>
      <c r="F361" s="4">
        <v>68473.05</v>
      </c>
      <c r="G361" s="4">
        <v>120.92</v>
      </c>
      <c r="H361" s="4">
        <v>68473.05</v>
      </c>
    </row>
    <row r="362" s="1" customFormat="1" ht="14" spans="1:8">
      <c r="A362" s="2">
        <v>2031113</v>
      </c>
      <c r="B362" s="2" t="s">
        <v>1024</v>
      </c>
      <c r="C362" s="3" t="s">
        <v>679</v>
      </c>
      <c r="D362" s="4">
        <v>22.03</v>
      </c>
      <c r="E362" s="4">
        <v>137.04</v>
      </c>
      <c r="F362" s="4">
        <v>3019.27</v>
      </c>
      <c r="G362" s="4">
        <v>137.04</v>
      </c>
      <c r="H362" s="4">
        <v>3019.27</v>
      </c>
    </row>
    <row r="363" s="1" customFormat="1" ht="14" spans="1:8">
      <c r="A363" s="2">
        <v>2031114</v>
      </c>
      <c r="B363" s="2" t="s">
        <v>1025</v>
      </c>
      <c r="C363" s="3" t="s">
        <v>679</v>
      </c>
      <c r="D363" s="4">
        <v>91.8</v>
      </c>
      <c r="E363" s="4">
        <v>43.04</v>
      </c>
      <c r="F363" s="4">
        <v>3951.07</v>
      </c>
      <c r="G363" s="4">
        <v>43.04</v>
      </c>
      <c r="H363" s="4">
        <v>3951.07</v>
      </c>
    </row>
    <row r="364" s="1" customFormat="1" ht="14" spans="1:8">
      <c r="A364" s="2">
        <v>2031117</v>
      </c>
      <c r="B364" s="2" t="s">
        <v>1026</v>
      </c>
      <c r="C364" s="3" t="s">
        <v>679</v>
      </c>
      <c r="D364" s="4">
        <v>273.46</v>
      </c>
      <c r="E364" s="4">
        <v>25.82</v>
      </c>
      <c r="F364" s="4">
        <v>7060.4</v>
      </c>
      <c r="G364" s="4">
        <v>25.82</v>
      </c>
      <c r="H364" s="4">
        <v>7060.4</v>
      </c>
    </row>
    <row r="365" s="1" customFormat="1" ht="14" spans="1:8">
      <c r="A365" s="2">
        <v>2031118</v>
      </c>
      <c r="B365" s="2" t="s">
        <v>1027</v>
      </c>
      <c r="C365" s="3" t="s">
        <v>701</v>
      </c>
      <c r="D365" s="4">
        <v>37.14</v>
      </c>
      <c r="E365" s="4">
        <v>24.19</v>
      </c>
      <c r="F365" s="4">
        <v>898.42</v>
      </c>
      <c r="G365" s="4">
        <v>24.19</v>
      </c>
      <c r="H365" s="4">
        <v>898.42</v>
      </c>
    </row>
    <row r="366" s="1" customFormat="1" ht="14" spans="1:8">
      <c r="A366" s="2">
        <v>2031119</v>
      </c>
      <c r="B366" s="2" t="s">
        <v>1028</v>
      </c>
      <c r="C366" s="3" t="s">
        <v>1029</v>
      </c>
      <c r="D366" s="4">
        <v>7102.45</v>
      </c>
      <c r="E366" s="4">
        <v>2.02</v>
      </c>
      <c r="F366" s="4">
        <v>14346.95</v>
      </c>
      <c r="G366" s="4">
        <v>2.02</v>
      </c>
      <c r="H366" s="4">
        <v>14346.95</v>
      </c>
    </row>
    <row r="367" s="1" customFormat="1" ht="14" spans="1:8">
      <c r="A367" s="2">
        <v>2031122</v>
      </c>
      <c r="B367" s="2" t="s">
        <v>1030</v>
      </c>
      <c r="C367" s="3" t="s">
        <v>679</v>
      </c>
      <c r="D367" s="4">
        <v>2900.83</v>
      </c>
      <c r="E367" s="4">
        <v>57.82</v>
      </c>
      <c r="F367" s="4">
        <v>167726.86</v>
      </c>
      <c r="G367" s="4">
        <v>57.82</v>
      </c>
      <c r="H367" s="4">
        <v>167726.86</v>
      </c>
    </row>
    <row r="368" s="1" customFormat="1" ht="14" spans="1:8">
      <c r="A368" s="2">
        <v>2031123</v>
      </c>
      <c r="B368" s="2" t="s">
        <v>1031</v>
      </c>
      <c r="C368" s="3" t="s">
        <v>679</v>
      </c>
      <c r="D368" s="4">
        <v>408</v>
      </c>
      <c r="E368" s="4">
        <v>54.04</v>
      </c>
      <c r="F368" s="4">
        <v>22048.32</v>
      </c>
      <c r="G368" s="4">
        <v>54.04</v>
      </c>
      <c r="H368" s="4">
        <v>22048.32</v>
      </c>
    </row>
    <row r="369" s="1" customFormat="1" ht="14" spans="1:8">
      <c r="A369" s="2">
        <v>2031125</v>
      </c>
      <c r="B369" s="2" t="s">
        <v>1032</v>
      </c>
      <c r="C369" s="3" t="s">
        <v>679</v>
      </c>
      <c r="D369" s="4">
        <v>1840.57</v>
      </c>
      <c r="E369" s="4">
        <v>74.05</v>
      </c>
      <c r="F369" s="4">
        <v>136294.51</v>
      </c>
      <c r="G369" s="4">
        <v>74.05</v>
      </c>
      <c r="H369" s="4">
        <v>136294.51</v>
      </c>
    </row>
    <row r="370" s="1" customFormat="1" ht="14" spans="1:8">
      <c r="A370" s="2">
        <v>2100005</v>
      </c>
      <c r="B370" s="2" t="s">
        <v>1033</v>
      </c>
      <c r="C370" s="3" t="s">
        <v>52</v>
      </c>
      <c r="D370" s="4">
        <v>30628.59</v>
      </c>
      <c r="E370" s="4">
        <v>4.48</v>
      </c>
      <c r="F370" s="4">
        <v>137216.09</v>
      </c>
      <c r="G370" s="4">
        <v>4.48</v>
      </c>
      <c r="H370" s="4">
        <v>137216.09</v>
      </c>
    </row>
    <row r="371" s="1" customFormat="1" ht="14" spans="1:8">
      <c r="A371" s="2">
        <v>2100006</v>
      </c>
      <c r="B371" s="2" t="s">
        <v>1034</v>
      </c>
      <c r="C371" s="3" t="s">
        <v>52</v>
      </c>
      <c r="D371" s="4">
        <v>2.66</v>
      </c>
      <c r="E371" s="4">
        <v>21.44</v>
      </c>
      <c r="F371" s="4">
        <v>57.16</v>
      </c>
      <c r="G371" s="4">
        <v>21.44</v>
      </c>
      <c r="H371" s="4">
        <v>57.16</v>
      </c>
    </row>
    <row r="372" s="1" customFormat="1" ht="14" spans="1:8">
      <c r="A372" s="2">
        <v>2110005</v>
      </c>
      <c r="B372" s="2" t="s">
        <v>1035</v>
      </c>
      <c r="C372" s="3" t="s">
        <v>52</v>
      </c>
      <c r="D372" s="4">
        <v>82585</v>
      </c>
      <c r="E372" s="4">
        <v>5.11</v>
      </c>
      <c r="F372" s="4">
        <v>422009.34</v>
      </c>
      <c r="G372" s="4">
        <v>5.11</v>
      </c>
      <c r="H372" s="4">
        <v>422009.34</v>
      </c>
    </row>
    <row r="373" s="1" customFormat="1" ht="14" spans="1:8">
      <c r="A373" s="2">
        <v>2120015</v>
      </c>
      <c r="B373" s="2" t="s">
        <v>1036</v>
      </c>
      <c r="C373" s="3" t="s">
        <v>52</v>
      </c>
      <c r="D373" s="4">
        <v>155318.76</v>
      </c>
      <c r="E373" s="4">
        <v>4.47</v>
      </c>
      <c r="F373" s="4">
        <v>694274.87</v>
      </c>
      <c r="G373" s="4">
        <v>7.42</v>
      </c>
      <c r="H373" s="4">
        <v>1152465.18</v>
      </c>
    </row>
    <row r="374" s="1" customFormat="1" ht="14" spans="1:8">
      <c r="A374" s="2">
        <v>2130001</v>
      </c>
      <c r="B374" s="2" t="s">
        <v>1037</v>
      </c>
      <c r="C374" s="3" t="s">
        <v>52</v>
      </c>
      <c r="D374" s="4">
        <v>23905.35</v>
      </c>
      <c r="E374" s="4">
        <v>3.71</v>
      </c>
      <c r="F374" s="4">
        <v>88688.83</v>
      </c>
      <c r="G374" s="4">
        <v>3.71</v>
      </c>
      <c r="H374" s="4">
        <v>88688.83</v>
      </c>
    </row>
    <row r="375" s="1" customFormat="1" ht="14" spans="1:8">
      <c r="A375" s="2">
        <v>2130012</v>
      </c>
      <c r="B375" s="2" t="s">
        <v>1038</v>
      </c>
      <c r="C375" s="3" t="s">
        <v>52</v>
      </c>
      <c r="D375" s="4">
        <v>821574.64</v>
      </c>
      <c r="E375" s="4">
        <v>3.46</v>
      </c>
      <c r="F375" s="4">
        <v>2842648.54</v>
      </c>
      <c r="G375" s="4">
        <v>3.46</v>
      </c>
      <c r="H375" s="4">
        <v>2842648.54</v>
      </c>
    </row>
    <row r="376" s="1" customFormat="1" ht="14" spans="1:8">
      <c r="A376" s="2">
        <v>2150001</v>
      </c>
      <c r="B376" s="2" t="s">
        <v>1039</v>
      </c>
      <c r="C376" s="3" t="s">
        <v>52</v>
      </c>
      <c r="D376" s="4">
        <v>4739.35</v>
      </c>
      <c r="E376" s="4">
        <v>3.22</v>
      </c>
      <c r="F376" s="4">
        <v>15260.72</v>
      </c>
      <c r="G376" s="4">
        <v>3.22</v>
      </c>
      <c r="H376" s="4">
        <v>15260.72</v>
      </c>
    </row>
    <row r="377" s="1" customFormat="1" ht="14" spans="1:8">
      <c r="A377" s="2">
        <v>2150006</v>
      </c>
      <c r="B377" s="2" t="s">
        <v>1040</v>
      </c>
      <c r="C377" s="3" t="s">
        <v>52</v>
      </c>
      <c r="D377" s="4">
        <v>3601.44</v>
      </c>
      <c r="E377" s="4">
        <v>27.44</v>
      </c>
      <c r="F377" s="4">
        <v>98823.51</v>
      </c>
      <c r="G377" s="4">
        <v>27.44</v>
      </c>
      <c r="H377" s="4">
        <v>98823.51</v>
      </c>
    </row>
    <row r="378" s="1" customFormat="1" ht="14" spans="1:8">
      <c r="A378" s="2">
        <v>2151030</v>
      </c>
      <c r="B378" s="2" t="s">
        <v>1041</v>
      </c>
      <c r="C378" s="3" t="s">
        <v>824</v>
      </c>
      <c r="D378" s="4">
        <v>112.11</v>
      </c>
      <c r="E378" s="4">
        <v>8.11</v>
      </c>
      <c r="F378" s="4">
        <v>909.14</v>
      </c>
      <c r="G378" s="4">
        <v>8.11</v>
      </c>
      <c r="H378" s="4">
        <v>909.14</v>
      </c>
    </row>
    <row r="379" s="1" customFormat="1" ht="14" spans="1:8">
      <c r="A379" s="2">
        <v>2200100</v>
      </c>
      <c r="B379" s="2" t="s">
        <v>1042</v>
      </c>
      <c r="C379" s="3" t="s">
        <v>52</v>
      </c>
      <c r="D379" s="4">
        <v>371314.41</v>
      </c>
      <c r="E379" s="4">
        <v>3.62</v>
      </c>
      <c r="F379" s="4">
        <v>1344158.16</v>
      </c>
      <c r="G379" s="4">
        <v>4.32</v>
      </c>
      <c r="H379" s="4">
        <v>1604078.25</v>
      </c>
    </row>
    <row r="380" s="1" customFormat="1" ht="14" spans="1:8">
      <c r="A380" s="2">
        <v>2201011</v>
      </c>
      <c r="B380" s="2" t="s">
        <v>1043</v>
      </c>
      <c r="C380" s="3" t="s">
        <v>472</v>
      </c>
      <c r="D380" s="4">
        <v>66393.43</v>
      </c>
      <c r="E380" s="4">
        <v>8.89</v>
      </c>
      <c r="F380" s="4">
        <v>590237.61</v>
      </c>
      <c r="G380" s="4">
        <v>10.6272</v>
      </c>
      <c r="H380" s="4">
        <v>705576.28</v>
      </c>
    </row>
    <row r="381" s="1" customFormat="1" ht="14" spans="1:8">
      <c r="A381" s="2">
        <v>2201014</v>
      </c>
      <c r="B381" s="2" t="s">
        <v>1044</v>
      </c>
      <c r="C381" s="3" t="s">
        <v>472</v>
      </c>
      <c r="D381" s="4">
        <v>127819.02</v>
      </c>
      <c r="E381" s="4">
        <v>15.07</v>
      </c>
      <c r="F381" s="4">
        <v>1926232.64</v>
      </c>
      <c r="G381" s="4">
        <v>18.0144</v>
      </c>
      <c r="H381" s="4">
        <v>2302582.95</v>
      </c>
    </row>
    <row r="382" s="1" customFormat="1" ht="14" spans="1:8">
      <c r="A382" s="2">
        <v>2201019</v>
      </c>
      <c r="B382" s="2" t="s">
        <v>1045</v>
      </c>
      <c r="C382" s="3" t="s">
        <v>472</v>
      </c>
      <c r="D382" s="4">
        <v>732</v>
      </c>
      <c r="E382" s="4">
        <v>18.9</v>
      </c>
      <c r="F382" s="4">
        <v>13834.8</v>
      </c>
      <c r="G382" s="4">
        <v>22.5936</v>
      </c>
      <c r="H382" s="4">
        <v>16538.52</v>
      </c>
    </row>
    <row r="383" s="1" customFormat="1" ht="14" spans="1:8">
      <c r="A383" s="2">
        <v>2201021</v>
      </c>
      <c r="B383" s="2" t="s">
        <v>1046</v>
      </c>
      <c r="C383" s="3" t="s">
        <v>472</v>
      </c>
      <c r="D383" s="4">
        <v>491.04</v>
      </c>
      <c r="E383" s="4">
        <v>25.65</v>
      </c>
      <c r="F383" s="4">
        <v>12595.18</v>
      </c>
      <c r="G383" s="4">
        <v>30.672</v>
      </c>
      <c r="H383" s="4">
        <v>15061.18</v>
      </c>
    </row>
    <row r="384" s="1" customFormat="1" ht="14" spans="1:8">
      <c r="A384" s="2">
        <v>2201024</v>
      </c>
      <c r="B384" s="2" t="s">
        <v>1047</v>
      </c>
      <c r="C384" s="3" t="s">
        <v>472</v>
      </c>
      <c r="D384" s="4">
        <v>7520</v>
      </c>
      <c r="E384" s="4">
        <v>30.28</v>
      </c>
      <c r="F384" s="4">
        <v>227705.69</v>
      </c>
      <c r="G384" s="4">
        <v>36.2016</v>
      </c>
      <c r="H384" s="4">
        <v>272236.14</v>
      </c>
    </row>
    <row r="385" s="1" customFormat="1" ht="14" spans="1:8">
      <c r="A385" s="2">
        <v>2201027</v>
      </c>
      <c r="B385" s="2" t="s">
        <v>1048</v>
      </c>
      <c r="C385" s="3" t="s">
        <v>472</v>
      </c>
      <c r="D385" s="4">
        <v>56223.55</v>
      </c>
      <c r="E385" s="4">
        <v>37.08</v>
      </c>
      <c r="F385" s="4">
        <v>2084769.44</v>
      </c>
      <c r="G385" s="4">
        <v>44.3232</v>
      </c>
      <c r="H385" s="4">
        <v>2492007.91</v>
      </c>
    </row>
    <row r="386" s="1" customFormat="1" ht="14" spans="1:8">
      <c r="A386" s="2">
        <v>2201028</v>
      </c>
      <c r="B386" s="2" t="s">
        <v>1049</v>
      </c>
      <c r="C386" s="3" t="s">
        <v>472</v>
      </c>
      <c r="D386" s="4">
        <v>1897.2</v>
      </c>
      <c r="E386" s="4">
        <v>54.53</v>
      </c>
      <c r="F386" s="4">
        <v>103454.32</v>
      </c>
      <c r="G386" s="4">
        <v>65.1888</v>
      </c>
      <c r="H386" s="4">
        <v>123676.19</v>
      </c>
    </row>
    <row r="387" s="1" customFormat="1" ht="14" spans="1:8">
      <c r="A387" s="2">
        <v>2201030</v>
      </c>
      <c r="B387" s="2" t="s">
        <v>1050</v>
      </c>
      <c r="C387" s="3" t="s">
        <v>472</v>
      </c>
      <c r="D387" s="4">
        <v>2601</v>
      </c>
      <c r="E387" s="4">
        <v>51.53</v>
      </c>
      <c r="F387" s="4">
        <v>134029.53</v>
      </c>
      <c r="G387" s="4">
        <v>61.6032</v>
      </c>
      <c r="H387" s="4">
        <v>160229.92</v>
      </c>
    </row>
    <row r="388" s="1" customFormat="1" ht="14" spans="1:8">
      <c r="A388" s="2">
        <v>2201032</v>
      </c>
      <c r="B388" s="2" t="s">
        <v>1051</v>
      </c>
      <c r="C388" s="3" t="s">
        <v>472</v>
      </c>
      <c r="D388" s="4">
        <v>374.88</v>
      </c>
      <c r="E388" s="4">
        <v>68.63</v>
      </c>
      <c r="F388" s="4">
        <v>25728</v>
      </c>
      <c r="G388" s="4">
        <v>82.0368</v>
      </c>
      <c r="H388" s="4">
        <v>30753.96</v>
      </c>
    </row>
    <row r="389" s="1" customFormat="1" ht="14" spans="1:8">
      <c r="A389" s="2">
        <v>2201036</v>
      </c>
      <c r="B389" s="2" t="s">
        <v>1052</v>
      </c>
      <c r="C389" s="3" t="s">
        <v>472</v>
      </c>
      <c r="D389" s="4">
        <v>209.88</v>
      </c>
      <c r="E389" s="4">
        <v>113.91</v>
      </c>
      <c r="F389" s="4">
        <v>23907.43</v>
      </c>
      <c r="G389" s="4">
        <v>136.1664</v>
      </c>
      <c r="H389" s="4">
        <v>28578.6</v>
      </c>
    </row>
    <row r="390" s="1" customFormat="1" ht="14" spans="1:8">
      <c r="A390" s="2">
        <v>2201040</v>
      </c>
      <c r="B390" s="2" t="s">
        <v>1053</v>
      </c>
      <c r="C390" s="3" t="s">
        <v>472</v>
      </c>
      <c r="D390" s="4">
        <v>4.19</v>
      </c>
      <c r="E390" s="4">
        <v>188.93</v>
      </c>
      <c r="F390" s="4">
        <v>790.86</v>
      </c>
      <c r="G390" s="4">
        <v>225.8496</v>
      </c>
      <c r="H390" s="4">
        <v>945.41</v>
      </c>
    </row>
    <row r="391" s="1" customFormat="1" ht="14" spans="1:8">
      <c r="A391" s="2">
        <v>2201043</v>
      </c>
      <c r="B391" s="2" t="s">
        <v>1054</v>
      </c>
      <c r="C391" s="3" t="s">
        <v>472</v>
      </c>
      <c r="D391" s="4">
        <v>94.5</v>
      </c>
      <c r="E391" s="4">
        <v>267.1</v>
      </c>
      <c r="F391" s="4">
        <v>25237.21</v>
      </c>
      <c r="G391" s="4">
        <v>319.2912</v>
      </c>
      <c r="H391" s="4">
        <v>30168.53</v>
      </c>
    </row>
    <row r="392" s="1" customFormat="1" ht="14" spans="1:8">
      <c r="A392" s="2">
        <v>2201054</v>
      </c>
      <c r="B392" s="2" t="s">
        <v>1055</v>
      </c>
      <c r="C392" s="3" t="s">
        <v>472</v>
      </c>
      <c r="D392" s="4">
        <v>26.67</v>
      </c>
      <c r="E392" s="4">
        <v>252.94</v>
      </c>
      <c r="F392" s="4">
        <v>6745.91</v>
      </c>
      <c r="G392" s="4">
        <v>302.36976</v>
      </c>
      <c r="H392" s="4">
        <v>8064.21</v>
      </c>
    </row>
    <row r="393" s="1" customFormat="1" ht="14" spans="1:8">
      <c r="A393" s="2">
        <v>2201056</v>
      </c>
      <c r="B393" s="2" t="s">
        <v>1056</v>
      </c>
      <c r="C393" s="3" t="s">
        <v>472</v>
      </c>
      <c r="D393" s="4">
        <v>710</v>
      </c>
      <c r="E393" s="4">
        <v>371.25</v>
      </c>
      <c r="F393" s="4">
        <v>263587.5</v>
      </c>
      <c r="G393" s="4">
        <v>443.79792</v>
      </c>
      <c r="H393" s="4">
        <v>315096.53</v>
      </c>
    </row>
    <row r="394" s="1" customFormat="1" ht="14" spans="1:8">
      <c r="A394" s="2">
        <v>2201065</v>
      </c>
      <c r="B394" s="2" t="s">
        <v>1057</v>
      </c>
      <c r="C394" s="3" t="s">
        <v>472</v>
      </c>
      <c r="D394" s="4">
        <v>143.47</v>
      </c>
      <c r="E394" s="4">
        <v>74.62</v>
      </c>
      <c r="F394" s="4">
        <v>10706.03</v>
      </c>
      <c r="G394" s="4">
        <v>74.62</v>
      </c>
      <c r="H394" s="4">
        <v>10706.03</v>
      </c>
    </row>
    <row r="395" s="1" customFormat="1" ht="14" spans="1:8">
      <c r="A395" s="2">
        <v>2201070</v>
      </c>
      <c r="B395" s="2" t="s">
        <v>1058</v>
      </c>
      <c r="C395" s="3" t="s">
        <v>472</v>
      </c>
      <c r="D395" s="4">
        <v>70</v>
      </c>
      <c r="E395" s="4">
        <v>426.94</v>
      </c>
      <c r="F395" s="4">
        <v>29885.8</v>
      </c>
      <c r="G395" s="4">
        <v>426.94</v>
      </c>
      <c r="H395" s="4">
        <v>29885.8</v>
      </c>
    </row>
    <row r="396" s="1" customFormat="1" ht="14" spans="1:8">
      <c r="A396" s="2">
        <v>2210011</v>
      </c>
      <c r="B396" s="2" t="s">
        <v>1059</v>
      </c>
      <c r="C396" s="3" t="s">
        <v>472</v>
      </c>
      <c r="D396" s="4">
        <v>5.08</v>
      </c>
      <c r="E396" s="4">
        <v>42.41</v>
      </c>
      <c r="F396" s="4">
        <v>215.23</v>
      </c>
      <c r="G396" s="4">
        <v>42.41</v>
      </c>
      <c r="H396" s="4">
        <v>215.23</v>
      </c>
    </row>
    <row r="397" s="1" customFormat="1" ht="14" spans="1:8">
      <c r="A397" s="2">
        <v>2210012</v>
      </c>
      <c r="B397" s="2" t="s">
        <v>1060</v>
      </c>
      <c r="C397" s="3" t="s">
        <v>472</v>
      </c>
      <c r="D397" s="4">
        <v>831.86</v>
      </c>
      <c r="E397" s="4">
        <v>84.5</v>
      </c>
      <c r="F397" s="4">
        <v>70292.19</v>
      </c>
      <c r="G397" s="4">
        <v>84.5</v>
      </c>
      <c r="H397" s="4">
        <v>70292.19</v>
      </c>
    </row>
    <row r="398" s="1" customFormat="1" ht="14" spans="1:8">
      <c r="A398" s="2">
        <v>2210018</v>
      </c>
      <c r="B398" s="2" t="s">
        <v>1061</v>
      </c>
      <c r="C398" s="3" t="s">
        <v>472</v>
      </c>
      <c r="D398" s="4">
        <v>4.57</v>
      </c>
      <c r="E398" s="4">
        <v>11.01</v>
      </c>
      <c r="F398" s="4">
        <v>50.29</v>
      </c>
      <c r="G398" s="4">
        <v>11.01</v>
      </c>
      <c r="H398" s="4">
        <v>50.29</v>
      </c>
    </row>
    <row r="399" s="1" customFormat="1" ht="14" spans="1:8">
      <c r="A399" s="2">
        <v>2210050</v>
      </c>
      <c r="B399" s="2" t="s">
        <v>1062</v>
      </c>
      <c r="C399" s="3" t="s">
        <v>52</v>
      </c>
      <c r="D399" s="4">
        <v>104777.68</v>
      </c>
      <c r="E399" s="4">
        <v>15.65</v>
      </c>
      <c r="F399" s="4">
        <v>1639770.51</v>
      </c>
      <c r="G399" s="4">
        <v>15.65</v>
      </c>
      <c r="H399" s="4">
        <v>1639770.51</v>
      </c>
    </row>
    <row r="400" s="1" customFormat="1" ht="14" spans="1:8">
      <c r="A400" s="2">
        <v>2220016</v>
      </c>
      <c r="B400" s="2" t="s">
        <v>1063</v>
      </c>
      <c r="C400" s="3" t="s">
        <v>52</v>
      </c>
      <c r="D400" s="4">
        <v>3216108.62</v>
      </c>
      <c r="E400" s="4">
        <v>2.95</v>
      </c>
      <c r="F400" s="4">
        <v>9487520.58</v>
      </c>
      <c r="G400" s="4">
        <v>3.79</v>
      </c>
      <c r="H400" s="4">
        <v>12189051.49</v>
      </c>
    </row>
    <row r="401" s="1" customFormat="1" ht="14" spans="1:8">
      <c r="A401" s="2">
        <v>2220017</v>
      </c>
      <c r="B401" s="2" t="s">
        <v>1064</v>
      </c>
      <c r="C401" s="3" t="s">
        <v>472</v>
      </c>
      <c r="D401" s="4">
        <v>113.68</v>
      </c>
      <c r="E401" s="4">
        <v>3.68</v>
      </c>
      <c r="F401" s="4">
        <v>418.36</v>
      </c>
      <c r="G401" s="4">
        <v>3.1078</v>
      </c>
      <c r="H401" s="4">
        <v>353.31</v>
      </c>
    </row>
    <row r="402" s="1" customFormat="1" ht="14" spans="1:8">
      <c r="A402" s="2">
        <v>2220018</v>
      </c>
      <c r="B402" s="2" t="s">
        <v>1065</v>
      </c>
      <c r="C402" s="3" t="s">
        <v>472</v>
      </c>
      <c r="D402" s="4">
        <v>215.11</v>
      </c>
      <c r="E402" s="4">
        <v>3.68</v>
      </c>
      <c r="F402" s="4">
        <v>791.57</v>
      </c>
      <c r="G402" s="4">
        <v>4.7375</v>
      </c>
      <c r="H402" s="4">
        <v>1019.04</v>
      </c>
    </row>
    <row r="403" s="1" customFormat="1" ht="14" spans="1:8">
      <c r="A403" s="2">
        <v>2220021</v>
      </c>
      <c r="B403" s="2" t="s">
        <v>1066</v>
      </c>
      <c r="C403" s="3" t="s">
        <v>472</v>
      </c>
      <c r="D403" s="4">
        <v>319999.92</v>
      </c>
      <c r="E403" s="4">
        <v>7.14</v>
      </c>
      <c r="F403" s="4">
        <v>2284799.41</v>
      </c>
      <c r="G403" s="4">
        <v>9.1718</v>
      </c>
      <c r="H403" s="4">
        <v>2934975.23</v>
      </c>
    </row>
    <row r="404" s="1" customFormat="1" ht="14" spans="1:8">
      <c r="A404" s="2">
        <v>2220023</v>
      </c>
      <c r="B404" s="2" t="s">
        <v>1067</v>
      </c>
      <c r="C404" s="3" t="s">
        <v>472</v>
      </c>
      <c r="D404" s="4">
        <v>828.31</v>
      </c>
      <c r="E404" s="4">
        <v>9.24</v>
      </c>
      <c r="F404" s="4">
        <v>7653.55</v>
      </c>
      <c r="G404" s="4">
        <v>11.8627</v>
      </c>
      <c r="H404" s="4">
        <v>9826.04</v>
      </c>
    </row>
    <row r="405" s="1" customFormat="1" ht="14" spans="1:8">
      <c r="A405" s="2">
        <v>2220028</v>
      </c>
      <c r="B405" s="2" t="s">
        <v>1068</v>
      </c>
      <c r="C405" s="3" t="s">
        <v>472</v>
      </c>
      <c r="D405" s="4">
        <v>4928.2</v>
      </c>
      <c r="E405" s="4">
        <v>14.4</v>
      </c>
      <c r="F405" s="4">
        <v>70966.08</v>
      </c>
      <c r="G405" s="4">
        <v>18.4952</v>
      </c>
      <c r="H405" s="4">
        <v>91148.11</v>
      </c>
    </row>
    <row r="406" s="1" customFormat="1" ht="14" spans="1:8">
      <c r="A406" s="2">
        <v>2220030</v>
      </c>
      <c r="B406" s="2" t="s">
        <v>1069</v>
      </c>
      <c r="C406" s="3" t="s">
        <v>472</v>
      </c>
      <c r="D406" s="4">
        <v>1628.49</v>
      </c>
      <c r="E406" s="4">
        <v>19.59</v>
      </c>
      <c r="F406" s="4">
        <v>31902.13</v>
      </c>
      <c r="G406" s="4">
        <v>25.1656</v>
      </c>
      <c r="H406" s="4">
        <v>40981.93</v>
      </c>
    </row>
    <row r="407" s="1" customFormat="1" ht="14" spans="1:8">
      <c r="A407" s="2">
        <v>2220032</v>
      </c>
      <c r="B407" s="2" t="s">
        <v>1070</v>
      </c>
      <c r="C407" s="3" t="s">
        <v>472</v>
      </c>
      <c r="D407" s="4">
        <v>21.38</v>
      </c>
      <c r="E407" s="4">
        <v>24.6</v>
      </c>
      <c r="F407" s="4">
        <v>525.94</v>
      </c>
      <c r="G407" s="4">
        <v>31.6086</v>
      </c>
      <c r="H407" s="4">
        <v>675.79</v>
      </c>
    </row>
    <row r="408" s="1" customFormat="1" ht="14" spans="1:8">
      <c r="A408" s="2">
        <v>2220033</v>
      </c>
      <c r="B408" s="2" t="s">
        <v>1071</v>
      </c>
      <c r="C408" s="3" t="s">
        <v>472</v>
      </c>
      <c r="D408" s="4">
        <v>1684.02</v>
      </c>
      <c r="E408" s="4">
        <v>32</v>
      </c>
      <c r="F408" s="4">
        <v>53888.64</v>
      </c>
      <c r="G408" s="4">
        <v>41.1215</v>
      </c>
      <c r="H408" s="4">
        <v>69249.4</v>
      </c>
    </row>
    <row r="409" s="1" customFormat="1" ht="14" spans="1:8">
      <c r="A409" s="2">
        <v>2220035</v>
      </c>
      <c r="B409" s="2" t="s">
        <v>1072</v>
      </c>
      <c r="C409" s="3" t="s">
        <v>472</v>
      </c>
      <c r="D409" s="4">
        <v>157.09</v>
      </c>
      <c r="E409" s="4">
        <v>52.53</v>
      </c>
      <c r="F409" s="4">
        <v>8251.98</v>
      </c>
      <c r="G409" s="4">
        <v>67.4999</v>
      </c>
      <c r="H409" s="4">
        <v>10603.63</v>
      </c>
    </row>
    <row r="410" s="1" customFormat="1" ht="14" spans="1:8">
      <c r="A410" s="2">
        <v>2220038</v>
      </c>
      <c r="B410" s="2" t="s">
        <v>1073</v>
      </c>
      <c r="C410" s="3" t="s">
        <v>472</v>
      </c>
      <c r="D410" s="4">
        <v>1059.83</v>
      </c>
      <c r="E410" s="4">
        <v>92.94</v>
      </c>
      <c r="F410" s="4">
        <v>98500.62</v>
      </c>
      <c r="G410" s="4">
        <v>119.4229</v>
      </c>
      <c r="H410" s="4">
        <v>126567.96</v>
      </c>
    </row>
    <row r="411" s="1" customFormat="1" ht="14" spans="1:8">
      <c r="A411" s="2">
        <v>2220039</v>
      </c>
      <c r="B411" s="2" t="s">
        <v>1074</v>
      </c>
      <c r="C411" s="3" t="s">
        <v>472</v>
      </c>
      <c r="D411" s="4">
        <v>100</v>
      </c>
      <c r="E411" s="4">
        <v>138.19</v>
      </c>
      <c r="F411" s="4">
        <v>13819</v>
      </c>
      <c r="G411" s="4">
        <v>177.5615</v>
      </c>
      <c r="H411" s="4">
        <v>17756.16</v>
      </c>
    </row>
    <row r="412" s="1" customFormat="1" ht="14" spans="1:8">
      <c r="A412" s="2">
        <v>2220041</v>
      </c>
      <c r="B412" s="2" t="s">
        <v>1075</v>
      </c>
      <c r="C412" s="3" t="s">
        <v>472</v>
      </c>
      <c r="D412" s="4">
        <v>44.55</v>
      </c>
      <c r="E412" s="4">
        <v>116.54</v>
      </c>
      <c r="F412" s="4">
        <v>5191.86</v>
      </c>
      <c r="G412" s="4">
        <v>149.7429</v>
      </c>
      <c r="H412" s="4">
        <v>6671.05</v>
      </c>
    </row>
    <row r="413" s="1" customFormat="1" ht="14" spans="1:8">
      <c r="A413" s="2">
        <v>2220042</v>
      </c>
      <c r="B413" s="2" t="s">
        <v>1076</v>
      </c>
      <c r="C413" s="3" t="s">
        <v>472</v>
      </c>
      <c r="D413" s="4">
        <v>299.94</v>
      </c>
      <c r="E413" s="4">
        <v>139.26</v>
      </c>
      <c r="F413" s="4">
        <v>41769.61</v>
      </c>
      <c r="G413" s="4">
        <v>178.9259</v>
      </c>
      <c r="H413" s="4">
        <v>53667.04</v>
      </c>
    </row>
    <row r="414" s="1" customFormat="1" ht="14" spans="1:8">
      <c r="A414" s="2">
        <v>2220044</v>
      </c>
      <c r="B414" s="2" t="s">
        <v>1077</v>
      </c>
      <c r="C414" s="3" t="s">
        <v>472</v>
      </c>
      <c r="D414" s="4">
        <v>49.84</v>
      </c>
      <c r="E414" s="4">
        <v>161.91</v>
      </c>
      <c r="F414" s="4">
        <v>8069.6</v>
      </c>
      <c r="G414" s="4">
        <v>208.0331</v>
      </c>
      <c r="H414" s="4">
        <v>10368.39</v>
      </c>
    </row>
    <row r="415" s="1" customFormat="1" ht="14" spans="1:8">
      <c r="A415" s="2">
        <v>2220046</v>
      </c>
      <c r="B415" s="2" t="s">
        <v>1078</v>
      </c>
      <c r="C415" s="3" t="s">
        <v>472</v>
      </c>
      <c r="D415" s="4">
        <v>1.12</v>
      </c>
      <c r="E415" s="4">
        <v>420.08</v>
      </c>
      <c r="F415" s="4">
        <v>470.49</v>
      </c>
      <c r="G415" s="4">
        <v>539.7339</v>
      </c>
      <c r="H415" s="4">
        <v>604.5</v>
      </c>
    </row>
    <row r="416" s="1" customFormat="1" ht="14" spans="1:8">
      <c r="A416" s="2">
        <v>2220047</v>
      </c>
      <c r="B416" s="2" t="s">
        <v>1079</v>
      </c>
      <c r="C416" s="3" t="s">
        <v>472</v>
      </c>
      <c r="D416" s="4">
        <v>70.7</v>
      </c>
      <c r="E416" s="4">
        <v>228.7</v>
      </c>
      <c r="F416" s="4">
        <v>16169.09</v>
      </c>
      <c r="G416" s="4">
        <v>293.8387</v>
      </c>
      <c r="H416" s="4">
        <v>20774.4</v>
      </c>
    </row>
    <row r="417" s="1" customFormat="1" ht="14" spans="1:8">
      <c r="A417" s="2">
        <v>2240001</v>
      </c>
      <c r="B417" s="2" t="s">
        <v>1080</v>
      </c>
      <c r="C417" s="3" t="s">
        <v>472</v>
      </c>
      <c r="D417" s="4">
        <v>221.91</v>
      </c>
      <c r="E417" s="4">
        <v>4.81</v>
      </c>
      <c r="F417" s="4">
        <v>1067.46</v>
      </c>
      <c r="G417" s="4">
        <v>5.9081</v>
      </c>
      <c r="H417" s="4">
        <v>1311.22</v>
      </c>
    </row>
    <row r="418" s="1" customFormat="1" ht="14" spans="1:8">
      <c r="A418" s="2">
        <v>2240003</v>
      </c>
      <c r="B418" s="2" t="s">
        <v>1081</v>
      </c>
      <c r="C418" s="3" t="s">
        <v>472</v>
      </c>
      <c r="D418" s="4">
        <v>372947.43</v>
      </c>
      <c r="E418" s="4">
        <v>6.27</v>
      </c>
      <c r="F418" s="4">
        <v>2338380.36</v>
      </c>
      <c r="G418" s="4">
        <v>7.7121</v>
      </c>
      <c r="H418" s="4">
        <v>2876207.87</v>
      </c>
    </row>
    <row r="419" s="1" customFormat="1" ht="14" spans="1:8">
      <c r="A419" s="2">
        <v>2240005</v>
      </c>
      <c r="B419" s="2" t="s">
        <v>1082</v>
      </c>
      <c r="C419" s="3" t="s">
        <v>472</v>
      </c>
      <c r="D419" s="4">
        <v>36632.53</v>
      </c>
      <c r="E419" s="4">
        <v>9.32</v>
      </c>
      <c r="F419" s="4">
        <v>341415.22</v>
      </c>
      <c r="G419" s="4">
        <v>11.4554</v>
      </c>
      <c r="H419" s="4">
        <v>419640.27</v>
      </c>
    </row>
    <row r="420" s="1" customFormat="1" ht="14" spans="1:8">
      <c r="A420" s="2">
        <v>2240007</v>
      </c>
      <c r="B420" s="2" t="s">
        <v>1083</v>
      </c>
      <c r="C420" s="3" t="s">
        <v>472</v>
      </c>
      <c r="D420" s="4">
        <v>102914.51</v>
      </c>
      <c r="E420" s="4">
        <v>12.07</v>
      </c>
      <c r="F420" s="4">
        <v>1242178.26</v>
      </c>
      <c r="G420" s="4">
        <v>14.8379</v>
      </c>
      <c r="H420" s="4">
        <v>1527035.24</v>
      </c>
    </row>
    <row r="421" s="1" customFormat="1" ht="14" spans="1:8">
      <c r="A421" s="2">
        <v>2240009</v>
      </c>
      <c r="B421" s="2" t="s">
        <v>1084</v>
      </c>
      <c r="C421" s="3" t="s">
        <v>472</v>
      </c>
      <c r="D421" s="4">
        <v>3224.41</v>
      </c>
      <c r="E421" s="4">
        <v>14.79</v>
      </c>
      <c r="F421" s="4">
        <v>47689.04</v>
      </c>
      <c r="G421" s="4">
        <v>18.1753</v>
      </c>
      <c r="H421" s="4">
        <v>58604.61</v>
      </c>
    </row>
    <row r="422" s="1" customFormat="1" ht="14" spans="1:8">
      <c r="A422" s="2">
        <v>2240011</v>
      </c>
      <c r="B422" s="2" t="s">
        <v>1085</v>
      </c>
      <c r="C422" s="3" t="s">
        <v>472</v>
      </c>
      <c r="D422" s="4">
        <v>98522.14</v>
      </c>
      <c r="E422" s="4">
        <v>18.79</v>
      </c>
      <c r="F422" s="4">
        <v>1851231.05</v>
      </c>
      <c r="G422" s="4">
        <v>23.0912</v>
      </c>
      <c r="H422" s="4">
        <v>2274994.47</v>
      </c>
    </row>
    <row r="423" s="1" customFormat="1" ht="14" spans="1:8">
      <c r="A423" s="2">
        <v>2240013</v>
      </c>
      <c r="B423" s="2" t="s">
        <v>1086</v>
      </c>
      <c r="C423" s="3" t="s">
        <v>472</v>
      </c>
      <c r="D423" s="4">
        <v>2451.74</v>
      </c>
      <c r="E423" s="4">
        <v>25.58</v>
      </c>
      <c r="F423" s="4">
        <v>62715.55</v>
      </c>
      <c r="G423" s="4">
        <v>31.4347</v>
      </c>
      <c r="H423" s="4">
        <v>77069.68</v>
      </c>
    </row>
    <row r="424" s="1" customFormat="1" ht="14" spans="1:8">
      <c r="A424" s="2">
        <v>2240014</v>
      </c>
      <c r="B424" s="2" t="s">
        <v>1087</v>
      </c>
      <c r="C424" s="3" t="s">
        <v>472</v>
      </c>
      <c r="D424" s="4">
        <v>107604.47</v>
      </c>
      <c r="E424" s="4">
        <v>32.14</v>
      </c>
      <c r="F424" s="4">
        <v>3458407.68</v>
      </c>
      <c r="G424" s="4">
        <v>39.5076</v>
      </c>
      <c r="H424" s="4">
        <v>4251194.4</v>
      </c>
    </row>
    <row r="425" s="1" customFormat="1" ht="14" spans="1:8">
      <c r="A425" s="2">
        <v>2240016</v>
      </c>
      <c r="B425" s="2" t="s">
        <v>1088</v>
      </c>
      <c r="C425" s="3" t="s">
        <v>472</v>
      </c>
      <c r="D425" s="4">
        <v>107094.37</v>
      </c>
      <c r="E425" s="4">
        <v>41.8</v>
      </c>
      <c r="F425" s="4">
        <v>4476544.77</v>
      </c>
      <c r="G425" s="4">
        <v>51.3689</v>
      </c>
      <c r="H425" s="4">
        <v>5501320.2</v>
      </c>
    </row>
    <row r="426" s="1" customFormat="1" ht="14" spans="1:8">
      <c r="A426" s="2">
        <v>2240017</v>
      </c>
      <c r="B426" s="2" t="s">
        <v>1089</v>
      </c>
      <c r="C426" s="3" t="s">
        <v>472</v>
      </c>
      <c r="D426" s="4">
        <v>93.84</v>
      </c>
      <c r="E426" s="4">
        <v>57.94</v>
      </c>
      <c r="F426" s="4">
        <v>5437.09</v>
      </c>
      <c r="G426" s="4">
        <v>71.2129</v>
      </c>
      <c r="H426" s="4">
        <v>6682.62</v>
      </c>
    </row>
    <row r="427" s="1" customFormat="1" ht="14" spans="1:8">
      <c r="A427" s="2">
        <v>2240018</v>
      </c>
      <c r="B427" s="2" t="s">
        <v>1090</v>
      </c>
      <c r="C427" s="3" t="s">
        <v>472</v>
      </c>
      <c r="D427" s="4">
        <v>29703.51</v>
      </c>
      <c r="E427" s="4">
        <v>68.62</v>
      </c>
      <c r="F427" s="4">
        <v>2038254.83</v>
      </c>
      <c r="G427" s="4">
        <v>84.337</v>
      </c>
      <c r="H427" s="4">
        <v>2505104.9</v>
      </c>
    </row>
    <row r="428" s="1" customFormat="1" ht="14" spans="1:8">
      <c r="A428" s="2">
        <v>2240019</v>
      </c>
      <c r="B428" s="2" t="s">
        <v>1091</v>
      </c>
      <c r="C428" s="3" t="s">
        <v>52</v>
      </c>
      <c r="D428" s="4">
        <v>264538.62</v>
      </c>
      <c r="E428" s="4">
        <v>3.67</v>
      </c>
      <c r="F428" s="4">
        <v>970856.74</v>
      </c>
      <c r="G428" s="4">
        <v>4.51</v>
      </c>
      <c r="H428" s="4">
        <v>1193069.14</v>
      </c>
    </row>
    <row r="429" s="1" customFormat="1" ht="14" spans="1:8">
      <c r="A429" s="2">
        <v>2250001</v>
      </c>
      <c r="B429" s="2" t="s">
        <v>1092</v>
      </c>
      <c r="C429" s="3" t="s">
        <v>52</v>
      </c>
      <c r="D429" s="4">
        <v>1507.35</v>
      </c>
      <c r="E429" s="4">
        <v>5.6</v>
      </c>
      <c r="F429" s="4">
        <v>8441.14</v>
      </c>
      <c r="G429" s="4">
        <v>5.6</v>
      </c>
      <c r="H429" s="4">
        <v>8441.14</v>
      </c>
    </row>
    <row r="430" s="1" customFormat="1" ht="14" spans="1:8">
      <c r="A430" s="2">
        <v>2260006</v>
      </c>
      <c r="B430" s="2" t="s">
        <v>1093</v>
      </c>
      <c r="C430" s="3" t="s">
        <v>472</v>
      </c>
      <c r="D430" s="4">
        <v>552.98</v>
      </c>
      <c r="E430" s="4">
        <v>35.4</v>
      </c>
      <c r="F430" s="4">
        <v>19575.48</v>
      </c>
      <c r="G430" s="4">
        <v>35.4</v>
      </c>
      <c r="H430" s="4">
        <v>19575.48</v>
      </c>
    </row>
    <row r="431" s="1" customFormat="1" ht="14" spans="1:8">
      <c r="A431" s="2">
        <v>2260013</v>
      </c>
      <c r="B431" s="2" t="s">
        <v>1094</v>
      </c>
      <c r="C431" s="3" t="s">
        <v>472</v>
      </c>
      <c r="D431" s="4">
        <v>16.62</v>
      </c>
      <c r="E431" s="4">
        <v>288.15</v>
      </c>
      <c r="F431" s="4">
        <v>4789.06</v>
      </c>
      <c r="G431" s="4">
        <v>288.15</v>
      </c>
      <c r="H431" s="4">
        <v>4789.06</v>
      </c>
    </row>
    <row r="432" s="1" customFormat="1" ht="14" spans="1:8">
      <c r="A432" s="2">
        <v>2261001</v>
      </c>
      <c r="B432" s="2" t="s">
        <v>1095</v>
      </c>
      <c r="C432" s="3" t="s">
        <v>1096</v>
      </c>
      <c r="D432" s="4">
        <v>202906.71</v>
      </c>
      <c r="E432" s="4">
        <v>24.08</v>
      </c>
      <c r="F432" s="4">
        <v>4885993.48</v>
      </c>
      <c r="G432" s="4">
        <v>24.08</v>
      </c>
      <c r="H432" s="4">
        <v>4885993.48</v>
      </c>
    </row>
    <row r="433" s="1" customFormat="1" ht="14" spans="1:8">
      <c r="A433" s="2">
        <v>2261002</v>
      </c>
      <c r="B433" s="2" t="s">
        <v>1097</v>
      </c>
      <c r="C433" s="3" t="s">
        <v>1098</v>
      </c>
      <c r="D433" s="4">
        <v>11980.8</v>
      </c>
      <c r="E433" s="4">
        <v>19.61</v>
      </c>
      <c r="F433" s="4">
        <v>234943.5</v>
      </c>
      <c r="G433" s="4">
        <v>19.61</v>
      </c>
      <c r="H433" s="4">
        <v>234943.5</v>
      </c>
    </row>
    <row r="434" s="1" customFormat="1" ht="14" spans="1:8">
      <c r="A434" s="2">
        <v>2261003</v>
      </c>
      <c r="B434" s="2" t="s">
        <v>1099</v>
      </c>
      <c r="C434" s="3" t="s">
        <v>824</v>
      </c>
      <c r="D434" s="4">
        <v>55802.8</v>
      </c>
      <c r="E434" s="4">
        <v>78.05</v>
      </c>
      <c r="F434" s="4">
        <v>4355407.27</v>
      </c>
      <c r="G434" s="4">
        <v>78.05</v>
      </c>
      <c r="H434" s="4">
        <v>4355407.27</v>
      </c>
    </row>
    <row r="435" s="1" customFormat="1" ht="14" spans="1:8">
      <c r="A435" s="2">
        <v>2300015</v>
      </c>
      <c r="B435" s="2" t="s">
        <v>1100</v>
      </c>
      <c r="C435" s="3" t="s">
        <v>472</v>
      </c>
      <c r="D435" s="4">
        <v>28</v>
      </c>
      <c r="E435" s="4">
        <v>127.56</v>
      </c>
      <c r="F435" s="4">
        <v>3571.68</v>
      </c>
      <c r="G435" s="4">
        <v>164.03</v>
      </c>
      <c r="H435" s="4">
        <v>4592.84</v>
      </c>
    </row>
    <row r="436" s="1" customFormat="1" ht="14" spans="1:8">
      <c r="A436" s="2">
        <v>2300017</v>
      </c>
      <c r="B436" s="2" t="s">
        <v>1101</v>
      </c>
      <c r="C436" s="3" t="s">
        <v>472</v>
      </c>
      <c r="D436" s="4">
        <v>154</v>
      </c>
      <c r="E436" s="4">
        <v>222.01</v>
      </c>
      <c r="F436" s="4">
        <v>34189.54</v>
      </c>
      <c r="G436" s="4">
        <v>285.482</v>
      </c>
      <c r="H436" s="4">
        <v>43964.23</v>
      </c>
    </row>
    <row r="437" s="1" customFormat="1" ht="14" spans="1:8">
      <c r="A437" s="2">
        <v>2300101</v>
      </c>
      <c r="B437" s="2" t="s">
        <v>1102</v>
      </c>
      <c r="C437" s="3" t="s">
        <v>472</v>
      </c>
      <c r="D437" s="4">
        <v>5</v>
      </c>
      <c r="E437" s="4">
        <v>66.49</v>
      </c>
      <c r="F437" s="4">
        <v>332.47</v>
      </c>
      <c r="G437" s="4">
        <v>66.49</v>
      </c>
      <c r="H437" s="4">
        <v>332.47</v>
      </c>
    </row>
    <row r="438" s="1" customFormat="1" ht="14" spans="1:8">
      <c r="A438" s="2">
        <v>2300209</v>
      </c>
      <c r="B438" s="2" t="s">
        <v>1103</v>
      </c>
      <c r="C438" s="3" t="s">
        <v>52</v>
      </c>
      <c r="D438" s="4">
        <v>6778.44</v>
      </c>
      <c r="E438" s="4">
        <v>2.63</v>
      </c>
      <c r="F438" s="4">
        <v>17827.34</v>
      </c>
      <c r="G438" s="4">
        <v>3.37</v>
      </c>
      <c r="H438" s="4">
        <v>22843.43</v>
      </c>
    </row>
    <row r="439" s="1" customFormat="1" ht="28" spans="1:8">
      <c r="A439" s="2">
        <v>2300302</v>
      </c>
      <c r="B439" s="2" t="s">
        <v>1104</v>
      </c>
      <c r="C439" s="3" t="s">
        <v>472</v>
      </c>
      <c r="D439" s="4">
        <v>5353.48</v>
      </c>
      <c r="E439" s="4">
        <v>85.48</v>
      </c>
      <c r="F439" s="4">
        <v>457615.47</v>
      </c>
      <c r="G439" s="4">
        <v>85.48</v>
      </c>
      <c r="H439" s="4">
        <v>457615.47</v>
      </c>
    </row>
    <row r="440" s="1" customFormat="1" ht="28" spans="1:8">
      <c r="A440" s="2">
        <v>2300303</v>
      </c>
      <c r="B440" s="2" t="s">
        <v>1105</v>
      </c>
      <c r="C440" s="3" t="s">
        <v>472</v>
      </c>
      <c r="D440" s="4">
        <v>9797.45</v>
      </c>
      <c r="E440" s="4">
        <v>125.03</v>
      </c>
      <c r="F440" s="4">
        <v>1224975.18</v>
      </c>
      <c r="G440" s="4">
        <v>125.03</v>
      </c>
      <c r="H440" s="4">
        <v>1224975.18</v>
      </c>
    </row>
    <row r="441" s="1" customFormat="1" ht="28" spans="1:8">
      <c r="A441" s="2">
        <v>2300304</v>
      </c>
      <c r="B441" s="2" t="s">
        <v>1106</v>
      </c>
      <c r="C441" s="3" t="s">
        <v>472</v>
      </c>
      <c r="D441" s="4">
        <v>1745</v>
      </c>
      <c r="E441" s="4">
        <v>175.71</v>
      </c>
      <c r="F441" s="4">
        <v>306613.95</v>
      </c>
      <c r="G441" s="4">
        <v>175.71</v>
      </c>
      <c r="H441" s="4">
        <v>306613.95</v>
      </c>
    </row>
    <row r="442" s="1" customFormat="1" ht="14" spans="1:8">
      <c r="A442" s="2">
        <v>2300504</v>
      </c>
      <c r="B442" s="2" t="s">
        <v>1107</v>
      </c>
      <c r="C442" s="3" t="s">
        <v>725</v>
      </c>
      <c r="D442" s="4">
        <v>136</v>
      </c>
      <c r="E442" s="4">
        <v>102.05</v>
      </c>
      <c r="F442" s="4">
        <v>13878.8</v>
      </c>
      <c r="G442" s="4">
        <v>103.4</v>
      </c>
      <c r="H442" s="4">
        <v>14062.4</v>
      </c>
    </row>
    <row r="443" s="1" customFormat="1" ht="14" spans="1:8">
      <c r="A443" s="2">
        <v>2300507</v>
      </c>
      <c r="B443" s="2" t="s">
        <v>1108</v>
      </c>
      <c r="C443" s="3" t="s">
        <v>472</v>
      </c>
      <c r="D443" s="4">
        <v>371.56</v>
      </c>
      <c r="E443" s="4">
        <v>20.08</v>
      </c>
      <c r="F443" s="4">
        <v>7460.93</v>
      </c>
      <c r="G443" s="4">
        <v>20.35</v>
      </c>
      <c r="H443" s="4">
        <v>7561.25</v>
      </c>
    </row>
    <row r="444" s="1" customFormat="1" ht="14" spans="1:8">
      <c r="A444" s="2">
        <v>2300508</v>
      </c>
      <c r="B444" s="2" t="s">
        <v>1109</v>
      </c>
      <c r="C444" s="3" t="s">
        <v>472</v>
      </c>
      <c r="D444" s="4">
        <v>8.9</v>
      </c>
      <c r="E444" s="4">
        <v>29.12</v>
      </c>
      <c r="F444" s="4">
        <v>259.17</v>
      </c>
      <c r="G444" s="4">
        <v>29.5075</v>
      </c>
      <c r="H444" s="4">
        <v>262.62</v>
      </c>
    </row>
    <row r="445" s="1" customFormat="1" ht="14" spans="1:8">
      <c r="A445" s="2">
        <v>2300509</v>
      </c>
      <c r="B445" s="2" t="s">
        <v>1110</v>
      </c>
      <c r="C445" s="3" t="s">
        <v>472</v>
      </c>
      <c r="D445" s="4">
        <v>9.6</v>
      </c>
      <c r="E445" s="4">
        <v>38.19</v>
      </c>
      <c r="F445" s="4">
        <v>366.62</v>
      </c>
      <c r="G445" s="4">
        <v>38.6925</v>
      </c>
      <c r="H445" s="4">
        <v>371.45</v>
      </c>
    </row>
    <row r="446" s="1" customFormat="1" ht="14" spans="1:8">
      <c r="A446" s="2">
        <v>2300510</v>
      </c>
      <c r="B446" s="2" t="s">
        <v>1111</v>
      </c>
      <c r="C446" s="3" t="s">
        <v>472</v>
      </c>
      <c r="D446" s="4">
        <v>19.6</v>
      </c>
      <c r="E446" s="4">
        <v>68.04</v>
      </c>
      <c r="F446" s="4">
        <v>1333.58</v>
      </c>
      <c r="G446" s="4">
        <v>68.9425</v>
      </c>
      <c r="H446" s="4">
        <v>1351.27</v>
      </c>
    </row>
    <row r="447" s="1" customFormat="1" ht="14" spans="1:8">
      <c r="A447" s="2">
        <v>2300511</v>
      </c>
      <c r="B447" s="2" t="s">
        <v>1112</v>
      </c>
      <c r="C447" s="3" t="s">
        <v>472</v>
      </c>
      <c r="D447" s="4">
        <v>14.18</v>
      </c>
      <c r="E447" s="4">
        <v>104.96</v>
      </c>
      <c r="F447" s="4">
        <v>1488.54</v>
      </c>
      <c r="G447" s="4">
        <v>106.3425</v>
      </c>
      <c r="H447" s="4">
        <v>1508.15</v>
      </c>
    </row>
    <row r="448" s="1" customFormat="1" ht="14" spans="1:8">
      <c r="A448" s="2">
        <v>2300512</v>
      </c>
      <c r="B448" s="2" t="s">
        <v>1113</v>
      </c>
      <c r="C448" s="3" t="s">
        <v>472</v>
      </c>
      <c r="D448" s="4">
        <v>114.6</v>
      </c>
      <c r="E448" s="4">
        <v>145.67</v>
      </c>
      <c r="F448" s="4">
        <v>16694.94</v>
      </c>
      <c r="G448" s="4">
        <v>147.5925</v>
      </c>
      <c r="H448" s="4">
        <v>16915.28</v>
      </c>
    </row>
    <row r="449" s="1" customFormat="1" ht="14" spans="1:8">
      <c r="A449" s="2">
        <v>2311012</v>
      </c>
      <c r="B449" s="2" t="s">
        <v>1114</v>
      </c>
      <c r="C449" s="3" t="s">
        <v>824</v>
      </c>
      <c r="D449" s="4">
        <v>19</v>
      </c>
      <c r="E449" s="4">
        <v>78.96</v>
      </c>
      <c r="F449" s="4">
        <v>1500.24</v>
      </c>
      <c r="G449" s="4">
        <v>78.96</v>
      </c>
      <c r="H449" s="4">
        <v>1500.24</v>
      </c>
    </row>
    <row r="450" s="1" customFormat="1" ht="14" spans="1:8">
      <c r="A450" s="2">
        <v>2320012</v>
      </c>
      <c r="B450" s="2" t="s">
        <v>1115</v>
      </c>
      <c r="C450" s="3" t="s">
        <v>824</v>
      </c>
      <c r="D450" s="4">
        <v>4</v>
      </c>
      <c r="E450" s="4">
        <v>227.55</v>
      </c>
      <c r="F450" s="4">
        <v>910.2</v>
      </c>
      <c r="G450" s="4">
        <v>227.55</v>
      </c>
      <c r="H450" s="4">
        <v>910.2</v>
      </c>
    </row>
    <row r="451" s="1" customFormat="1" ht="14" spans="1:8">
      <c r="A451" s="2">
        <v>2320013</v>
      </c>
      <c r="B451" s="2" t="s">
        <v>1116</v>
      </c>
      <c r="C451" s="3" t="s">
        <v>824</v>
      </c>
      <c r="D451" s="4">
        <v>22</v>
      </c>
      <c r="E451" s="4">
        <v>419.44</v>
      </c>
      <c r="F451" s="4">
        <v>9227.68</v>
      </c>
      <c r="G451" s="4">
        <v>419.44</v>
      </c>
      <c r="H451" s="4">
        <v>9227.68</v>
      </c>
    </row>
    <row r="452" s="1" customFormat="1" ht="14" spans="1:8">
      <c r="A452" s="2">
        <v>2330110</v>
      </c>
      <c r="B452" s="2" t="s">
        <v>1117</v>
      </c>
      <c r="C452" s="3" t="s">
        <v>52</v>
      </c>
      <c r="D452" s="4">
        <v>591.6</v>
      </c>
      <c r="E452" s="4">
        <v>3.07</v>
      </c>
      <c r="F452" s="4">
        <v>1816.25</v>
      </c>
      <c r="G452" s="4">
        <v>3.07</v>
      </c>
      <c r="H452" s="4">
        <v>1816.25</v>
      </c>
    </row>
    <row r="453" s="1" customFormat="1" ht="14" spans="1:8">
      <c r="A453" s="2">
        <v>2340011</v>
      </c>
      <c r="B453" s="2" t="s">
        <v>1118</v>
      </c>
      <c r="C453" s="3" t="s">
        <v>824</v>
      </c>
      <c r="D453" s="4">
        <v>4</v>
      </c>
      <c r="E453" s="4">
        <v>0.8</v>
      </c>
      <c r="F453" s="4">
        <v>3.2</v>
      </c>
      <c r="G453" s="4">
        <v>0.8</v>
      </c>
      <c r="H453" s="4">
        <v>3.2</v>
      </c>
    </row>
    <row r="454" s="1" customFormat="1" ht="14" spans="1:8">
      <c r="A454" s="2">
        <v>2340013</v>
      </c>
      <c r="B454" s="2" t="s">
        <v>1119</v>
      </c>
      <c r="C454" s="3" t="s">
        <v>824</v>
      </c>
      <c r="D454" s="4">
        <v>730</v>
      </c>
      <c r="E454" s="4">
        <v>1.06</v>
      </c>
      <c r="F454" s="4">
        <v>773.8</v>
      </c>
      <c r="G454" s="4">
        <v>1.06</v>
      </c>
      <c r="H454" s="4">
        <v>773.8</v>
      </c>
    </row>
    <row r="455" s="1" customFormat="1" ht="14" spans="1:8">
      <c r="A455" s="2">
        <v>2340017</v>
      </c>
      <c r="B455" s="2" t="s">
        <v>1120</v>
      </c>
      <c r="C455" s="3" t="s">
        <v>824</v>
      </c>
      <c r="D455" s="4">
        <v>130.29</v>
      </c>
      <c r="E455" s="4">
        <v>3.23</v>
      </c>
      <c r="F455" s="4">
        <v>420.71</v>
      </c>
      <c r="G455" s="4">
        <v>3.23</v>
      </c>
      <c r="H455" s="4">
        <v>420.71</v>
      </c>
    </row>
    <row r="456" s="1" customFormat="1" ht="14" spans="1:8">
      <c r="A456" s="2">
        <v>2340019</v>
      </c>
      <c r="B456" s="2" t="s">
        <v>1121</v>
      </c>
      <c r="C456" s="3" t="s">
        <v>824</v>
      </c>
      <c r="D456" s="4">
        <v>202</v>
      </c>
      <c r="E456" s="4">
        <v>1.59</v>
      </c>
      <c r="F456" s="4">
        <v>321.18</v>
      </c>
      <c r="G456" s="4">
        <v>1.59</v>
      </c>
      <c r="H456" s="4">
        <v>321.18</v>
      </c>
    </row>
    <row r="457" s="1" customFormat="1" ht="14" spans="1:8">
      <c r="A457" s="2">
        <v>2340905</v>
      </c>
      <c r="B457" s="2" t="s">
        <v>1122</v>
      </c>
      <c r="C457" s="3" t="s">
        <v>824</v>
      </c>
      <c r="D457" s="4">
        <v>6</v>
      </c>
      <c r="E457" s="4">
        <v>2.85</v>
      </c>
      <c r="F457" s="4">
        <v>17.1</v>
      </c>
      <c r="G457" s="4">
        <v>2.85</v>
      </c>
      <c r="H457" s="4">
        <v>17.1</v>
      </c>
    </row>
    <row r="458" s="1" customFormat="1" ht="14" spans="1:8">
      <c r="A458" s="2">
        <v>2341010</v>
      </c>
      <c r="B458" s="2" t="s">
        <v>1123</v>
      </c>
      <c r="C458" s="3" t="s">
        <v>824</v>
      </c>
      <c r="D458" s="4">
        <v>570.45</v>
      </c>
      <c r="E458" s="4">
        <v>1.04</v>
      </c>
      <c r="F458" s="4">
        <v>593.22</v>
      </c>
      <c r="G458" s="4">
        <v>1.04</v>
      </c>
      <c r="H458" s="4">
        <v>593.22</v>
      </c>
    </row>
    <row r="459" s="1" customFormat="1" ht="14" spans="1:8">
      <c r="A459" s="2">
        <v>2341011</v>
      </c>
      <c r="B459" s="2" t="s">
        <v>1124</v>
      </c>
      <c r="C459" s="3" t="s">
        <v>824</v>
      </c>
      <c r="D459" s="4">
        <v>58330.53</v>
      </c>
      <c r="E459" s="4">
        <v>1.09</v>
      </c>
      <c r="F459" s="4">
        <v>63580.26</v>
      </c>
      <c r="G459" s="4">
        <v>1.09</v>
      </c>
      <c r="H459" s="4">
        <v>63580.26</v>
      </c>
    </row>
    <row r="460" s="1" customFormat="1" ht="14" spans="1:8">
      <c r="A460" s="2">
        <v>2341013</v>
      </c>
      <c r="B460" s="2" t="s">
        <v>1125</v>
      </c>
      <c r="C460" s="3" t="s">
        <v>824</v>
      </c>
      <c r="D460" s="4">
        <v>15104.55</v>
      </c>
      <c r="E460" s="4">
        <v>1.62</v>
      </c>
      <c r="F460" s="4">
        <v>24469.37</v>
      </c>
      <c r="G460" s="4">
        <v>1.62</v>
      </c>
      <c r="H460" s="4">
        <v>24469.37</v>
      </c>
    </row>
    <row r="461" s="1" customFormat="1" ht="14" spans="1:8">
      <c r="A461" s="2">
        <v>2341014</v>
      </c>
      <c r="B461" s="2" t="s">
        <v>1126</v>
      </c>
      <c r="C461" s="3" t="s">
        <v>824</v>
      </c>
      <c r="D461" s="4">
        <v>284</v>
      </c>
      <c r="E461" s="4">
        <v>2.62</v>
      </c>
      <c r="F461" s="4">
        <v>744.08</v>
      </c>
      <c r="G461" s="4">
        <v>2.62</v>
      </c>
      <c r="H461" s="4">
        <v>744.08</v>
      </c>
    </row>
    <row r="462" s="1" customFormat="1" ht="14" spans="1:8">
      <c r="A462" s="2">
        <v>2341015</v>
      </c>
      <c r="B462" s="2" t="s">
        <v>1127</v>
      </c>
      <c r="C462" s="3" t="s">
        <v>824</v>
      </c>
      <c r="D462" s="4">
        <v>12316.95</v>
      </c>
      <c r="E462" s="4">
        <v>3.61</v>
      </c>
      <c r="F462" s="4">
        <v>44464.2</v>
      </c>
      <c r="G462" s="4">
        <v>3.61</v>
      </c>
      <c r="H462" s="4">
        <v>44464.2</v>
      </c>
    </row>
    <row r="463" s="1" customFormat="1" ht="14" spans="1:8">
      <c r="A463" s="2">
        <v>2341017</v>
      </c>
      <c r="B463" s="2" t="s">
        <v>1128</v>
      </c>
      <c r="C463" s="3" t="s">
        <v>824</v>
      </c>
      <c r="D463" s="4">
        <v>472.76</v>
      </c>
      <c r="E463" s="4">
        <v>14.44</v>
      </c>
      <c r="F463" s="4">
        <v>6826.55</v>
      </c>
      <c r="G463" s="4">
        <v>14.44</v>
      </c>
      <c r="H463" s="4">
        <v>6826.55</v>
      </c>
    </row>
    <row r="464" s="1" customFormat="1" ht="14" spans="1:8">
      <c r="A464" s="2">
        <v>2342011</v>
      </c>
      <c r="B464" s="2" t="s">
        <v>1129</v>
      </c>
      <c r="C464" s="3" t="s">
        <v>824</v>
      </c>
      <c r="D464" s="4">
        <v>32</v>
      </c>
      <c r="E464" s="4">
        <v>1.91</v>
      </c>
      <c r="F464" s="4">
        <v>61.12</v>
      </c>
      <c r="G464" s="4">
        <v>1.91</v>
      </c>
      <c r="H464" s="4">
        <v>61.12</v>
      </c>
    </row>
    <row r="465" s="1" customFormat="1" ht="14" spans="1:8">
      <c r="A465" s="2">
        <v>2342012</v>
      </c>
      <c r="B465" s="2" t="s">
        <v>1130</v>
      </c>
      <c r="C465" s="3" t="s">
        <v>824</v>
      </c>
      <c r="D465" s="4">
        <v>1242</v>
      </c>
      <c r="E465" s="4">
        <v>2.36</v>
      </c>
      <c r="F465" s="4">
        <v>2931.12</v>
      </c>
      <c r="G465" s="4">
        <v>2.36</v>
      </c>
      <c r="H465" s="4">
        <v>2931.12</v>
      </c>
    </row>
    <row r="466" s="1" customFormat="1" ht="14" spans="1:8">
      <c r="A466" s="2">
        <v>2342013</v>
      </c>
      <c r="B466" s="2" t="s">
        <v>1131</v>
      </c>
      <c r="C466" s="3" t="s">
        <v>824</v>
      </c>
      <c r="D466" s="4">
        <v>194</v>
      </c>
      <c r="E466" s="4">
        <v>3.34</v>
      </c>
      <c r="F466" s="4">
        <v>647.96</v>
      </c>
      <c r="G466" s="4">
        <v>3.34</v>
      </c>
      <c r="H466" s="4">
        <v>647.96</v>
      </c>
    </row>
    <row r="467" s="1" customFormat="1" ht="14" spans="1:8">
      <c r="A467" s="2">
        <v>2342014</v>
      </c>
      <c r="B467" s="2" t="s">
        <v>1132</v>
      </c>
      <c r="C467" s="3" t="s">
        <v>824</v>
      </c>
      <c r="D467" s="4">
        <v>76</v>
      </c>
      <c r="E467" s="4">
        <v>3.85</v>
      </c>
      <c r="F467" s="4">
        <v>292.6</v>
      </c>
      <c r="G467" s="4">
        <v>3.85</v>
      </c>
      <c r="H467" s="4">
        <v>292.6</v>
      </c>
    </row>
    <row r="468" s="1" customFormat="1" ht="14" spans="1:8">
      <c r="A468" s="2">
        <v>2342015</v>
      </c>
      <c r="B468" s="2" t="s">
        <v>1133</v>
      </c>
      <c r="C468" s="3" t="s">
        <v>824</v>
      </c>
      <c r="D468" s="4">
        <v>105</v>
      </c>
      <c r="E468" s="4">
        <v>6.66</v>
      </c>
      <c r="F468" s="4">
        <v>699.3</v>
      </c>
      <c r="G468" s="4">
        <v>6.66</v>
      </c>
      <c r="H468" s="4">
        <v>699.3</v>
      </c>
    </row>
    <row r="469" s="1" customFormat="1" ht="14" spans="1:8">
      <c r="A469" s="2">
        <v>2342016</v>
      </c>
      <c r="B469" s="2" t="s">
        <v>1134</v>
      </c>
      <c r="C469" s="3" t="s">
        <v>824</v>
      </c>
      <c r="D469" s="4">
        <v>58</v>
      </c>
      <c r="E469" s="4">
        <v>9.51</v>
      </c>
      <c r="F469" s="4">
        <v>551.58</v>
      </c>
      <c r="G469" s="4">
        <v>9.51</v>
      </c>
      <c r="H469" s="4">
        <v>551.58</v>
      </c>
    </row>
    <row r="470" s="1" customFormat="1" ht="14" spans="1:8">
      <c r="A470" s="2">
        <v>2342017</v>
      </c>
      <c r="B470" s="2" t="s">
        <v>1135</v>
      </c>
      <c r="C470" s="3" t="s">
        <v>824</v>
      </c>
      <c r="D470" s="4">
        <v>4</v>
      </c>
      <c r="E470" s="4">
        <v>12.61</v>
      </c>
      <c r="F470" s="4">
        <v>50.44</v>
      </c>
      <c r="G470" s="4">
        <v>12.61</v>
      </c>
      <c r="H470" s="4">
        <v>50.44</v>
      </c>
    </row>
    <row r="471" s="1" customFormat="1" ht="14" spans="1:8">
      <c r="A471" s="2">
        <v>2342018</v>
      </c>
      <c r="B471" s="2" t="s">
        <v>1136</v>
      </c>
      <c r="C471" s="3" t="s">
        <v>824</v>
      </c>
      <c r="D471" s="4">
        <v>1</v>
      </c>
      <c r="E471" s="4">
        <v>20.34</v>
      </c>
      <c r="F471" s="4">
        <v>20.34</v>
      </c>
      <c r="G471" s="4">
        <v>20.34</v>
      </c>
      <c r="H471" s="4">
        <v>20.34</v>
      </c>
    </row>
    <row r="472" s="1" customFormat="1" ht="14" spans="1:8">
      <c r="A472" s="2">
        <v>2343010</v>
      </c>
      <c r="B472" s="2" t="s">
        <v>1137</v>
      </c>
      <c r="C472" s="3" t="s">
        <v>824</v>
      </c>
      <c r="D472" s="4">
        <v>240</v>
      </c>
      <c r="E472" s="4">
        <v>2.03</v>
      </c>
      <c r="F472" s="4">
        <v>487.2</v>
      </c>
      <c r="G472" s="4">
        <v>2.03</v>
      </c>
      <c r="H472" s="4">
        <v>487.2</v>
      </c>
    </row>
    <row r="473" s="1" customFormat="1" ht="14" spans="1:8">
      <c r="A473" s="2">
        <v>2343011</v>
      </c>
      <c r="B473" s="2" t="s">
        <v>1138</v>
      </c>
      <c r="C473" s="3" t="s">
        <v>824</v>
      </c>
      <c r="D473" s="4">
        <v>41</v>
      </c>
      <c r="E473" s="4">
        <v>2.62</v>
      </c>
      <c r="F473" s="4">
        <v>107.42</v>
      </c>
      <c r="G473" s="4">
        <v>2.62</v>
      </c>
      <c r="H473" s="4">
        <v>107.42</v>
      </c>
    </row>
    <row r="474" s="1" customFormat="1" ht="14" spans="1:8">
      <c r="A474" s="2">
        <v>2343012</v>
      </c>
      <c r="B474" s="2" t="s">
        <v>1139</v>
      </c>
      <c r="C474" s="3" t="s">
        <v>824</v>
      </c>
      <c r="D474" s="4">
        <v>440</v>
      </c>
      <c r="E474" s="4">
        <v>3.25</v>
      </c>
      <c r="F474" s="4">
        <v>1430</v>
      </c>
      <c r="G474" s="4">
        <v>3.25</v>
      </c>
      <c r="H474" s="4">
        <v>1430</v>
      </c>
    </row>
    <row r="475" s="1" customFormat="1" ht="14" spans="1:8">
      <c r="A475" s="2">
        <v>2343015</v>
      </c>
      <c r="B475" s="2" t="s">
        <v>1140</v>
      </c>
      <c r="C475" s="3" t="s">
        <v>824</v>
      </c>
      <c r="D475" s="4">
        <v>7</v>
      </c>
      <c r="E475" s="4">
        <v>8.12</v>
      </c>
      <c r="F475" s="4">
        <v>56.84</v>
      </c>
      <c r="G475" s="4">
        <v>8.12</v>
      </c>
      <c r="H475" s="4">
        <v>56.84</v>
      </c>
    </row>
    <row r="476" s="1" customFormat="1" ht="14" spans="1:8">
      <c r="A476" s="2">
        <v>2343016</v>
      </c>
      <c r="B476" s="2" t="s">
        <v>1141</v>
      </c>
      <c r="C476" s="3" t="s">
        <v>824</v>
      </c>
      <c r="D476" s="4">
        <v>62</v>
      </c>
      <c r="E476" s="4">
        <v>14.62</v>
      </c>
      <c r="F476" s="4">
        <v>906.44</v>
      </c>
      <c r="G476" s="4">
        <v>14.62</v>
      </c>
      <c r="H476" s="4">
        <v>906.44</v>
      </c>
    </row>
    <row r="477" s="1" customFormat="1" ht="14" spans="1:8">
      <c r="A477" s="2">
        <v>2343017</v>
      </c>
      <c r="B477" s="2" t="s">
        <v>1142</v>
      </c>
      <c r="C477" s="3" t="s">
        <v>824</v>
      </c>
      <c r="D477" s="4">
        <v>20</v>
      </c>
      <c r="E477" s="4">
        <v>25.27</v>
      </c>
      <c r="F477" s="4">
        <v>505.4</v>
      </c>
      <c r="G477" s="4">
        <v>25.27</v>
      </c>
      <c r="H477" s="4">
        <v>505.4</v>
      </c>
    </row>
    <row r="478" s="1" customFormat="1" ht="14" spans="1:8">
      <c r="A478" s="2">
        <v>2344015</v>
      </c>
      <c r="B478" s="2" t="s">
        <v>1143</v>
      </c>
      <c r="C478" s="3" t="s">
        <v>824</v>
      </c>
      <c r="D478" s="4">
        <v>274</v>
      </c>
      <c r="E478" s="4">
        <v>6.14</v>
      </c>
      <c r="F478" s="4">
        <v>1682.36</v>
      </c>
      <c r="G478" s="4">
        <v>6.14</v>
      </c>
      <c r="H478" s="4">
        <v>1682.36</v>
      </c>
    </row>
    <row r="479" s="1" customFormat="1" ht="14" spans="1:8">
      <c r="A479" s="2">
        <v>2344017</v>
      </c>
      <c r="B479" s="2" t="s">
        <v>1144</v>
      </c>
      <c r="C479" s="3" t="s">
        <v>824</v>
      </c>
      <c r="D479" s="4">
        <v>1296.77</v>
      </c>
      <c r="E479" s="4">
        <v>12.32</v>
      </c>
      <c r="F479" s="4">
        <v>15976.2</v>
      </c>
      <c r="G479" s="4">
        <v>12.32</v>
      </c>
      <c r="H479" s="4">
        <v>15976.2</v>
      </c>
    </row>
    <row r="480" s="1" customFormat="1" ht="14" spans="1:8">
      <c r="A480" s="2">
        <v>2344018</v>
      </c>
      <c r="B480" s="2" t="s">
        <v>1145</v>
      </c>
      <c r="C480" s="3" t="s">
        <v>824</v>
      </c>
      <c r="D480" s="4">
        <v>2905.91</v>
      </c>
      <c r="E480" s="4">
        <v>21.18</v>
      </c>
      <c r="F480" s="4">
        <v>61546.98</v>
      </c>
      <c r="G480" s="4">
        <v>21.18</v>
      </c>
      <c r="H480" s="4">
        <v>61546.98</v>
      </c>
    </row>
    <row r="481" s="1" customFormat="1" ht="14" spans="1:8">
      <c r="A481" s="2">
        <v>2344051</v>
      </c>
      <c r="B481" s="2" t="s">
        <v>1146</v>
      </c>
      <c r="C481" s="3" t="s">
        <v>824</v>
      </c>
      <c r="D481" s="4">
        <v>1.53</v>
      </c>
      <c r="E481" s="4">
        <v>10.39</v>
      </c>
      <c r="F481" s="4">
        <v>15.9</v>
      </c>
      <c r="G481" s="4">
        <v>10.39</v>
      </c>
      <c r="H481" s="4">
        <v>15.9</v>
      </c>
    </row>
    <row r="482" s="1" customFormat="1" ht="14" spans="1:8">
      <c r="A482" s="2">
        <v>2344055</v>
      </c>
      <c r="B482" s="2" t="s">
        <v>1147</v>
      </c>
      <c r="C482" s="3" t="s">
        <v>824</v>
      </c>
      <c r="D482" s="4">
        <v>0.5</v>
      </c>
      <c r="E482" s="4">
        <v>30.78</v>
      </c>
      <c r="F482" s="4">
        <v>15.39</v>
      </c>
      <c r="G482" s="4">
        <v>30.78</v>
      </c>
      <c r="H482" s="4">
        <v>15.39</v>
      </c>
    </row>
    <row r="483" s="1" customFormat="1" ht="14" spans="1:8">
      <c r="A483" s="2">
        <v>2345011</v>
      </c>
      <c r="B483" s="2" t="s">
        <v>1148</v>
      </c>
      <c r="C483" s="3" t="s">
        <v>824</v>
      </c>
      <c r="D483" s="4">
        <v>2</v>
      </c>
      <c r="E483" s="4">
        <v>0.63</v>
      </c>
      <c r="F483" s="4">
        <v>1.26</v>
      </c>
      <c r="G483" s="4">
        <v>0.63</v>
      </c>
      <c r="H483" s="4">
        <v>1.26</v>
      </c>
    </row>
    <row r="484" s="1" customFormat="1" ht="14" spans="1:8">
      <c r="A484" s="2">
        <v>2345013</v>
      </c>
      <c r="B484" s="2" t="s">
        <v>1149</v>
      </c>
      <c r="C484" s="3" t="s">
        <v>824</v>
      </c>
      <c r="D484" s="4">
        <v>365</v>
      </c>
      <c r="E484" s="4">
        <v>1.18</v>
      </c>
      <c r="F484" s="4">
        <v>430.7</v>
      </c>
      <c r="G484" s="4">
        <v>1.18</v>
      </c>
      <c r="H484" s="4">
        <v>430.7</v>
      </c>
    </row>
    <row r="485" s="1" customFormat="1" ht="28" spans="1:8">
      <c r="A485" s="2">
        <v>2345111</v>
      </c>
      <c r="B485" s="2" t="s">
        <v>1150</v>
      </c>
      <c r="C485" s="3" t="s">
        <v>824</v>
      </c>
      <c r="D485" s="4">
        <v>4</v>
      </c>
      <c r="E485" s="4">
        <v>597.89</v>
      </c>
      <c r="F485" s="4">
        <v>2391.56</v>
      </c>
      <c r="G485" s="4">
        <v>597.89</v>
      </c>
      <c r="H485" s="4">
        <v>2391.56</v>
      </c>
    </row>
    <row r="486" s="1" customFormat="1" ht="28" spans="1:8">
      <c r="A486" s="2">
        <v>2345112</v>
      </c>
      <c r="B486" s="2" t="s">
        <v>1151</v>
      </c>
      <c r="C486" s="3" t="s">
        <v>824</v>
      </c>
      <c r="D486" s="4">
        <v>3</v>
      </c>
      <c r="E486" s="4">
        <v>947.32</v>
      </c>
      <c r="F486" s="4">
        <v>2841.96</v>
      </c>
      <c r="G486" s="4">
        <v>947.32</v>
      </c>
      <c r="H486" s="4">
        <v>2841.96</v>
      </c>
    </row>
    <row r="487" s="1" customFormat="1" ht="28" spans="1:8">
      <c r="A487" s="2">
        <v>2345120</v>
      </c>
      <c r="B487" s="2" t="s">
        <v>1152</v>
      </c>
      <c r="C487" s="3" t="s">
        <v>824</v>
      </c>
      <c r="D487" s="4">
        <v>12</v>
      </c>
      <c r="E487" s="4">
        <v>47.97</v>
      </c>
      <c r="F487" s="4">
        <v>575.64</v>
      </c>
      <c r="G487" s="4">
        <v>47.97</v>
      </c>
      <c r="H487" s="4">
        <v>575.64</v>
      </c>
    </row>
    <row r="488" s="1" customFormat="1" ht="14" spans="1:8">
      <c r="A488" s="2">
        <v>2346010</v>
      </c>
      <c r="B488" s="2" t="s">
        <v>1153</v>
      </c>
      <c r="C488" s="3" t="s">
        <v>824</v>
      </c>
      <c r="D488" s="4">
        <v>815.85</v>
      </c>
      <c r="E488" s="4">
        <v>0.72</v>
      </c>
      <c r="F488" s="4">
        <v>587.44</v>
      </c>
      <c r="G488" s="4">
        <v>0.72</v>
      </c>
      <c r="H488" s="4">
        <v>587.44</v>
      </c>
    </row>
    <row r="489" s="1" customFormat="1" ht="14" spans="1:8">
      <c r="A489" s="2">
        <v>2346012</v>
      </c>
      <c r="B489" s="2" t="s">
        <v>1154</v>
      </c>
      <c r="C489" s="3" t="s">
        <v>824</v>
      </c>
      <c r="D489" s="4">
        <v>253</v>
      </c>
      <c r="E489" s="4">
        <v>1.44</v>
      </c>
      <c r="F489" s="4">
        <v>364.32</v>
      </c>
      <c r="G489" s="4">
        <v>1.44</v>
      </c>
      <c r="H489" s="4">
        <v>364.32</v>
      </c>
    </row>
    <row r="490" s="1" customFormat="1" ht="14" spans="1:8">
      <c r="A490" s="2">
        <v>2347010</v>
      </c>
      <c r="B490" s="2" t="s">
        <v>1155</v>
      </c>
      <c r="C490" s="3" t="s">
        <v>824</v>
      </c>
      <c r="D490" s="4">
        <v>97.2</v>
      </c>
      <c r="E490" s="4">
        <v>4.22</v>
      </c>
      <c r="F490" s="4">
        <v>410.17</v>
      </c>
      <c r="G490" s="4">
        <v>4.22</v>
      </c>
      <c r="H490" s="4">
        <v>410.17</v>
      </c>
    </row>
    <row r="491" s="1" customFormat="1" ht="14" spans="1:8">
      <c r="A491" s="2">
        <v>2347011</v>
      </c>
      <c r="B491" s="2" t="s">
        <v>1156</v>
      </c>
      <c r="C491" s="3" t="s">
        <v>824</v>
      </c>
      <c r="D491" s="4">
        <v>0.7</v>
      </c>
      <c r="E491" s="4">
        <v>6.78</v>
      </c>
      <c r="F491" s="4">
        <v>4.75</v>
      </c>
      <c r="G491" s="4">
        <v>6.78</v>
      </c>
      <c r="H491" s="4">
        <v>4.75</v>
      </c>
    </row>
    <row r="492" s="1" customFormat="1" ht="14" spans="1:8">
      <c r="A492" s="2">
        <v>2347012</v>
      </c>
      <c r="B492" s="2" t="s">
        <v>1157</v>
      </c>
      <c r="C492" s="3" t="s">
        <v>824</v>
      </c>
      <c r="D492" s="4">
        <v>2.22</v>
      </c>
      <c r="E492" s="4">
        <v>11.29</v>
      </c>
      <c r="F492" s="4">
        <v>25.06</v>
      </c>
      <c r="G492" s="4">
        <v>11.29</v>
      </c>
      <c r="H492" s="4">
        <v>25.06</v>
      </c>
    </row>
    <row r="493" s="1" customFormat="1" ht="14" spans="1:8">
      <c r="A493" s="2">
        <v>2347013</v>
      </c>
      <c r="B493" s="2" t="s">
        <v>1158</v>
      </c>
      <c r="C493" s="3" t="s">
        <v>824</v>
      </c>
      <c r="D493" s="4">
        <v>344.63</v>
      </c>
      <c r="E493" s="4">
        <v>14.25</v>
      </c>
      <c r="F493" s="4">
        <v>4911</v>
      </c>
      <c r="G493" s="4">
        <v>14.25</v>
      </c>
      <c r="H493" s="4">
        <v>4911</v>
      </c>
    </row>
    <row r="494" s="1" customFormat="1" ht="14" spans="1:8">
      <c r="A494" s="2">
        <v>2347014</v>
      </c>
      <c r="B494" s="2" t="s">
        <v>1159</v>
      </c>
      <c r="C494" s="3" t="s">
        <v>824</v>
      </c>
      <c r="D494" s="4">
        <v>132</v>
      </c>
      <c r="E494" s="4">
        <v>22.55</v>
      </c>
      <c r="F494" s="4">
        <v>2976.6</v>
      </c>
      <c r="G494" s="4">
        <v>22.55</v>
      </c>
      <c r="H494" s="4">
        <v>2976.6</v>
      </c>
    </row>
    <row r="495" s="1" customFormat="1" ht="14" spans="1:8">
      <c r="A495" s="2">
        <v>2347015</v>
      </c>
      <c r="B495" s="2" t="s">
        <v>1160</v>
      </c>
      <c r="C495" s="3" t="s">
        <v>824</v>
      </c>
      <c r="D495" s="4">
        <v>140.88</v>
      </c>
      <c r="E495" s="4">
        <v>37.3</v>
      </c>
      <c r="F495" s="4">
        <v>5254.46</v>
      </c>
      <c r="G495" s="4">
        <v>37.3</v>
      </c>
      <c r="H495" s="4">
        <v>5254.46</v>
      </c>
    </row>
    <row r="496" s="1" customFormat="1" ht="14" spans="1:8">
      <c r="A496" s="2">
        <v>2347016</v>
      </c>
      <c r="B496" s="2" t="s">
        <v>1161</v>
      </c>
      <c r="C496" s="3" t="s">
        <v>824</v>
      </c>
      <c r="D496" s="4">
        <v>4.07</v>
      </c>
      <c r="E496" s="4">
        <v>85.7</v>
      </c>
      <c r="F496" s="4">
        <v>348.8</v>
      </c>
      <c r="G496" s="4">
        <v>85.7</v>
      </c>
      <c r="H496" s="4">
        <v>348.8</v>
      </c>
    </row>
    <row r="497" s="1" customFormat="1" ht="14" spans="1:8">
      <c r="A497" s="2">
        <v>2347018</v>
      </c>
      <c r="B497" s="2" t="s">
        <v>1162</v>
      </c>
      <c r="C497" s="3" t="s">
        <v>824</v>
      </c>
      <c r="D497" s="4">
        <v>0.96</v>
      </c>
      <c r="E497" s="4">
        <v>234.58</v>
      </c>
      <c r="F497" s="4">
        <v>224.02</v>
      </c>
      <c r="G497" s="4">
        <v>234.58</v>
      </c>
      <c r="H497" s="4">
        <v>224.02</v>
      </c>
    </row>
    <row r="498" s="1" customFormat="1" ht="14" spans="1:8">
      <c r="A498" s="2">
        <v>2347028</v>
      </c>
      <c r="B498" s="2" t="s">
        <v>1163</v>
      </c>
      <c r="C498" s="3" t="s">
        <v>824</v>
      </c>
      <c r="D498" s="4">
        <v>14.14</v>
      </c>
      <c r="E498" s="4">
        <v>1.19</v>
      </c>
      <c r="F498" s="4">
        <v>16.83</v>
      </c>
      <c r="G498" s="4">
        <v>1.19</v>
      </c>
      <c r="H498" s="4">
        <v>16.83</v>
      </c>
    </row>
    <row r="499" s="1" customFormat="1" ht="14" spans="1:8">
      <c r="A499" s="2">
        <v>2348110</v>
      </c>
      <c r="B499" s="2" t="s">
        <v>1164</v>
      </c>
      <c r="C499" s="3" t="s">
        <v>824</v>
      </c>
      <c r="D499" s="4">
        <v>395.92</v>
      </c>
      <c r="E499" s="4">
        <v>0.4</v>
      </c>
      <c r="F499" s="4">
        <v>158.36</v>
      </c>
      <c r="G499" s="4">
        <v>0.4</v>
      </c>
      <c r="H499" s="4">
        <v>158.36</v>
      </c>
    </row>
    <row r="500" s="1" customFormat="1" ht="14" spans="1:8">
      <c r="A500" s="2">
        <v>2348113</v>
      </c>
      <c r="B500" s="2" t="s">
        <v>1165</v>
      </c>
      <c r="C500" s="3" t="s">
        <v>824</v>
      </c>
      <c r="D500" s="4">
        <v>54637.78</v>
      </c>
      <c r="E500" s="4">
        <v>0.4</v>
      </c>
      <c r="F500" s="4">
        <v>21855.1</v>
      </c>
      <c r="G500" s="4">
        <v>0.4</v>
      </c>
      <c r="H500" s="4">
        <v>21855.1</v>
      </c>
    </row>
    <row r="501" s="1" customFormat="1" ht="14" spans="1:8">
      <c r="A501" s="2">
        <v>2348114</v>
      </c>
      <c r="B501" s="2" t="s">
        <v>1166</v>
      </c>
      <c r="C501" s="3" t="s">
        <v>824</v>
      </c>
      <c r="D501" s="4">
        <v>19253.65</v>
      </c>
      <c r="E501" s="4">
        <v>0.69</v>
      </c>
      <c r="F501" s="4">
        <v>13285.03</v>
      </c>
      <c r="G501" s="4">
        <v>0.69</v>
      </c>
      <c r="H501" s="4">
        <v>13285.03</v>
      </c>
    </row>
    <row r="502" s="1" customFormat="1" ht="14" spans="1:8">
      <c r="A502" s="2">
        <v>2348115</v>
      </c>
      <c r="B502" s="2" t="s">
        <v>1167</v>
      </c>
      <c r="C502" s="3" t="s">
        <v>824</v>
      </c>
      <c r="D502" s="4">
        <v>14198.97</v>
      </c>
      <c r="E502" s="4">
        <v>1.19</v>
      </c>
      <c r="F502" s="4">
        <v>16896.77</v>
      </c>
      <c r="G502" s="4">
        <v>1.19</v>
      </c>
      <c r="H502" s="4">
        <v>16896.77</v>
      </c>
    </row>
    <row r="503" s="1" customFormat="1" ht="14" spans="1:8">
      <c r="A503" s="2">
        <v>2348117</v>
      </c>
      <c r="B503" s="2" t="s">
        <v>1168</v>
      </c>
      <c r="C503" s="3" t="s">
        <v>824</v>
      </c>
      <c r="D503" s="4">
        <v>2335.83</v>
      </c>
      <c r="E503" s="4">
        <v>2.13</v>
      </c>
      <c r="F503" s="4">
        <v>4975.36</v>
      </c>
      <c r="G503" s="4">
        <v>2.13</v>
      </c>
      <c r="H503" s="4">
        <v>4975.36</v>
      </c>
    </row>
    <row r="504" s="1" customFormat="1" ht="14" spans="1:8">
      <c r="A504" s="2">
        <v>2348210</v>
      </c>
      <c r="B504" s="2" t="s">
        <v>1169</v>
      </c>
      <c r="C504" s="3" t="s">
        <v>824</v>
      </c>
      <c r="D504" s="4">
        <v>2</v>
      </c>
      <c r="E504" s="4">
        <v>0.38</v>
      </c>
      <c r="F504" s="4">
        <v>0.76</v>
      </c>
      <c r="G504" s="4">
        <v>0.38</v>
      </c>
      <c r="H504" s="4">
        <v>0.76</v>
      </c>
    </row>
    <row r="505" s="1" customFormat="1" ht="14" spans="1:8">
      <c r="A505" s="2">
        <v>2348211</v>
      </c>
      <c r="B505" s="2" t="s">
        <v>1170</v>
      </c>
      <c r="C505" s="3" t="s">
        <v>824</v>
      </c>
      <c r="D505" s="4">
        <v>390</v>
      </c>
      <c r="E505" s="4">
        <v>0.74</v>
      </c>
      <c r="F505" s="4">
        <v>288.6</v>
      </c>
      <c r="G505" s="4">
        <v>0.74</v>
      </c>
      <c r="H505" s="4">
        <v>288.6</v>
      </c>
    </row>
    <row r="506" s="1" customFormat="1" ht="14" spans="1:8">
      <c r="A506" s="2">
        <v>2349012</v>
      </c>
      <c r="B506" s="2" t="s">
        <v>1171</v>
      </c>
      <c r="C506" s="3" t="s">
        <v>1172</v>
      </c>
      <c r="D506" s="4">
        <v>1673</v>
      </c>
      <c r="E506" s="4">
        <v>5.96</v>
      </c>
      <c r="F506" s="4">
        <v>9971.08</v>
      </c>
      <c r="G506" s="4">
        <v>5.96</v>
      </c>
      <c r="H506" s="4">
        <v>9971.08</v>
      </c>
    </row>
    <row r="507" s="1" customFormat="1" ht="14" spans="1:8">
      <c r="A507" s="2">
        <v>2349111</v>
      </c>
      <c r="B507" s="2" t="s">
        <v>1173</v>
      </c>
      <c r="C507" s="3" t="s">
        <v>824</v>
      </c>
      <c r="D507" s="4">
        <v>4</v>
      </c>
      <c r="E507" s="4">
        <v>3.4</v>
      </c>
      <c r="F507" s="4">
        <v>13.6</v>
      </c>
      <c r="G507" s="4">
        <v>3.4</v>
      </c>
      <c r="H507" s="4">
        <v>13.6</v>
      </c>
    </row>
    <row r="508" s="1" customFormat="1" ht="14" spans="1:8">
      <c r="A508" s="2">
        <v>2349113</v>
      </c>
      <c r="B508" s="2" t="s">
        <v>1174</v>
      </c>
      <c r="C508" s="3" t="s">
        <v>824</v>
      </c>
      <c r="D508" s="4">
        <v>1.33</v>
      </c>
      <c r="E508" s="4">
        <v>5.21</v>
      </c>
      <c r="F508" s="4">
        <v>6.95</v>
      </c>
      <c r="G508" s="4">
        <v>5.21</v>
      </c>
      <c r="H508" s="4">
        <v>6.95</v>
      </c>
    </row>
    <row r="509" s="1" customFormat="1" ht="14" spans="1:8">
      <c r="A509" s="2">
        <v>2349114</v>
      </c>
      <c r="B509" s="2" t="s">
        <v>1175</v>
      </c>
      <c r="C509" s="3" t="s">
        <v>824</v>
      </c>
      <c r="D509" s="4">
        <v>8</v>
      </c>
      <c r="E509" s="4">
        <v>7.72</v>
      </c>
      <c r="F509" s="4">
        <v>61.76</v>
      </c>
      <c r="G509" s="4">
        <v>7.72</v>
      </c>
      <c r="H509" s="4">
        <v>61.76</v>
      </c>
    </row>
    <row r="510" s="1" customFormat="1" ht="14" spans="1:8">
      <c r="A510" s="2">
        <v>2349116</v>
      </c>
      <c r="B510" s="2" t="s">
        <v>1176</v>
      </c>
      <c r="C510" s="3" t="s">
        <v>824</v>
      </c>
      <c r="D510" s="4">
        <v>3</v>
      </c>
      <c r="E510" s="4">
        <v>12.55</v>
      </c>
      <c r="F510" s="4">
        <v>37.65</v>
      </c>
      <c r="G510" s="4">
        <v>12.55</v>
      </c>
      <c r="H510" s="4">
        <v>37.65</v>
      </c>
    </row>
    <row r="511" s="1" customFormat="1" ht="14" spans="1:8">
      <c r="A511" s="2">
        <v>2349117</v>
      </c>
      <c r="B511" s="2" t="s">
        <v>1177</v>
      </c>
      <c r="C511" s="3" t="s">
        <v>824</v>
      </c>
      <c r="D511" s="4">
        <v>71</v>
      </c>
      <c r="E511" s="4">
        <v>15.63</v>
      </c>
      <c r="F511" s="4">
        <v>1109.73</v>
      </c>
      <c r="G511" s="4">
        <v>15.63</v>
      </c>
      <c r="H511" s="4">
        <v>1109.73</v>
      </c>
    </row>
    <row r="512" s="1" customFormat="1" ht="14" spans="1:8">
      <c r="A512" s="2">
        <v>2349118</v>
      </c>
      <c r="B512" s="2" t="s">
        <v>1178</v>
      </c>
      <c r="C512" s="3" t="s">
        <v>824</v>
      </c>
      <c r="D512" s="4">
        <v>6.67</v>
      </c>
      <c r="E512" s="4">
        <v>19.29</v>
      </c>
      <c r="F512" s="4">
        <v>128.66</v>
      </c>
      <c r="G512" s="4">
        <v>19.29</v>
      </c>
      <c r="H512" s="4">
        <v>128.66</v>
      </c>
    </row>
    <row r="513" s="1" customFormat="1" ht="14" spans="1:8">
      <c r="A513" s="2">
        <v>2349119</v>
      </c>
      <c r="B513" s="2" t="s">
        <v>1179</v>
      </c>
      <c r="C513" s="3" t="s">
        <v>824</v>
      </c>
      <c r="D513" s="4">
        <v>267.9</v>
      </c>
      <c r="E513" s="4">
        <v>23.88</v>
      </c>
      <c r="F513" s="4">
        <v>6397.45</v>
      </c>
      <c r="G513" s="4">
        <v>23.88</v>
      </c>
      <c r="H513" s="4">
        <v>6397.45</v>
      </c>
    </row>
    <row r="514" s="1" customFormat="1" ht="14" spans="1:8">
      <c r="A514" s="2">
        <v>2349121</v>
      </c>
      <c r="B514" s="2" t="s">
        <v>1180</v>
      </c>
      <c r="C514" s="3" t="s">
        <v>824</v>
      </c>
      <c r="D514" s="4">
        <v>67.99</v>
      </c>
      <c r="E514" s="4">
        <v>39.55</v>
      </c>
      <c r="F514" s="4">
        <v>2689</v>
      </c>
      <c r="G514" s="4">
        <v>39.55</v>
      </c>
      <c r="H514" s="4">
        <v>2689</v>
      </c>
    </row>
    <row r="515" s="1" customFormat="1" ht="14" spans="1:8">
      <c r="A515" s="2">
        <v>2349213</v>
      </c>
      <c r="B515" s="2" t="s">
        <v>1181</v>
      </c>
      <c r="C515" s="3" t="s">
        <v>824</v>
      </c>
      <c r="D515" s="4">
        <v>384</v>
      </c>
      <c r="E515" s="4">
        <v>12</v>
      </c>
      <c r="F515" s="4">
        <v>4608</v>
      </c>
      <c r="G515" s="4">
        <v>12</v>
      </c>
      <c r="H515" s="4">
        <v>4608</v>
      </c>
    </row>
    <row r="516" s="1" customFormat="1" ht="14" spans="1:8">
      <c r="A516" s="2">
        <v>2349214</v>
      </c>
      <c r="B516" s="2" t="s">
        <v>1182</v>
      </c>
      <c r="C516" s="3" t="s">
        <v>824</v>
      </c>
      <c r="D516" s="4">
        <v>44</v>
      </c>
      <c r="E516" s="4">
        <v>13.71</v>
      </c>
      <c r="F516" s="4">
        <v>603.24</v>
      </c>
      <c r="G516" s="4">
        <v>13.71</v>
      </c>
      <c r="H516" s="4">
        <v>603.24</v>
      </c>
    </row>
    <row r="517" s="1" customFormat="1" ht="14" spans="1:8">
      <c r="A517" s="2">
        <v>2349215</v>
      </c>
      <c r="B517" s="2" t="s">
        <v>1183</v>
      </c>
      <c r="C517" s="3" t="s">
        <v>824</v>
      </c>
      <c r="D517" s="4">
        <v>1116</v>
      </c>
      <c r="E517" s="4">
        <v>15.44</v>
      </c>
      <c r="F517" s="4">
        <v>17231.04</v>
      </c>
      <c r="G517" s="4">
        <v>15.44</v>
      </c>
      <c r="H517" s="4">
        <v>17231.04</v>
      </c>
    </row>
    <row r="518" s="1" customFormat="1" ht="14" spans="1:8">
      <c r="A518" s="2">
        <v>2349216</v>
      </c>
      <c r="B518" s="2" t="s">
        <v>1184</v>
      </c>
      <c r="C518" s="3" t="s">
        <v>824</v>
      </c>
      <c r="D518" s="4">
        <v>222</v>
      </c>
      <c r="E518" s="4">
        <v>16.35</v>
      </c>
      <c r="F518" s="4">
        <v>3629.7</v>
      </c>
      <c r="G518" s="4">
        <v>16.35</v>
      </c>
      <c r="H518" s="4">
        <v>3629.7</v>
      </c>
    </row>
    <row r="519" s="1" customFormat="1" ht="14" spans="1:8">
      <c r="A519" s="2">
        <v>2349217</v>
      </c>
      <c r="B519" s="2" t="s">
        <v>1185</v>
      </c>
      <c r="C519" s="3" t="s">
        <v>824</v>
      </c>
      <c r="D519" s="4">
        <v>692</v>
      </c>
      <c r="E519" s="4">
        <v>22.62</v>
      </c>
      <c r="F519" s="4">
        <v>15653.04</v>
      </c>
      <c r="G519" s="4">
        <v>22.62</v>
      </c>
      <c r="H519" s="4">
        <v>15653.04</v>
      </c>
    </row>
    <row r="520" s="1" customFormat="1" ht="14" spans="1:8">
      <c r="A520" s="2">
        <v>2349218</v>
      </c>
      <c r="B520" s="2" t="s">
        <v>1186</v>
      </c>
      <c r="C520" s="3" t="s">
        <v>824</v>
      </c>
      <c r="D520" s="4">
        <v>1744</v>
      </c>
      <c r="E520" s="4">
        <v>27.95</v>
      </c>
      <c r="F520" s="4">
        <v>48744.8</v>
      </c>
      <c r="G520" s="4">
        <v>27.95</v>
      </c>
      <c r="H520" s="4">
        <v>48744.8</v>
      </c>
    </row>
    <row r="521" s="1" customFormat="1" ht="14" spans="1:8">
      <c r="A521" s="2">
        <v>2349219</v>
      </c>
      <c r="B521" s="2" t="s">
        <v>1187</v>
      </c>
      <c r="C521" s="3" t="s">
        <v>824</v>
      </c>
      <c r="D521" s="4">
        <v>50</v>
      </c>
      <c r="E521" s="4">
        <v>32.03</v>
      </c>
      <c r="F521" s="4">
        <v>1601.5</v>
      </c>
      <c r="G521" s="4">
        <v>32.03</v>
      </c>
      <c r="H521" s="4">
        <v>1601.5</v>
      </c>
    </row>
    <row r="522" s="1" customFormat="1" ht="14" spans="1:8">
      <c r="A522" s="2">
        <v>2349220</v>
      </c>
      <c r="B522" s="2" t="s">
        <v>1188</v>
      </c>
      <c r="C522" s="3" t="s">
        <v>824</v>
      </c>
      <c r="D522" s="4">
        <v>254</v>
      </c>
      <c r="E522" s="4">
        <v>35.12</v>
      </c>
      <c r="F522" s="4">
        <v>8920.48</v>
      </c>
      <c r="G522" s="4">
        <v>35.12</v>
      </c>
      <c r="H522" s="4">
        <v>8920.48</v>
      </c>
    </row>
    <row r="523" s="1" customFormat="1" ht="14" spans="1:8">
      <c r="A523" s="2">
        <v>2349221</v>
      </c>
      <c r="B523" s="2" t="s">
        <v>1189</v>
      </c>
      <c r="C523" s="3" t="s">
        <v>824</v>
      </c>
      <c r="D523" s="4">
        <v>146</v>
      </c>
      <c r="E523" s="4">
        <v>57.02</v>
      </c>
      <c r="F523" s="4">
        <v>8324.92</v>
      </c>
      <c r="G523" s="4">
        <v>57.02</v>
      </c>
      <c r="H523" s="4">
        <v>8324.92</v>
      </c>
    </row>
    <row r="524" s="1" customFormat="1" ht="14" spans="1:8">
      <c r="A524" s="2">
        <v>2349511</v>
      </c>
      <c r="B524" s="2" t="s">
        <v>1190</v>
      </c>
      <c r="C524" s="3" t="s">
        <v>824</v>
      </c>
      <c r="D524" s="4">
        <v>19101.75</v>
      </c>
      <c r="E524" s="4">
        <v>49.06</v>
      </c>
      <c r="F524" s="4">
        <v>937131.65</v>
      </c>
      <c r="G524" s="4">
        <v>49.06</v>
      </c>
      <c r="H524" s="4">
        <v>937131.65</v>
      </c>
    </row>
    <row r="525" s="1" customFormat="1" ht="14" spans="1:8">
      <c r="A525" s="2">
        <v>2351310</v>
      </c>
      <c r="B525" s="2" t="s">
        <v>1191</v>
      </c>
      <c r="C525" s="3" t="s">
        <v>824</v>
      </c>
      <c r="D525" s="4">
        <v>3</v>
      </c>
      <c r="E525" s="4">
        <v>53.23</v>
      </c>
      <c r="F525" s="4">
        <v>159.69</v>
      </c>
      <c r="G525" s="4">
        <v>53.23</v>
      </c>
      <c r="H525" s="4">
        <v>159.69</v>
      </c>
    </row>
    <row r="526" s="1" customFormat="1" ht="14" spans="1:8">
      <c r="A526" s="2">
        <v>2361010</v>
      </c>
      <c r="B526" s="2" t="s">
        <v>1192</v>
      </c>
      <c r="C526" s="3" t="s">
        <v>824</v>
      </c>
      <c r="D526" s="4">
        <v>851.14</v>
      </c>
      <c r="E526" s="4">
        <v>1.05</v>
      </c>
      <c r="F526" s="4">
        <v>893.74</v>
      </c>
      <c r="G526" s="4">
        <v>1.05</v>
      </c>
      <c r="H526" s="4">
        <v>893.74</v>
      </c>
    </row>
    <row r="527" s="1" customFormat="1" ht="14" spans="1:8">
      <c r="A527" s="2">
        <v>2361011</v>
      </c>
      <c r="B527" s="2" t="s">
        <v>1193</v>
      </c>
      <c r="C527" s="3" t="s">
        <v>824</v>
      </c>
      <c r="D527" s="4">
        <v>879.59</v>
      </c>
      <c r="E527" s="4">
        <v>1.18</v>
      </c>
      <c r="F527" s="4">
        <v>1037.96</v>
      </c>
      <c r="G527" s="4">
        <v>1.18</v>
      </c>
      <c r="H527" s="4">
        <v>1037.96</v>
      </c>
    </row>
    <row r="528" s="1" customFormat="1" ht="14" spans="1:8">
      <c r="A528" s="2">
        <v>2361012</v>
      </c>
      <c r="B528" s="2" t="s">
        <v>1194</v>
      </c>
      <c r="C528" s="3" t="s">
        <v>824</v>
      </c>
      <c r="D528" s="4">
        <v>16021.82</v>
      </c>
      <c r="E528" s="4">
        <v>2.04</v>
      </c>
      <c r="F528" s="4">
        <v>32684.55</v>
      </c>
      <c r="G528" s="4">
        <v>2.04</v>
      </c>
      <c r="H528" s="4">
        <v>32684.55</v>
      </c>
    </row>
    <row r="529" s="1" customFormat="1" ht="14" spans="1:8">
      <c r="A529" s="2">
        <v>2361013</v>
      </c>
      <c r="B529" s="2" t="s">
        <v>1195</v>
      </c>
      <c r="C529" s="3" t="s">
        <v>824</v>
      </c>
      <c r="D529" s="4">
        <v>5349.89</v>
      </c>
      <c r="E529" s="4">
        <v>2.72</v>
      </c>
      <c r="F529" s="4">
        <v>14551.69</v>
      </c>
      <c r="G529" s="4">
        <v>2.72</v>
      </c>
      <c r="H529" s="4">
        <v>14551.69</v>
      </c>
    </row>
    <row r="530" s="1" customFormat="1" ht="14" spans="1:8">
      <c r="A530" s="2">
        <v>2361014</v>
      </c>
      <c r="B530" s="2" t="s">
        <v>1196</v>
      </c>
      <c r="C530" s="3" t="s">
        <v>824</v>
      </c>
      <c r="D530" s="4">
        <v>2634.06</v>
      </c>
      <c r="E530" s="4">
        <v>3.54</v>
      </c>
      <c r="F530" s="4">
        <v>9324.57</v>
      </c>
      <c r="G530" s="4">
        <v>3.54</v>
      </c>
      <c r="H530" s="4">
        <v>9324.57</v>
      </c>
    </row>
    <row r="531" s="1" customFormat="1" ht="14" spans="1:8">
      <c r="A531" s="2">
        <v>2361015</v>
      </c>
      <c r="B531" s="2" t="s">
        <v>1197</v>
      </c>
      <c r="C531" s="3" t="s">
        <v>824</v>
      </c>
      <c r="D531" s="4">
        <v>5150.93</v>
      </c>
      <c r="E531" s="4">
        <v>4.83</v>
      </c>
      <c r="F531" s="4">
        <v>24878.93</v>
      </c>
      <c r="G531" s="4">
        <v>4.83</v>
      </c>
      <c r="H531" s="4">
        <v>24878.93</v>
      </c>
    </row>
    <row r="532" s="1" customFormat="1" ht="14" spans="1:8">
      <c r="A532" s="2">
        <v>2361016</v>
      </c>
      <c r="B532" s="2" t="s">
        <v>1198</v>
      </c>
      <c r="C532" s="3" t="s">
        <v>824</v>
      </c>
      <c r="D532" s="4">
        <v>1246.07</v>
      </c>
      <c r="E532" s="4">
        <v>7.08</v>
      </c>
      <c r="F532" s="4">
        <v>8822.22</v>
      </c>
      <c r="G532" s="4">
        <v>7.08</v>
      </c>
      <c r="H532" s="4">
        <v>8822.22</v>
      </c>
    </row>
    <row r="533" s="1" customFormat="1" ht="14" spans="1:8">
      <c r="A533" s="2">
        <v>2361017</v>
      </c>
      <c r="B533" s="2" t="s">
        <v>1199</v>
      </c>
      <c r="C533" s="3" t="s">
        <v>824</v>
      </c>
      <c r="D533" s="4">
        <v>687.61</v>
      </c>
      <c r="E533" s="4">
        <v>9.75</v>
      </c>
      <c r="F533" s="4">
        <v>6704.23</v>
      </c>
      <c r="G533" s="4">
        <v>9.75</v>
      </c>
      <c r="H533" s="4">
        <v>6704.23</v>
      </c>
    </row>
    <row r="534" s="1" customFormat="1" ht="14" spans="1:8">
      <c r="A534" s="2">
        <v>2361018</v>
      </c>
      <c r="B534" s="2" t="s">
        <v>1200</v>
      </c>
      <c r="C534" s="3" t="s">
        <v>824</v>
      </c>
      <c r="D534" s="4">
        <v>2715.98</v>
      </c>
      <c r="E534" s="4">
        <v>14.18</v>
      </c>
      <c r="F534" s="4">
        <v>38512.23</v>
      </c>
      <c r="G534" s="4">
        <v>14.18</v>
      </c>
      <c r="H534" s="4">
        <v>38512.23</v>
      </c>
    </row>
    <row r="535" s="1" customFormat="1" ht="14" spans="1:8">
      <c r="A535" s="2">
        <v>2361019</v>
      </c>
      <c r="B535" s="2" t="s">
        <v>1201</v>
      </c>
      <c r="C535" s="3" t="s">
        <v>824</v>
      </c>
      <c r="D535" s="4">
        <v>21.16</v>
      </c>
      <c r="E535" s="4">
        <v>23.04</v>
      </c>
      <c r="F535" s="4">
        <v>487.53</v>
      </c>
      <c r="G535" s="4">
        <v>23.04</v>
      </c>
      <c r="H535" s="4">
        <v>487.53</v>
      </c>
    </row>
    <row r="536" s="1" customFormat="1" ht="14" spans="1:8">
      <c r="A536" s="2">
        <v>2361020</v>
      </c>
      <c r="B536" s="2" t="s">
        <v>1202</v>
      </c>
      <c r="C536" s="3" t="s">
        <v>824</v>
      </c>
      <c r="D536" s="4">
        <v>383.61</v>
      </c>
      <c r="E536" s="4">
        <v>34.55</v>
      </c>
      <c r="F536" s="4">
        <v>13253.73</v>
      </c>
      <c r="G536" s="4">
        <v>34.55</v>
      </c>
      <c r="H536" s="4">
        <v>13253.73</v>
      </c>
    </row>
    <row r="537" s="1" customFormat="1" ht="14" spans="1:8">
      <c r="A537" s="2">
        <v>2362012</v>
      </c>
      <c r="B537" s="2" t="s">
        <v>1203</v>
      </c>
      <c r="C537" s="3" t="s">
        <v>824</v>
      </c>
      <c r="D537" s="4">
        <v>10.55</v>
      </c>
      <c r="E537" s="4">
        <v>8.8</v>
      </c>
      <c r="F537" s="4">
        <v>92.84</v>
      </c>
      <c r="G537" s="4">
        <v>8.8</v>
      </c>
      <c r="H537" s="4">
        <v>92.84</v>
      </c>
    </row>
    <row r="538" s="1" customFormat="1" ht="14" spans="1:8">
      <c r="A538" s="2">
        <v>2362013</v>
      </c>
      <c r="B538" s="2" t="s">
        <v>1204</v>
      </c>
      <c r="C538" s="3" t="s">
        <v>824</v>
      </c>
      <c r="D538" s="4">
        <v>10.14</v>
      </c>
      <c r="E538" s="4">
        <v>18.86</v>
      </c>
      <c r="F538" s="4">
        <v>191.24</v>
      </c>
      <c r="G538" s="4">
        <v>18.86</v>
      </c>
      <c r="H538" s="4">
        <v>191.24</v>
      </c>
    </row>
    <row r="539" s="1" customFormat="1" ht="14" spans="1:8">
      <c r="A539" s="2">
        <v>2362014</v>
      </c>
      <c r="B539" s="2" t="s">
        <v>1205</v>
      </c>
      <c r="C539" s="3" t="s">
        <v>824</v>
      </c>
      <c r="D539" s="4">
        <v>5.25</v>
      </c>
      <c r="E539" s="4">
        <v>37.71</v>
      </c>
      <c r="F539" s="4">
        <v>197.98</v>
      </c>
      <c r="G539" s="4">
        <v>37.71</v>
      </c>
      <c r="H539" s="4">
        <v>197.98</v>
      </c>
    </row>
    <row r="540" s="1" customFormat="1" ht="14" spans="1:8">
      <c r="A540" s="2">
        <v>2362015</v>
      </c>
      <c r="B540" s="2" t="s">
        <v>1206</v>
      </c>
      <c r="C540" s="3" t="s">
        <v>824</v>
      </c>
      <c r="D540" s="4">
        <v>33.18</v>
      </c>
      <c r="E540" s="4">
        <v>47.13</v>
      </c>
      <c r="F540" s="4">
        <v>1563.77</v>
      </c>
      <c r="G540" s="4">
        <v>47.13</v>
      </c>
      <c r="H540" s="4">
        <v>1563.77</v>
      </c>
    </row>
    <row r="541" s="1" customFormat="1" ht="14" spans="1:8">
      <c r="A541" s="2">
        <v>2364010</v>
      </c>
      <c r="B541" s="2" t="s">
        <v>1207</v>
      </c>
      <c r="C541" s="3" t="s">
        <v>824</v>
      </c>
      <c r="D541" s="4">
        <v>34.41</v>
      </c>
      <c r="E541" s="4">
        <v>0.71</v>
      </c>
      <c r="F541" s="4">
        <v>24.43</v>
      </c>
      <c r="G541" s="4">
        <v>0.71</v>
      </c>
      <c r="H541" s="4">
        <v>24.43</v>
      </c>
    </row>
    <row r="542" s="1" customFormat="1" ht="14" spans="1:8">
      <c r="A542" s="2">
        <v>2364012</v>
      </c>
      <c r="B542" s="2" t="s">
        <v>1208</v>
      </c>
      <c r="C542" s="3" t="s">
        <v>824</v>
      </c>
      <c r="D542" s="4">
        <v>4.96</v>
      </c>
      <c r="E542" s="4">
        <v>1.15</v>
      </c>
      <c r="F542" s="4">
        <v>5.7</v>
      </c>
      <c r="G542" s="4">
        <v>1.15</v>
      </c>
      <c r="H542" s="4">
        <v>5.7</v>
      </c>
    </row>
    <row r="543" s="1" customFormat="1" ht="14" spans="1:8">
      <c r="A543" s="2">
        <v>2364013</v>
      </c>
      <c r="B543" s="2" t="s">
        <v>1209</v>
      </c>
      <c r="C543" s="3" t="s">
        <v>824</v>
      </c>
      <c r="D543" s="4">
        <v>78.4</v>
      </c>
      <c r="E543" s="4">
        <v>1.84</v>
      </c>
      <c r="F543" s="4">
        <v>144.26</v>
      </c>
      <c r="G543" s="4">
        <v>1.84</v>
      </c>
      <c r="H543" s="4">
        <v>144.26</v>
      </c>
    </row>
    <row r="544" s="1" customFormat="1" ht="14" spans="1:8">
      <c r="A544" s="2">
        <v>2364015</v>
      </c>
      <c r="B544" s="2" t="s">
        <v>1210</v>
      </c>
      <c r="C544" s="3" t="s">
        <v>824</v>
      </c>
      <c r="D544" s="4">
        <v>65.74</v>
      </c>
      <c r="E544" s="4">
        <v>3.54</v>
      </c>
      <c r="F544" s="4">
        <v>232.73</v>
      </c>
      <c r="G544" s="4">
        <v>3.54</v>
      </c>
      <c r="H544" s="4">
        <v>232.73</v>
      </c>
    </row>
    <row r="545" s="1" customFormat="1" ht="14" spans="1:8">
      <c r="A545" s="2">
        <v>2364016</v>
      </c>
      <c r="B545" s="2" t="s">
        <v>1211</v>
      </c>
      <c r="C545" s="3" t="s">
        <v>824</v>
      </c>
      <c r="D545" s="4">
        <v>81.8</v>
      </c>
      <c r="E545" s="4">
        <v>5.32</v>
      </c>
      <c r="F545" s="4">
        <v>435.18</v>
      </c>
      <c r="G545" s="4">
        <v>5.32</v>
      </c>
      <c r="H545" s="4">
        <v>435.18</v>
      </c>
    </row>
    <row r="546" s="1" customFormat="1" ht="14" spans="1:8">
      <c r="A546" s="2">
        <v>2364017</v>
      </c>
      <c r="B546" s="2" t="s">
        <v>1212</v>
      </c>
      <c r="C546" s="3" t="s">
        <v>824</v>
      </c>
      <c r="D546" s="4">
        <v>27.66</v>
      </c>
      <c r="E546" s="4">
        <v>8.86</v>
      </c>
      <c r="F546" s="4">
        <v>245.07</v>
      </c>
      <c r="G546" s="4">
        <v>8.86</v>
      </c>
      <c r="H546" s="4">
        <v>245.07</v>
      </c>
    </row>
    <row r="547" s="1" customFormat="1" ht="14" spans="1:8">
      <c r="A547" s="2">
        <v>2364018</v>
      </c>
      <c r="B547" s="2" t="s">
        <v>1213</v>
      </c>
      <c r="C547" s="3" t="s">
        <v>824</v>
      </c>
      <c r="D547" s="4">
        <v>4.89</v>
      </c>
      <c r="E547" s="4">
        <v>12.4</v>
      </c>
      <c r="F547" s="4">
        <v>60.64</v>
      </c>
      <c r="G547" s="4">
        <v>12.4</v>
      </c>
      <c r="H547" s="4">
        <v>60.64</v>
      </c>
    </row>
    <row r="548" s="1" customFormat="1" ht="14" spans="1:8">
      <c r="A548" s="2">
        <v>2364020</v>
      </c>
      <c r="B548" s="2" t="s">
        <v>1214</v>
      </c>
      <c r="C548" s="3" t="s">
        <v>824</v>
      </c>
      <c r="D548" s="4">
        <v>27.21</v>
      </c>
      <c r="E548" s="4">
        <v>26.59</v>
      </c>
      <c r="F548" s="4">
        <v>723.46</v>
      </c>
      <c r="G548" s="4">
        <v>26.59</v>
      </c>
      <c r="H548" s="4">
        <v>723.46</v>
      </c>
    </row>
    <row r="549" s="1" customFormat="1" ht="14" spans="1:8">
      <c r="A549" s="2">
        <v>2368010</v>
      </c>
      <c r="B549" s="2" t="s">
        <v>1215</v>
      </c>
      <c r="C549" s="3" t="s">
        <v>824</v>
      </c>
      <c r="D549" s="4">
        <v>8</v>
      </c>
      <c r="E549" s="4">
        <v>9.21</v>
      </c>
      <c r="F549" s="4">
        <v>73.68</v>
      </c>
      <c r="G549" s="4">
        <v>9.21</v>
      </c>
      <c r="H549" s="4">
        <v>73.68</v>
      </c>
    </row>
    <row r="550" s="1" customFormat="1" ht="14" spans="1:8">
      <c r="A550" s="2">
        <v>2368011</v>
      </c>
      <c r="B550" s="2" t="s">
        <v>1216</v>
      </c>
      <c r="C550" s="3" t="s">
        <v>824</v>
      </c>
      <c r="D550" s="4">
        <v>12</v>
      </c>
      <c r="E550" s="4">
        <v>21.6</v>
      </c>
      <c r="F550" s="4">
        <v>259.2</v>
      </c>
      <c r="G550" s="4">
        <v>21.6</v>
      </c>
      <c r="H550" s="4">
        <v>259.2</v>
      </c>
    </row>
    <row r="551" s="1" customFormat="1" ht="14" spans="1:8">
      <c r="A551" s="2">
        <v>2368012</v>
      </c>
      <c r="B551" s="2" t="s">
        <v>1217</v>
      </c>
      <c r="C551" s="3" t="s">
        <v>824</v>
      </c>
      <c r="D551" s="4">
        <v>12</v>
      </c>
      <c r="E551" s="4">
        <v>38.34</v>
      </c>
      <c r="F551" s="4">
        <v>460.08</v>
      </c>
      <c r="G551" s="4">
        <v>38.34</v>
      </c>
      <c r="H551" s="4">
        <v>460.08</v>
      </c>
    </row>
    <row r="552" s="1" customFormat="1" ht="14" spans="1:8">
      <c r="A552" s="2">
        <v>2368110</v>
      </c>
      <c r="B552" s="2" t="s">
        <v>1218</v>
      </c>
      <c r="C552" s="3" t="s">
        <v>824</v>
      </c>
      <c r="D552" s="4">
        <v>368.5</v>
      </c>
      <c r="E552" s="4">
        <v>26.97</v>
      </c>
      <c r="F552" s="4">
        <v>9938.53</v>
      </c>
      <c r="G552" s="4">
        <v>26.97</v>
      </c>
      <c r="H552" s="4">
        <v>9938.53</v>
      </c>
    </row>
    <row r="553" s="1" customFormat="1" ht="14" spans="1:8">
      <c r="A553" s="2">
        <v>2368113</v>
      </c>
      <c r="B553" s="2" t="s">
        <v>1219</v>
      </c>
      <c r="C553" s="3" t="s">
        <v>876</v>
      </c>
      <c r="D553" s="4">
        <v>883</v>
      </c>
      <c r="E553" s="4">
        <v>288.95</v>
      </c>
      <c r="F553" s="4">
        <v>255142.85</v>
      </c>
      <c r="G553" s="4">
        <v>288.95</v>
      </c>
      <c r="H553" s="4">
        <v>255142.85</v>
      </c>
    </row>
    <row r="554" s="1" customFormat="1" ht="14" spans="1:8">
      <c r="A554" s="2">
        <v>2368115</v>
      </c>
      <c r="B554" s="2" t="s">
        <v>1220</v>
      </c>
      <c r="C554" s="3" t="s">
        <v>52</v>
      </c>
      <c r="D554" s="4">
        <v>101460.05</v>
      </c>
      <c r="E554" s="4">
        <v>1.89</v>
      </c>
      <c r="F554" s="4">
        <v>191759.49</v>
      </c>
      <c r="G554" s="4">
        <v>1.89</v>
      </c>
      <c r="H554" s="4">
        <v>191759.49</v>
      </c>
    </row>
    <row r="555" s="1" customFormat="1" ht="14" spans="1:8">
      <c r="A555" s="2">
        <v>2368116</v>
      </c>
      <c r="B555" s="2" t="s">
        <v>1221</v>
      </c>
      <c r="C555" s="3" t="s">
        <v>824</v>
      </c>
      <c r="D555" s="4">
        <v>14.34</v>
      </c>
      <c r="E555" s="4">
        <v>5.15</v>
      </c>
      <c r="F555" s="4">
        <v>73.85</v>
      </c>
      <c r="G555" s="4">
        <v>5.15</v>
      </c>
      <c r="H555" s="4">
        <v>73.85</v>
      </c>
    </row>
    <row r="556" s="1" customFormat="1" ht="14" spans="1:8">
      <c r="A556" s="2">
        <v>2368117</v>
      </c>
      <c r="B556" s="2" t="s">
        <v>1222</v>
      </c>
      <c r="C556" s="3" t="s">
        <v>824</v>
      </c>
      <c r="D556" s="4">
        <v>14.34</v>
      </c>
      <c r="E556" s="4">
        <v>2.78</v>
      </c>
      <c r="F556" s="4">
        <v>39.87</v>
      </c>
      <c r="G556" s="4">
        <v>2.78</v>
      </c>
      <c r="H556" s="4">
        <v>39.87</v>
      </c>
    </row>
    <row r="557" s="1" customFormat="1" ht="14" spans="1:8">
      <c r="A557" s="2">
        <v>2368118</v>
      </c>
      <c r="B557" s="2" t="s">
        <v>1223</v>
      </c>
      <c r="C557" s="3" t="s">
        <v>824</v>
      </c>
      <c r="D557" s="4">
        <v>16.16</v>
      </c>
      <c r="E557" s="4">
        <v>30.38</v>
      </c>
      <c r="F557" s="4">
        <v>490.94</v>
      </c>
      <c r="G557" s="4">
        <v>30.38</v>
      </c>
      <c r="H557" s="4">
        <v>490.94</v>
      </c>
    </row>
    <row r="558" s="1" customFormat="1" ht="14" spans="1:8">
      <c r="A558" s="2">
        <v>2368124</v>
      </c>
      <c r="B558" s="2" t="s">
        <v>1224</v>
      </c>
      <c r="C558" s="3" t="s">
        <v>29</v>
      </c>
      <c r="D558" s="4">
        <v>2.46</v>
      </c>
      <c r="E558" s="4">
        <v>2706.79</v>
      </c>
      <c r="F558" s="4">
        <v>6634.35</v>
      </c>
      <c r="G558" s="4">
        <v>2706.79</v>
      </c>
      <c r="H558" s="4">
        <v>6634.35</v>
      </c>
    </row>
    <row r="559" s="1" customFormat="1" ht="28" spans="1:8">
      <c r="A559" s="2">
        <v>2368133</v>
      </c>
      <c r="B559" s="2" t="s">
        <v>1225</v>
      </c>
      <c r="C559" s="3" t="s">
        <v>876</v>
      </c>
      <c r="D559" s="4">
        <v>8</v>
      </c>
      <c r="E559" s="4">
        <v>232.1</v>
      </c>
      <c r="F559" s="4">
        <v>1856.8</v>
      </c>
      <c r="G559" s="4">
        <v>232.1</v>
      </c>
      <c r="H559" s="4">
        <v>1856.8</v>
      </c>
    </row>
    <row r="560" s="1" customFormat="1" ht="14" spans="1:8">
      <c r="A560" s="2">
        <v>2368134</v>
      </c>
      <c r="B560" s="2" t="s">
        <v>1226</v>
      </c>
      <c r="C560" s="3" t="s">
        <v>824</v>
      </c>
      <c r="D560" s="4">
        <v>49.49</v>
      </c>
      <c r="E560" s="4">
        <v>39.73</v>
      </c>
      <c r="F560" s="4">
        <v>1966.24</v>
      </c>
      <c r="G560" s="4">
        <v>39.73</v>
      </c>
      <c r="H560" s="4">
        <v>1966.24</v>
      </c>
    </row>
    <row r="561" s="1" customFormat="1" ht="14" spans="1:8">
      <c r="A561" s="2">
        <v>2368137</v>
      </c>
      <c r="B561" s="2" t="s">
        <v>1227</v>
      </c>
      <c r="C561" s="3" t="s">
        <v>824</v>
      </c>
      <c r="D561" s="4">
        <v>557.52</v>
      </c>
      <c r="E561" s="4">
        <v>29.72</v>
      </c>
      <c r="F561" s="4">
        <v>16569.5</v>
      </c>
      <c r="G561" s="4">
        <v>29.72</v>
      </c>
      <c r="H561" s="4">
        <v>16569.5</v>
      </c>
    </row>
    <row r="562" s="1" customFormat="1" ht="14" spans="1:8">
      <c r="A562" s="2">
        <v>2368210</v>
      </c>
      <c r="B562" s="2" t="s">
        <v>1228</v>
      </c>
      <c r="C562" s="3" t="s">
        <v>824</v>
      </c>
      <c r="D562" s="4">
        <v>38.98</v>
      </c>
      <c r="E562" s="4">
        <v>5.69</v>
      </c>
      <c r="F562" s="4">
        <v>221.84</v>
      </c>
      <c r="G562" s="4">
        <v>5.69</v>
      </c>
      <c r="H562" s="4">
        <v>221.84</v>
      </c>
    </row>
    <row r="563" s="1" customFormat="1" ht="14" spans="1:8">
      <c r="A563" s="2">
        <v>2368211</v>
      </c>
      <c r="B563" s="2" t="s">
        <v>1229</v>
      </c>
      <c r="C563" s="3" t="s">
        <v>824</v>
      </c>
      <c r="D563" s="4">
        <v>28.18</v>
      </c>
      <c r="E563" s="4">
        <v>6.63</v>
      </c>
      <c r="F563" s="4">
        <v>186.82</v>
      </c>
      <c r="G563" s="4">
        <v>6.63</v>
      </c>
      <c r="H563" s="4">
        <v>186.82</v>
      </c>
    </row>
    <row r="564" s="1" customFormat="1" ht="14" spans="1:8">
      <c r="A564" s="2">
        <v>2368212</v>
      </c>
      <c r="B564" s="2" t="s">
        <v>1230</v>
      </c>
      <c r="C564" s="3" t="s">
        <v>824</v>
      </c>
      <c r="D564" s="4">
        <v>221</v>
      </c>
      <c r="E564" s="4">
        <v>8.53</v>
      </c>
      <c r="F564" s="4">
        <v>1885.15</v>
      </c>
      <c r="G564" s="4">
        <v>8.53</v>
      </c>
      <c r="H564" s="4">
        <v>1885.15</v>
      </c>
    </row>
    <row r="565" s="1" customFormat="1" ht="14" spans="1:8">
      <c r="A565" s="2">
        <v>2368213</v>
      </c>
      <c r="B565" s="2" t="s">
        <v>1231</v>
      </c>
      <c r="C565" s="3" t="s">
        <v>824</v>
      </c>
      <c r="D565" s="4">
        <v>60.1</v>
      </c>
      <c r="E565" s="4">
        <v>11.37</v>
      </c>
      <c r="F565" s="4">
        <v>683.29</v>
      </c>
      <c r="G565" s="4">
        <v>11.37</v>
      </c>
      <c r="H565" s="4">
        <v>683.29</v>
      </c>
    </row>
    <row r="566" s="1" customFormat="1" ht="14" spans="1:8">
      <c r="A566" s="2">
        <v>2368611</v>
      </c>
      <c r="B566" s="2" t="s">
        <v>1232</v>
      </c>
      <c r="C566" s="3" t="s">
        <v>472</v>
      </c>
      <c r="D566" s="4">
        <v>148054.85</v>
      </c>
      <c r="E566" s="4">
        <v>0.26</v>
      </c>
      <c r="F566" s="4">
        <v>38494.27</v>
      </c>
      <c r="G566" s="4">
        <v>0.26</v>
      </c>
      <c r="H566" s="4">
        <v>38494.27</v>
      </c>
    </row>
    <row r="567" s="1" customFormat="1" ht="14" spans="1:8">
      <c r="A567" s="2">
        <v>2368612</v>
      </c>
      <c r="B567" s="2" t="s">
        <v>1233</v>
      </c>
      <c r="C567" s="3" t="s">
        <v>472</v>
      </c>
      <c r="D567" s="4">
        <v>34870.69</v>
      </c>
      <c r="E567" s="4">
        <v>0.09</v>
      </c>
      <c r="F567" s="4">
        <v>3138.37</v>
      </c>
      <c r="G567" s="4">
        <v>0.09</v>
      </c>
      <c r="H567" s="4">
        <v>3138.37</v>
      </c>
    </row>
    <row r="568" s="1" customFormat="1" ht="14" spans="1:8">
      <c r="A568" s="2">
        <v>2368703</v>
      </c>
      <c r="B568" s="2" t="s">
        <v>1234</v>
      </c>
      <c r="C568" s="3" t="s">
        <v>1235</v>
      </c>
      <c r="D568" s="4">
        <v>9134</v>
      </c>
      <c r="E568" s="4">
        <v>112.35</v>
      </c>
      <c r="F568" s="4">
        <v>1026204.9</v>
      </c>
      <c r="G568" s="4">
        <v>112.35</v>
      </c>
      <c r="H568" s="4">
        <v>1026204.9</v>
      </c>
    </row>
    <row r="569" s="1" customFormat="1" ht="14" spans="1:8">
      <c r="A569" s="2">
        <v>2368706</v>
      </c>
      <c r="B569" s="2" t="s">
        <v>1236</v>
      </c>
      <c r="C569" s="3" t="s">
        <v>1235</v>
      </c>
      <c r="D569" s="4">
        <v>22547</v>
      </c>
      <c r="E569" s="4">
        <v>100.85</v>
      </c>
      <c r="F569" s="4">
        <v>2273864.95</v>
      </c>
      <c r="G569" s="4">
        <v>100.85</v>
      </c>
      <c r="H569" s="4">
        <v>2273864.95</v>
      </c>
    </row>
    <row r="570" s="1" customFormat="1" ht="14" spans="1:8">
      <c r="A570" s="2">
        <v>2368733</v>
      </c>
      <c r="B570" s="2" t="s">
        <v>1237</v>
      </c>
      <c r="C570" s="3" t="s">
        <v>824</v>
      </c>
      <c r="D570" s="4">
        <v>68631.74</v>
      </c>
      <c r="E570" s="4">
        <v>4.07</v>
      </c>
      <c r="F570" s="4">
        <v>279331.12</v>
      </c>
      <c r="G570" s="4">
        <v>4.07</v>
      </c>
      <c r="H570" s="4">
        <v>279331.12</v>
      </c>
    </row>
    <row r="571" s="1" customFormat="1" ht="14" spans="1:8">
      <c r="A571" s="2">
        <v>2368735</v>
      </c>
      <c r="B571" s="2" t="s">
        <v>1238</v>
      </c>
      <c r="C571" s="3" t="s">
        <v>824</v>
      </c>
      <c r="D571" s="4">
        <v>89345.36</v>
      </c>
      <c r="E571" s="4">
        <v>2.03</v>
      </c>
      <c r="F571" s="4">
        <v>181371.01</v>
      </c>
      <c r="G571" s="4">
        <v>2.03</v>
      </c>
      <c r="H571" s="4">
        <v>181371.01</v>
      </c>
    </row>
    <row r="572" s="1" customFormat="1" ht="14" spans="1:8">
      <c r="A572" s="2">
        <v>2368736</v>
      </c>
      <c r="B572" s="2" t="s">
        <v>1239</v>
      </c>
      <c r="C572" s="3" t="s">
        <v>824</v>
      </c>
      <c r="D572" s="4">
        <v>65896.48</v>
      </c>
      <c r="E572" s="4">
        <v>2.23</v>
      </c>
      <c r="F572" s="4">
        <v>146949.16</v>
      </c>
      <c r="G572" s="4">
        <v>2.23</v>
      </c>
      <c r="H572" s="4">
        <v>146949.16</v>
      </c>
    </row>
    <row r="573" s="1" customFormat="1" ht="14" spans="1:8">
      <c r="A573" s="2">
        <v>2368737</v>
      </c>
      <c r="B573" s="2" t="s">
        <v>1240</v>
      </c>
      <c r="C573" s="3" t="s">
        <v>824</v>
      </c>
      <c r="D573" s="4">
        <v>2</v>
      </c>
      <c r="E573" s="4">
        <v>8.34</v>
      </c>
      <c r="F573" s="4">
        <v>16.68</v>
      </c>
      <c r="G573" s="4">
        <v>8.34</v>
      </c>
      <c r="H573" s="4">
        <v>16.68</v>
      </c>
    </row>
    <row r="574" s="1" customFormat="1" ht="14" spans="1:8">
      <c r="A574" s="2">
        <v>2368739</v>
      </c>
      <c r="B574" s="2" t="s">
        <v>1241</v>
      </c>
      <c r="C574" s="3" t="s">
        <v>824</v>
      </c>
      <c r="D574" s="4">
        <v>365</v>
      </c>
      <c r="E574" s="4">
        <v>8.89</v>
      </c>
      <c r="F574" s="4">
        <v>3244.85</v>
      </c>
      <c r="G574" s="4">
        <v>8.89</v>
      </c>
      <c r="H574" s="4">
        <v>3244.85</v>
      </c>
    </row>
    <row r="575" s="1" customFormat="1" ht="14" spans="1:8">
      <c r="A575" s="2">
        <v>2368808</v>
      </c>
      <c r="B575" s="2" t="s">
        <v>1242</v>
      </c>
      <c r="C575" s="3" t="s">
        <v>824</v>
      </c>
      <c r="D575" s="4">
        <v>13.32</v>
      </c>
      <c r="E575" s="4">
        <v>0.5</v>
      </c>
      <c r="F575" s="4">
        <v>6.66</v>
      </c>
      <c r="G575" s="4">
        <v>0.5</v>
      </c>
      <c r="H575" s="4">
        <v>6.66</v>
      </c>
    </row>
    <row r="576" s="1" customFormat="1" ht="14" spans="1:8">
      <c r="A576" s="2">
        <v>2368810</v>
      </c>
      <c r="B576" s="2" t="s">
        <v>1243</v>
      </c>
      <c r="C576" s="3" t="s">
        <v>824</v>
      </c>
      <c r="D576" s="4">
        <v>2529.39</v>
      </c>
      <c r="E576" s="4">
        <v>0.68</v>
      </c>
      <c r="F576" s="4">
        <v>1719.85</v>
      </c>
      <c r="G576" s="4">
        <v>0.68</v>
      </c>
      <c r="H576" s="4">
        <v>1719.85</v>
      </c>
    </row>
    <row r="577" s="1" customFormat="1" ht="14" spans="1:8">
      <c r="A577" s="2">
        <v>2368811</v>
      </c>
      <c r="B577" s="2" t="s">
        <v>1244</v>
      </c>
      <c r="C577" s="3" t="s">
        <v>824</v>
      </c>
      <c r="D577" s="4">
        <v>20.7</v>
      </c>
      <c r="E577" s="4">
        <v>1.08</v>
      </c>
      <c r="F577" s="4">
        <v>22.36</v>
      </c>
      <c r="G577" s="4">
        <v>1.08</v>
      </c>
      <c r="H577" s="4">
        <v>22.36</v>
      </c>
    </row>
    <row r="578" s="1" customFormat="1" ht="14" spans="1:8">
      <c r="A578" s="2">
        <v>2368813</v>
      </c>
      <c r="B578" s="2" t="s">
        <v>1245</v>
      </c>
      <c r="C578" s="3" t="s">
        <v>824</v>
      </c>
      <c r="D578" s="4">
        <v>13.2</v>
      </c>
      <c r="E578" s="4">
        <v>1.63</v>
      </c>
      <c r="F578" s="4">
        <v>21.52</v>
      </c>
      <c r="G578" s="4">
        <v>1.63</v>
      </c>
      <c r="H578" s="4">
        <v>21.52</v>
      </c>
    </row>
    <row r="579" s="1" customFormat="1" ht="14" spans="1:8">
      <c r="A579" s="2">
        <v>2368850</v>
      </c>
      <c r="B579" s="2" t="s">
        <v>1246</v>
      </c>
      <c r="C579" s="3" t="s">
        <v>1172</v>
      </c>
      <c r="D579" s="4">
        <v>3.75</v>
      </c>
      <c r="E579" s="4">
        <v>1.48</v>
      </c>
      <c r="F579" s="4">
        <v>5.55</v>
      </c>
      <c r="G579" s="4">
        <v>1.48</v>
      </c>
      <c r="H579" s="4">
        <v>5.55</v>
      </c>
    </row>
    <row r="580" s="1" customFormat="1" ht="14" spans="1:8">
      <c r="A580" s="2">
        <v>2368851</v>
      </c>
      <c r="B580" s="2" t="s">
        <v>1247</v>
      </c>
      <c r="C580" s="3" t="s">
        <v>1172</v>
      </c>
      <c r="D580" s="4">
        <v>2.5</v>
      </c>
      <c r="E580" s="4">
        <v>1.9</v>
      </c>
      <c r="F580" s="4">
        <v>4.75</v>
      </c>
      <c r="G580" s="4">
        <v>1.9</v>
      </c>
      <c r="H580" s="4">
        <v>4.75</v>
      </c>
    </row>
    <row r="581" s="1" customFormat="1" ht="14" spans="1:8">
      <c r="A581" s="2">
        <v>2368852</v>
      </c>
      <c r="B581" s="2" t="s">
        <v>1248</v>
      </c>
      <c r="C581" s="3" t="s">
        <v>1172</v>
      </c>
      <c r="D581" s="4">
        <v>3</v>
      </c>
      <c r="E581" s="4">
        <v>2.83</v>
      </c>
      <c r="F581" s="4">
        <v>8.49</v>
      </c>
      <c r="G581" s="4">
        <v>2.83</v>
      </c>
      <c r="H581" s="4">
        <v>8.49</v>
      </c>
    </row>
    <row r="582" s="1" customFormat="1" ht="14" spans="1:8">
      <c r="A582" s="2">
        <v>2368853</v>
      </c>
      <c r="B582" s="2" t="s">
        <v>1249</v>
      </c>
      <c r="C582" s="3" t="s">
        <v>1172</v>
      </c>
      <c r="D582" s="4">
        <v>10644.35</v>
      </c>
      <c r="E582" s="4">
        <v>4.36</v>
      </c>
      <c r="F582" s="4">
        <v>46409.36</v>
      </c>
      <c r="G582" s="4">
        <v>4.36</v>
      </c>
      <c r="H582" s="4">
        <v>46409.36</v>
      </c>
    </row>
    <row r="583" s="1" customFormat="1" ht="14" spans="1:8">
      <c r="A583" s="2">
        <v>2368911</v>
      </c>
      <c r="B583" s="2" t="s">
        <v>1250</v>
      </c>
      <c r="C583" s="3" t="s">
        <v>824</v>
      </c>
      <c r="D583" s="4">
        <v>108.2</v>
      </c>
      <c r="E583" s="4">
        <v>0.32</v>
      </c>
      <c r="F583" s="4">
        <v>34.65</v>
      </c>
      <c r="G583" s="4">
        <v>0.32</v>
      </c>
      <c r="H583" s="4">
        <v>34.65</v>
      </c>
    </row>
    <row r="584" s="1" customFormat="1" ht="14" spans="1:8">
      <c r="A584" s="2">
        <v>2368912</v>
      </c>
      <c r="B584" s="2" t="s">
        <v>1251</v>
      </c>
      <c r="C584" s="3" t="s">
        <v>824</v>
      </c>
      <c r="D584" s="4">
        <v>109.88</v>
      </c>
      <c r="E584" s="4">
        <v>0.39</v>
      </c>
      <c r="F584" s="4">
        <v>42.85</v>
      </c>
      <c r="G584" s="4">
        <v>0.39</v>
      </c>
      <c r="H584" s="4">
        <v>42.85</v>
      </c>
    </row>
    <row r="585" s="1" customFormat="1" ht="14" spans="1:8">
      <c r="A585" s="2">
        <v>2368913</v>
      </c>
      <c r="B585" s="2" t="s">
        <v>1252</v>
      </c>
      <c r="C585" s="3" t="s">
        <v>824</v>
      </c>
      <c r="D585" s="4">
        <v>2022.53</v>
      </c>
      <c r="E585" s="4">
        <v>0.41</v>
      </c>
      <c r="F585" s="4">
        <v>829.38</v>
      </c>
      <c r="G585" s="4">
        <v>0.41</v>
      </c>
      <c r="H585" s="4">
        <v>829.38</v>
      </c>
    </row>
    <row r="586" s="1" customFormat="1" ht="14" spans="1:8">
      <c r="A586" s="2">
        <v>2368914</v>
      </c>
      <c r="B586" s="2" t="s">
        <v>1253</v>
      </c>
      <c r="C586" s="3" t="s">
        <v>824</v>
      </c>
      <c r="D586" s="4">
        <v>51.75</v>
      </c>
      <c r="E586" s="4">
        <v>0.52</v>
      </c>
      <c r="F586" s="4">
        <v>26.91</v>
      </c>
      <c r="G586" s="4">
        <v>0.52</v>
      </c>
      <c r="H586" s="4">
        <v>26.91</v>
      </c>
    </row>
    <row r="587" s="1" customFormat="1" ht="14" spans="1:8">
      <c r="A587" s="2">
        <v>2368916</v>
      </c>
      <c r="B587" s="2" t="s">
        <v>1254</v>
      </c>
      <c r="C587" s="3" t="s">
        <v>824</v>
      </c>
      <c r="D587" s="4">
        <v>33</v>
      </c>
      <c r="E587" s="4">
        <v>0.75</v>
      </c>
      <c r="F587" s="4">
        <v>24.75</v>
      </c>
      <c r="G587" s="4">
        <v>0.75</v>
      </c>
      <c r="H587" s="4">
        <v>24.75</v>
      </c>
    </row>
    <row r="588" s="1" customFormat="1" ht="14" spans="1:8">
      <c r="A588" s="2">
        <v>2368917</v>
      </c>
      <c r="B588" s="2" t="s">
        <v>1255</v>
      </c>
      <c r="C588" s="3" t="s">
        <v>824</v>
      </c>
      <c r="D588" s="4">
        <v>12779.66</v>
      </c>
      <c r="E588" s="4">
        <v>1.06</v>
      </c>
      <c r="F588" s="4">
        <v>13546.43</v>
      </c>
      <c r="G588" s="4">
        <v>1.06</v>
      </c>
      <c r="H588" s="4">
        <v>13546.43</v>
      </c>
    </row>
    <row r="589" s="1" customFormat="1" ht="14" spans="1:8">
      <c r="A589" s="2">
        <v>2368952</v>
      </c>
      <c r="B589" s="2" t="s">
        <v>1256</v>
      </c>
      <c r="C589" s="3" t="s">
        <v>824</v>
      </c>
      <c r="D589" s="4">
        <v>8.53</v>
      </c>
      <c r="E589" s="4">
        <v>5.2</v>
      </c>
      <c r="F589" s="4">
        <v>44.24</v>
      </c>
      <c r="G589" s="4">
        <v>5.2</v>
      </c>
      <c r="H589" s="4">
        <v>44.24</v>
      </c>
    </row>
    <row r="590" s="1" customFormat="1" ht="14" spans="1:8">
      <c r="A590" s="2">
        <v>2400012</v>
      </c>
      <c r="B590" s="2" t="s">
        <v>1257</v>
      </c>
      <c r="C590" s="3" t="s">
        <v>52</v>
      </c>
      <c r="D590" s="4">
        <v>44322.55</v>
      </c>
      <c r="E590" s="4">
        <v>52.53</v>
      </c>
      <c r="F590" s="4">
        <v>2328263.72</v>
      </c>
      <c r="G590" s="4">
        <v>52.53</v>
      </c>
      <c r="H590" s="4">
        <v>2328263.72</v>
      </c>
    </row>
    <row r="591" s="1" customFormat="1" ht="14" spans="1:8">
      <c r="A591" s="2">
        <v>2400210</v>
      </c>
      <c r="B591" s="2" t="s">
        <v>1258</v>
      </c>
      <c r="C591" s="3" t="s">
        <v>52</v>
      </c>
      <c r="D591" s="4">
        <v>47.65</v>
      </c>
      <c r="E591" s="4">
        <v>45.27</v>
      </c>
      <c r="F591" s="4">
        <v>2157.09</v>
      </c>
      <c r="G591" s="4">
        <v>45.27</v>
      </c>
      <c r="H591" s="4">
        <v>2157.09</v>
      </c>
    </row>
    <row r="592" s="1" customFormat="1" ht="14" spans="1:8">
      <c r="A592" s="2">
        <v>2400213</v>
      </c>
      <c r="B592" s="2" t="s">
        <v>1259</v>
      </c>
      <c r="C592" s="3" t="s">
        <v>52</v>
      </c>
      <c r="D592" s="4">
        <v>5963.92</v>
      </c>
      <c r="E592" s="4">
        <v>45.27</v>
      </c>
      <c r="F592" s="4">
        <v>269986.64</v>
      </c>
      <c r="G592" s="4">
        <v>45.27</v>
      </c>
      <c r="H592" s="4">
        <v>269986.64</v>
      </c>
    </row>
    <row r="593" s="1" customFormat="1" ht="14" spans="1:8">
      <c r="A593" s="2">
        <v>2400214</v>
      </c>
      <c r="B593" s="2" t="s">
        <v>1260</v>
      </c>
      <c r="C593" s="3" t="s">
        <v>52</v>
      </c>
      <c r="D593" s="4">
        <v>109.61</v>
      </c>
      <c r="E593" s="4">
        <v>45.27</v>
      </c>
      <c r="F593" s="4">
        <v>4962.05</v>
      </c>
      <c r="G593" s="4">
        <v>45.27</v>
      </c>
      <c r="H593" s="4">
        <v>4962.05</v>
      </c>
    </row>
    <row r="594" s="1" customFormat="1" ht="14" spans="1:8">
      <c r="A594" s="2">
        <v>2400330</v>
      </c>
      <c r="B594" s="2" t="s">
        <v>1261</v>
      </c>
      <c r="C594" s="3" t="s">
        <v>52</v>
      </c>
      <c r="D594" s="4">
        <v>9615.96</v>
      </c>
      <c r="E594" s="4">
        <v>45.27</v>
      </c>
      <c r="F594" s="4">
        <v>435314.42</v>
      </c>
      <c r="G594" s="4">
        <v>45.27</v>
      </c>
      <c r="H594" s="4">
        <v>435314.42</v>
      </c>
    </row>
    <row r="595" s="1" customFormat="1" ht="14" spans="1:8">
      <c r="A595" s="2">
        <v>2410010</v>
      </c>
      <c r="B595" s="2" t="s">
        <v>1262</v>
      </c>
      <c r="C595" s="3" t="s">
        <v>52</v>
      </c>
      <c r="D595" s="4">
        <v>498.85</v>
      </c>
      <c r="E595" s="4">
        <v>15.89</v>
      </c>
      <c r="F595" s="4">
        <v>7926.73</v>
      </c>
      <c r="G595" s="4">
        <v>15.89</v>
      </c>
      <c r="H595" s="4">
        <v>7926.73</v>
      </c>
    </row>
    <row r="596" s="1" customFormat="1" ht="14" spans="1:8">
      <c r="A596" s="2">
        <v>2410011</v>
      </c>
      <c r="B596" s="2" t="s">
        <v>1263</v>
      </c>
      <c r="C596" s="3" t="s">
        <v>472</v>
      </c>
      <c r="D596" s="4">
        <v>128831.08</v>
      </c>
      <c r="E596" s="4">
        <v>0.79</v>
      </c>
      <c r="F596" s="4">
        <v>101776.55</v>
      </c>
      <c r="G596" s="4">
        <v>0.79</v>
      </c>
      <c r="H596" s="4">
        <v>101776.55</v>
      </c>
    </row>
    <row r="597" s="1" customFormat="1" ht="14" spans="1:8">
      <c r="A597" s="2">
        <v>2410013</v>
      </c>
      <c r="B597" s="2" t="s">
        <v>1264</v>
      </c>
      <c r="C597" s="3" t="s">
        <v>52</v>
      </c>
      <c r="D597" s="4">
        <v>113.76</v>
      </c>
      <c r="E597" s="4">
        <v>16.81</v>
      </c>
      <c r="F597" s="4">
        <v>1912.31</v>
      </c>
      <c r="G597" s="4">
        <v>16.81</v>
      </c>
      <c r="H597" s="4">
        <v>1912.31</v>
      </c>
    </row>
    <row r="598" s="1" customFormat="1" ht="14" spans="1:8">
      <c r="A598" s="2">
        <v>2410014</v>
      </c>
      <c r="B598" s="2" t="s">
        <v>1265</v>
      </c>
      <c r="C598" s="3" t="s">
        <v>679</v>
      </c>
      <c r="D598" s="4">
        <v>12890.85</v>
      </c>
      <c r="E598" s="4">
        <v>218.72</v>
      </c>
      <c r="F598" s="4">
        <v>2819485.21</v>
      </c>
      <c r="G598" s="4">
        <v>218.72</v>
      </c>
      <c r="H598" s="4">
        <v>2819485.21</v>
      </c>
    </row>
    <row r="599" s="1" customFormat="1" ht="14" spans="1:8">
      <c r="A599" s="2">
        <v>2410411</v>
      </c>
      <c r="B599" s="2" t="s">
        <v>1266</v>
      </c>
      <c r="C599" s="3" t="s">
        <v>52</v>
      </c>
      <c r="D599" s="4">
        <v>37859.29</v>
      </c>
      <c r="E599" s="4">
        <v>17.5</v>
      </c>
      <c r="F599" s="4">
        <v>662537.5</v>
      </c>
      <c r="G599" s="4">
        <v>17.5</v>
      </c>
      <c r="H599" s="4">
        <v>662537.5</v>
      </c>
    </row>
    <row r="600" s="1" customFormat="1" ht="14" spans="1:8">
      <c r="A600" s="2">
        <v>2410412</v>
      </c>
      <c r="B600" s="2" t="s">
        <v>1267</v>
      </c>
      <c r="C600" s="3" t="s">
        <v>52</v>
      </c>
      <c r="D600" s="4">
        <v>68.22</v>
      </c>
      <c r="E600" s="4">
        <v>25.52</v>
      </c>
      <c r="F600" s="4">
        <v>1740.98</v>
      </c>
      <c r="G600" s="4">
        <v>25.52</v>
      </c>
      <c r="H600" s="4">
        <v>1740.98</v>
      </c>
    </row>
    <row r="601" s="1" customFormat="1" ht="14" spans="1:8">
      <c r="A601" s="2">
        <v>2410415</v>
      </c>
      <c r="B601" s="2" t="s">
        <v>1268</v>
      </c>
      <c r="C601" s="3" t="s">
        <v>472</v>
      </c>
      <c r="D601" s="4">
        <v>2238.74</v>
      </c>
      <c r="E601" s="4">
        <v>51.13</v>
      </c>
      <c r="F601" s="4">
        <v>114466.77</v>
      </c>
      <c r="G601" s="4">
        <v>51.13</v>
      </c>
      <c r="H601" s="4">
        <v>114466.77</v>
      </c>
    </row>
    <row r="602" s="1" customFormat="1" ht="14" spans="1:8">
      <c r="A602" s="2">
        <v>2410419</v>
      </c>
      <c r="B602" s="2" t="s">
        <v>1269</v>
      </c>
      <c r="C602" s="3" t="s">
        <v>679</v>
      </c>
      <c r="D602" s="4">
        <v>1802.27</v>
      </c>
      <c r="E602" s="4">
        <v>345.8</v>
      </c>
      <c r="F602" s="4">
        <v>623225.65</v>
      </c>
      <c r="G602" s="4">
        <v>345.8</v>
      </c>
      <c r="H602" s="4">
        <v>623225.65</v>
      </c>
    </row>
    <row r="603" s="1" customFormat="1" ht="14" spans="1:8">
      <c r="A603" s="2">
        <v>2410420</v>
      </c>
      <c r="B603" s="2" t="s">
        <v>1270</v>
      </c>
      <c r="C603" s="3" t="s">
        <v>679</v>
      </c>
      <c r="D603" s="4">
        <v>4537.79</v>
      </c>
      <c r="E603" s="4">
        <v>147.21</v>
      </c>
      <c r="F603" s="4">
        <v>668007.21</v>
      </c>
      <c r="G603" s="4">
        <v>147.21</v>
      </c>
      <c r="H603" s="4">
        <v>668007.21</v>
      </c>
    </row>
    <row r="604" s="1" customFormat="1" ht="14" spans="1:8">
      <c r="A604" s="2">
        <v>2410421</v>
      </c>
      <c r="B604" s="2" t="s">
        <v>1271</v>
      </c>
      <c r="C604" s="3" t="s">
        <v>679</v>
      </c>
      <c r="D604" s="4">
        <v>2791.95</v>
      </c>
      <c r="E604" s="4">
        <v>18.51</v>
      </c>
      <c r="F604" s="4">
        <v>51679</v>
      </c>
      <c r="G604" s="4">
        <v>18.51</v>
      </c>
      <c r="H604" s="4">
        <v>51679</v>
      </c>
    </row>
    <row r="605" s="1" customFormat="1" ht="14" spans="1:8">
      <c r="A605" s="2">
        <v>2410422</v>
      </c>
      <c r="B605" s="2" t="s">
        <v>1272</v>
      </c>
      <c r="C605" s="3" t="s">
        <v>679</v>
      </c>
      <c r="D605" s="4">
        <v>78.23</v>
      </c>
      <c r="E605" s="4">
        <v>40.38</v>
      </c>
      <c r="F605" s="4">
        <v>3158.8</v>
      </c>
      <c r="G605" s="4">
        <v>40.38</v>
      </c>
      <c r="H605" s="4">
        <v>3158.8</v>
      </c>
    </row>
    <row r="606" s="1" customFormat="1" ht="14" spans="1:8">
      <c r="A606" s="2">
        <v>2410435</v>
      </c>
      <c r="B606" s="2" t="s">
        <v>1273</v>
      </c>
      <c r="C606" s="3" t="s">
        <v>472</v>
      </c>
      <c r="D606" s="4">
        <v>13050.37</v>
      </c>
      <c r="E606" s="4">
        <v>2.52</v>
      </c>
      <c r="F606" s="4">
        <v>32886.93</v>
      </c>
      <c r="G606" s="4">
        <v>2.52</v>
      </c>
      <c r="H606" s="4">
        <v>32886.93</v>
      </c>
    </row>
    <row r="607" s="1" customFormat="1" ht="14" spans="1:8">
      <c r="A607" s="2">
        <v>2410437</v>
      </c>
      <c r="B607" s="2" t="s">
        <v>1274</v>
      </c>
      <c r="C607" s="3" t="s">
        <v>679</v>
      </c>
      <c r="D607" s="4">
        <v>1476.78</v>
      </c>
      <c r="E607" s="4">
        <v>33.65</v>
      </c>
      <c r="F607" s="4">
        <v>49693.31</v>
      </c>
      <c r="G607" s="4">
        <v>33.65</v>
      </c>
      <c r="H607" s="4">
        <v>49693.31</v>
      </c>
    </row>
    <row r="608" s="1" customFormat="1" ht="14" spans="1:8">
      <c r="A608" s="2">
        <v>2410438</v>
      </c>
      <c r="B608" s="2" t="s">
        <v>1275</v>
      </c>
      <c r="C608" s="3" t="s">
        <v>472</v>
      </c>
      <c r="D608" s="4">
        <v>5051.73</v>
      </c>
      <c r="E608" s="4">
        <v>1.52</v>
      </c>
      <c r="F608" s="4">
        <v>7678.64</v>
      </c>
      <c r="G608" s="4">
        <v>1.52</v>
      </c>
      <c r="H608" s="4">
        <v>7678.64</v>
      </c>
    </row>
    <row r="609" s="1" customFormat="1" ht="14" spans="1:8">
      <c r="A609" s="2">
        <v>2410513</v>
      </c>
      <c r="B609" s="2" t="s">
        <v>1276</v>
      </c>
      <c r="C609" s="3" t="s">
        <v>679</v>
      </c>
      <c r="D609" s="4">
        <v>82.84</v>
      </c>
      <c r="E609" s="4">
        <v>171.53</v>
      </c>
      <c r="F609" s="4">
        <v>14209.55</v>
      </c>
      <c r="G609" s="4">
        <v>171.53</v>
      </c>
      <c r="H609" s="4">
        <v>14209.55</v>
      </c>
    </row>
    <row r="610" s="1" customFormat="1" ht="14" spans="1:8">
      <c r="A610" s="2">
        <v>2410514</v>
      </c>
      <c r="B610" s="2" t="s">
        <v>1277</v>
      </c>
      <c r="C610" s="3" t="s">
        <v>679</v>
      </c>
      <c r="D610" s="4">
        <v>564</v>
      </c>
      <c r="E610" s="4">
        <v>257.29</v>
      </c>
      <c r="F610" s="4">
        <v>145111.56</v>
      </c>
      <c r="G610" s="4">
        <v>257.29</v>
      </c>
      <c r="H610" s="4">
        <v>145111.56</v>
      </c>
    </row>
    <row r="611" s="1" customFormat="1" ht="14" spans="1:8">
      <c r="A611" s="2">
        <v>2410516</v>
      </c>
      <c r="B611" s="2" t="s">
        <v>1278</v>
      </c>
      <c r="C611" s="3" t="s">
        <v>679</v>
      </c>
      <c r="D611" s="4">
        <v>3418.81</v>
      </c>
      <c r="E611" s="4">
        <v>307.69</v>
      </c>
      <c r="F611" s="4">
        <v>1051933.63</v>
      </c>
      <c r="G611" s="4">
        <v>307.69</v>
      </c>
      <c r="H611" s="4">
        <v>1051933.63</v>
      </c>
    </row>
    <row r="612" s="1" customFormat="1" ht="14" spans="1:8">
      <c r="A612" s="2">
        <v>2412012</v>
      </c>
      <c r="B612" s="2" t="s">
        <v>1279</v>
      </c>
      <c r="C612" s="3" t="s">
        <v>52</v>
      </c>
      <c r="D612" s="4">
        <v>308.16</v>
      </c>
      <c r="E612" s="4">
        <v>9.71</v>
      </c>
      <c r="F612" s="4">
        <v>2992.24</v>
      </c>
      <c r="G612" s="4">
        <v>9.71</v>
      </c>
      <c r="H612" s="4">
        <v>2992.24</v>
      </c>
    </row>
    <row r="613" s="1" customFormat="1" ht="14" spans="1:8">
      <c r="A613" s="2">
        <v>2412110</v>
      </c>
      <c r="B613" s="2" t="s">
        <v>1280</v>
      </c>
      <c r="C613" s="3" t="s">
        <v>52</v>
      </c>
      <c r="D613" s="4">
        <v>4.43</v>
      </c>
      <c r="E613" s="4">
        <v>17.03</v>
      </c>
      <c r="F613" s="4">
        <v>75.5</v>
      </c>
      <c r="G613" s="4">
        <v>17.03</v>
      </c>
      <c r="H613" s="4">
        <v>75.5</v>
      </c>
    </row>
    <row r="614" s="1" customFormat="1" ht="14" spans="1:8">
      <c r="A614" s="2">
        <v>2412112</v>
      </c>
      <c r="B614" s="2" t="s">
        <v>1281</v>
      </c>
      <c r="C614" s="3" t="s">
        <v>52</v>
      </c>
      <c r="D614" s="4">
        <v>12.6</v>
      </c>
      <c r="E614" s="4">
        <v>13.78</v>
      </c>
      <c r="F614" s="4">
        <v>173.62</v>
      </c>
      <c r="G614" s="4">
        <v>13.78</v>
      </c>
      <c r="H614" s="4">
        <v>173.62</v>
      </c>
    </row>
    <row r="615" s="1" customFormat="1" ht="14" spans="1:8">
      <c r="A615" s="2">
        <v>2412501</v>
      </c>
      <c r="B615" s="2" t="s">
        <v>1282</v>
      </c>
      <c r="C615" s="3" t="s">
        <v>52</v>
      </c>
      <c r="D615" s="4">
        <v>27948.07</v>
      </c>
      <c r="E615" s="4">
        <v>14.58</v>
      </c>
      <c r="F615" s="4">
        <v>407482.89</v>
      </c>
      <c r="G615" s="4">
        <v>14.58</v>
      </c>
      <c r="H615" s="4">
        <v>407482.89</v>
      </c>
    </row>
    <row r="616" s="1" customFormat="1" ht="14" spans="1:8">
      <c r="A616" s="2">
        <v>2412502</v>
      </c>
      <c r="B616" s="2" t="s">
        <v>1283</v>
      </c>
      <c r="C616" s="3" t="s">
        <v>52</v>
      </c>
      <c r="D616" s="4">
        <v>452.78</v>
      </c>
      <c r="E616" s="4">
        <v>19.48</v>
      </c>
      <c r="F616" s="4">
        <v>8820.27</v>
      </c>
      <c r="G616" s="4">
        <v>19.48</v>
      </c>
      <c r="H616" s="4">
        <v>8820.27</v>
      </c>
    </row>
    <row r="617" s="1" customFormat="1" ht="14" spans="1:8">
      <c r="A617" s="2">
        <v>2412503</v>
      </c>
      <c r="B617" s="2" t="s">
        <v>1284</v>
      </c>
      <c r="C617" s="3" t="s">
        <v>52</v>
      </c>
      <c r="D617" s="4">
        <v>6485.05</v>
      </c>
      <c r="E617" s="4">
        <v>14.58</v>
      </c>
      <c r="F617" s="4">
        <v>94552.03</v>
      </c>
      <c r="G617" s="4">
        <v>14.58</v>
      </c>
      <c r="H617" s="4">
        <v>94552.03</v>
      </c>
    </row>
    <row r="618" s="1" customFormat="1" ht="14" spans="1:8">
      <c r="A618" s="2">
        <v>2451020</v>
      </c>
      <c r="B618" s="2" t="s">
        <v>1285</v>
      </c>
      <c r="C618" s="3" t="s">
        <v>824</v>
      </c>
      <c r="D618" s="4">
        <v>111</v>
      </c>
      <c r="E618" s="4">
        <v>2.57</v>
      </c>
      <c r="F618" s="4">
        <v>285.27</v>
      </c>
      <c r="G618" s="4">
        <v>2.57</v>
      </c>
      <c r="H618" s="4">
        <v>285.27</v>
      </c>
    </row>
    <row r="619" s="1" customFormat="1" ht="14" spans="1:8">
      <c r="A619" s="2">
        <v>2451025</v>
      </c>
      <c r="B619" s="2" t="s">
        <v>1286</v>
      </c>
      <c r="C619" s="3" t="s">
        <v>824</v>
      </c>
      <c r="D619" s="4">
        <v>142.41</v>
      </c>
      <c r="E619" s="4">
        <v>11.3</v>
      </c>
      <c r="F619" s="4">
        <v>1609.25</v>
      </c>
      <c r="G619" s="4">
        <v>11.3</v>
      </c>
      <c r="H619" s="4">
        <v>1609.25</v>
      </c>
    </row>
    <row r="620" s="1" customFormat="1" ht="14" spans="1:8">
      <c r="A620" s="2">
        <v>2457321</v>
      </c>
      <c r="B620" s="2" t="s">
        <v>1287</v>
      </c>
      <c r="C620" s="3" t="s">
        <v>679</v>
      </c>
      <c r="D620" s="4">
        <v>1496.82</v>
      </c>
      <c r="E620" s="4">
        <v>128.62</v>
      </c>
      <c r="F620" s="4">
        <v>192520.99</v>
      </c>
      <c r="G620" s="4">
        <v>128.62</v>
      </c>
      <c r="H620" s="4">
        <v>192520.99</v>
      </c>
    </row>
    <row r="621" s="1" customFormat="1" ht="14" spans="1:8">
      <c r="A621" s="2">
        <v>2530012</v>
      </c>
      <c r="B621" s="2" t="s">
        <v>1288</v>
      </c>
      <c r="C621" s="3" t="s">
        <v>1172</v>
      </c>
      <c r="D621" s="4">
        <v>3179.7</v>
      </c>
      <c r="E621" s="4">
        <v>1.58</v>
      </c>
      <c r="F621" s="4">
        <v>5023.97</v>
      </c>
      <c r="G621" s="4">
        <v>1.58</v>
      </c>
      <c r="H621" s="4">
        <v>5023.97</v>
      </c>
    </row>
    <row r="622" s="1" customFormat="1" ht="14" spans="1:8">
      <c r="A622" s="2">
        <v>2530014</v>
      </c>
      <c r="B622" s="2" t="s">
        <v>1289</v>
      </c>
      <c r="C622" s="3" t="s">
        <v>1172</v>
      </c>
      <c r="D622" s="4">
        <v>73.96</v>
      </c>
      <c r="E622" s="4">
        <v>39.38</v>
      </c>
      <c r="F622" s="4">
        <v>2912.54</v>
      </c>
      <c r="G622" s="4">
        <v>39.38</v>
      </c>
      <c r="H622" s="4">
        <v>2912.54</v>
      </c>
    </row>
    <row r="623" s="1" customFormat="1" ht="14" spans="1:8">
      <c r="A623" s="2">
        <v>2531011</v>
      </c>
      <c r="B623" s="2" t="s">
        <v>1290</v>
      </c>
      <c r="C623" s="3" t="s">
        <v>824</v>
      </c>
      <c r="D623" s="4">
        <v>32.48</v>
      </c>
      <c r="E623" s="4">
        <v>0.48</v>
      </c>
      <c r="F623" s="4">
        <v>15.59</v>
      </c>
      <c r="G623" s="4">
        <v>0.48</v>
      </c>
      <c r="H623" s="4">
        <v>15.59</v>
      </c>
    </row>
    <row r="624" s="1" customFormat="1" ht="14" spans="1:8">
      <c r="A624" s="2">
        <v>2531013</v>
      </c>
      <c r="B624" s="2" t="s">
        <v>1291</v>
      </c>
      <c r="C624" s="3" t="s">
        <v>876</v>
      </c>
      <c r="D624" s="4">
        <v>2</v>
      </c>
      <c r="E624" s="4">
        <v>52.64</v>
      </c>
      <c r="F624" s="4">
        <v>105.28</v>
      </c>
      <c r="G624" s="4">
        <v>52.64</v>
      </c>
      <c r="H624" s="4">
        <v>105.28</v>
      </c>
    </row>
    <row r="625" s="1" customFormat="1" ht="14" spans="1:8">
      <c r="A625" s="2">
        <v>2531016</v>
      </c>
      <c r="B625" s="2" t="s">
        <v>1292</v>
      </c>
      <c r="C625" s="3" t="s">
        <v>824</v>
      </c>
      <c r="D625" s="4">
        <v>18.14</v>
      </c>
      <c r="E625" s="4">
        <v>34.31</v>
      </c>
      <c r="F625" s="4">
        <v>622.52</v>
      </c>
      <c r="G625" s="4">
        <v>34.31</v>
      </c>
      <c r="H625" s="4">
        <v>622.52</v>
      </c>
    </row>
    <row r="626" s="1" customFormat="1" ht="14" spans="1:8">
      <c r="A626" s="2">
        <v>2532014</v>
      </c>
      <c r="B626" s="2" t="s">
        <v>1293</v>
      </c>
      <c r="C626" s="3" t="s">
        <v>824</v>
      </c>
      <c r="D626" s="4">
        <v>16.24</v>
      </c>
      <c r="E626" s="4">
        <v>2.19</v>
      </c>
      <c r="F626" s="4">
        <v>35.56</v>
      </c>
      <c r="G626" s="4">
        <v>2.19</v>
      </c>
      <c r="H626" s="4">
        <v>35.56</v>
      </c>
    </row>
    <row r="627" s="1" customFormat="1" ht="14" spans="1:8">
      <c r="A627" s="2">
        <v>2533011</v>
      </c>
      <c r="B627" s="2" t="s">
        <v>1294</v>
      </c>
      <c r="C627" s="3" t="s">
        <v>824</v>
      </c>
      <c r="D627" s="4">
        <v>83</v>
      </c>
      <c r="E627" s="4">
        <v>3.02</v>
      </c>
      <c r="F627" s="4">
        <v>250.66</v>
      </c>
      <c r="G627" s="4">
        <v>3.02</v>
      </c>
      <c r="H627" s="4">
        <v>250.66</v>
      </c>
    </row>
    <row r="628" s="1" customFormat="1" ht="14" spans="1:8">
      <c r="A628" s="2">
        <v>2541010</v>
      </c>
      <c r="B628" s="2" t="s">
        <v>1295</v>
      </c>
      <c r="C628" s="3" t="s">
        <v>824</v>
      </c>
      <c r="D628" s="4">
        <v>35</v>
      </c>
      <c r="E628" s="4">
        <v>7.98</v>
      </c>
      <c r="F628" s="4">
        <v>279.3</v>
      </c>
      <c r="G628" s="4">
        <v>7.98</v>
      </c>
      <c r="H628" s="4">
        <v>279.3</v>
      </c>
    </row>
    <row r="629" s="1" customFormat="1" ht="14" spans="1:8">
      <c r="A629" s="2">
        <v>2541012</v>
      </c>
      <c r="B629" s="2" t="s">
        <v>1296</v>
      </c>
      <c r="C629" s="3" t="s">
        <v>824</v>
      </c>
      <c r="D629" s="4">
        <v>129.64</v>
      </c>
      <c r="E629" s="4">
        <v>17.73</v>
      </c>
      <c r="F629" s="4">
        <v>2298.88</v>
      </c>
      <c r="G629" s="4">
        <v>17.73</v>
      </c>
      <c r="H629" s="4">
        <v>2298.88</v>
      </c>
    </row>
    <row r="630" s="1" customFormat="1" ht="14" spans="1:8">
      <c r="A630" s="2">
        <v>2541015</v>
      </c>
      <c r="B630" s="2" t="s">
        <v>1297</v>
      </c>
      <c r="C630" s="3" t="s">
        <v>876</v>
      </c>
      <c r="D630" s="4">
        <v>238</v>
      </c>
      <c r="E630" s="4">
        <v>12.26</v>
      </c>
      <c r="F630" s="4">
        <v>2917.88</v>
      </c>
      <c r="G630" s="4">
        <v>12.26</v>
      </c>
      <c r="H630" s="4">
        <v>2917.88</v>
      </c>
    </row>
    <row r="631" s="1" customFormat="1" ht="14" spans="1:8">
      <c r="A631" s="2">
        <v>2542010</v>
      </c>
      <c r="B631" s="2" t="s">
        <v>1298</v>
      </c>
      <c r="C631" s="3" t="s">
        <v>824</v>
      </c>
      <c r="D631" s="4">
        <v>572</v>
      </c>
      <c r="E631" s="4">
        <v>7.36</v>
      </c>
      <c r="F631" s="4">
        <v>4209.92</v>
      </c>
      <c r="G631" s="4">
        <v>7.36</v>
      </c>
      <c r="H631" s="4">
        <v>4209.92</v>
      </c>
    </row>
    <row r="632" s="1" customFormat="1" ht="14" spans="1:8">
      <c r="A632" s="2">
        <v>2542011</v>
      </c>
      <c r="B632" s="2" t="s">
        <v>1299</v>
      </c>
      <c r="C632" s="3" t="s">
        <v>824</v>
      </c>
      <c r="D632" s="4">
        <v>378</v>
      </c>
      <c r="E632" s="4">
        <v>12.94</v>
      </c>
      <c r="F632" s="4">
        <v>4891.32</v>
      </c>
      <c r="G632" s="4">
        <v>12.94</v>
      </c>
      <c r="H632" s="4">
        <v>4891.32</v>
      </c>
    </row>
    <row r="633" s="1" customFormat="1" ht="14" spans="1:8">
      <c r="A633" s="2">
        <v>2542112</v>
      </c>
      <c r="B633" s="2" t="s">
        <v>1300</v>
      </c>
      <c r="C633" s="3" t="s">
        <v>876</v>
      </c>
      <c r="D633" s="4">
        <v>130.29</v>
      </c>
      <c r="E633" s="4">
        <v>7.92</v>
      </c>
      <c r="F633" s="4">
        <v>1031.97</v>
      </c>
      <c r="G633" s="4">
        <v>7.92</v>
      </c>
      <c r="H633" s="4">
        <v>1031.97</v>
      </c>
    </row>
    <row r="634" s="1" customFormat="1" ht="14" spans="1:8">
      <c r="A634" s="2">
        <v>2543007</v>
      </c>
      <c r="B634" s="2" t="s">
        <v>1301</v>
      </c>
      <c r="C634" s="3" t="s">
        <v>824</v>
      </c>
      <c r="D634" s="4">
        <v>194.93</v>
      </c>
      <c r="E634" s="4">
        <v>9.78</v>
      </c>
      <c r="F634" s="4">
        <v>1906.42</v>
      </c>
      <c r="G634" s="4">
        <v>9.78</v>
      </c>
      <c r="H634" s="4">
        <v>1906.42</v>
      </c>
    </row>
    <row r="635" s="1" customFormat="1" ht="14" spans="1:8">
      <c r="A635" s="2">
        <v>2543010</v>
      </c>
      <c r="B635" s="2" t="s">
        <v>1302</v>
      </c>
      <c r="C635" s="3" t="s">
        <v>824</v>
      </c>
      <c r="D635" s="4">
        <v>115.14</v>
      </c>
      <c r="E635" s="4">
        <v>4.53</v>
      </c>
      <c r="F635" s="4">
        <v>521.68</v>
      </c>
      <c r="G635" s="4">
        <v>4.53</v>
      </c>
      <c r="H635" s="4">
        <v>521.68</v>
      </c>
    </row>
    <row r="636" s="1" customFormat="1" ht="14" spans="1:8">
      <c r="A636" s="2">
        <v>2543016</v>
      </c>
      <c r="B636" s="2" t="s">
        <v>1303</v>
      </c>
      <c r="C636" s="3" t="s">
        <v>824</v>
      </c>
      <c r="D636" s="4">
        <v>26.26</v>
      </c>
      <c r="E636" s="4">
        <v>15.34</v>
      </c>
      <c r="F636" s="4">
        <v>402.82</v>
      </c>
      <c r="G636" s="4">
        <v>15.34</v>
      </c>
      <c r="H636" s="4">
        <v>402.82</v>
      </c>
    </row>
    <row r="637" s="1" customFormat="1" ht="14" spans="1:8">
      <c r="A637" s="2">
        <v>2543023</v>
      </c>
      <c r="B637" s="2" t="s">
        <v>1304</v>
      </c>
      <c r="C637" s="3" t="s">
        <v>876</v>
      </c>
      <c r="D637" s="4">
        <v>95.7</v>
      </c>
      <c r="E637" s="4">
        <v>385.94</v>
      </c>
      <c r="F637" s="4">
        <v>36934.45</v>
      </c>
      <c r="G637" s="4">
        <v>385.94</v>
      </c>
      <c r="H637" s="4">
        <v>36934.45</v>
      </c>
    </row>
    <row r="638" s="1" customFormat="1" ht="14" spans="1:8">
      <c r="A638" s="2">
        <v>2543024</v>
      </c>
      <c r="B638" s="2" t="s">
        <v>1305</v>
      </c>
      <c r="C638" s="3" t="s">
        <v>824</v>
      </c>
      <c r="D638" s="4">
        <v>95.7</v>
      </c>
      <c r="E638" s="4">
        <v>13.77</v>
      </c>
      <c r="F638" s="4">
        <v>1317.79</v>
      </c>
      <c r="G638" s="4">
        <v>13.77</v>
      </c>
      <c r="H638" s="4">
        <v>1317.79</v>
      </c>
    </row>
    <row r="639" s="1" customFormat="1" ht="14" spans="1:8">
      <c r="A639" s="2">
        <v>2545010</v>
      </c>
      <c r="B639" s="2" t="s">
        <v>1306</v>
      </c>
      <c r="C639" s="3" t="s">
        <v>1172</v>
      </c>
      <c r="D639" s="4">
        <v>35</v>
      </c>
      <c r="E639" s="4">
        <v>8.53</v>
      </c>
      <c r="F639" s="4">
        <v>298.55</v>
      </c>
      <c r="G639" s="4">
        <v>8.53</v>
      </c>
      <c r="H639" s="4">
        <v>298.55</v>
      </c>
    </row>
    <row r="640" s="1" customFormat="1" ht="14" spans="1:8">
      <c r="A640" s="2">
        <v>2545011</v>
      </c>
      <c r="B640" s="2" t="s">
        <v>1307</v>
      </c>
      <c r="C640" s="3" t="s">
        <v>1172</v>
      </c>
      <c r="D640" s="4">
        <v>130.29</v>
      </c>
      <c r="E640" s="4">
        <v>6.87</v>
      </c>
      <c r="F640" s="4">
        <v>895.18</v>
      </c>
      <c r="G640" s="4">
        <v>6.87</v>
      </c>
      <c r="H640" s="4">
        <v>895.18</v>
      </c>
    </row>
    <row r="641" s="1" customFormat="1" ht="14" spans="1:8">
      <c r="A641" s="2">
        <v>2545025</v>
      </c>
      <c r="B641" s="2" t="s">
        <v>1308</v>
      </c>
      <c r="C641" s="3" t="s">
        <v>876</v>
      </c>
      <c r="D641" s="4">
        <v>8</v>
      </c>
      <c r="E641" s="4">
        <v>19.61</v>
      </c>
      <c r="F641" s="4">
        <v>156.88</v>
      </c>
      <c r="G641" s="4">
        <v>19.61</v>
      </c>
      <c r="H641" s="4">
        <v>156.88</v>
      </c>
    </row>
    <row r="642" s="1" customFormat="1" ht="14" spans="1:8">
      <c r="A642" s="2">
        <v>2546011</v>
      </c>
      <c r="B642" s="2" t="s">
        <v>1309</v>
      </c>
      <c r="C642" s="3" t="s">
        <v>876</v>
      </c>
      <c r="D642" s="4">
        <v>12.12</v>
      </c>
      <c r="E642" s="4">
        <v>8.18</v>
      </c>
      <c r="F642" s="4">
        <v>99.14</v>
      </c>
      <c r="G642" s="4">
        <v>8.18</v>
      </c>
      <c r="H642" s="4">
        <v>99.14</v>
      </c>
    </row>
    <row r="643" s="1" customFormat="1" ht="14" spans="1:8">
      <c r="A643" s="2">
        <v>2546012</v>
      </c>
      <c r="B643" s="2" t="s">
        <v>1310</v>
      </c>
      <c r="C643" s="3" t="s">
        <v>824</v>
      </c>
      <c r="D643" s="4">
        <v>35</v>
      </c>
      <c r="E643" s="4">
        <v>31.76</v>
      </c>
      <c r="F643" s="4">
        <v>1111.6</v>
      </c>
      <c r="G643" s="4">
        <v>31.76</v>
      </c>
      <c r="H643" s="4">
        <v>1111.6</v>
      </c>
    </row>
    <row r="644" s="1" customFormat="1" ht="14" spans="1:8">
      <c r="A644" s="2">
        <v>2546016</v>
      </c>
      <c r="B644" s="2" t="s">
        <v>1311</v>
      </c>
      <c r="C644" s="3" t="s">
        <v>824</v>
      </c>
      <c r="D644" s="4">
        <v>256.27</v>
      </c>
      <c r="E644" s="4">
        <v>8.09</v>
      </c>
      <c r="F644" s="4">
        <v>2073.18</v>
      </c>
      <c r="G644" s="4">
        <v>8.09</v>
      </c>
      <c r="H644" s="4">
        <v>2073.18</v>
      </c>
    </row>
    <row r="645" s="1" customFormat="1" ht="14" spans="1:8">
      <c r="A645" s="2">
        <v>2546017</v>
      </c>
      <c r="B645" s="2" t="s">
        <v>1312</v>
      </c>
      <c r="C645" s="3" t="s">
        <v>824</v>
      </c>
      <c r="D645" s="4">
        <v>255</v>
      </c>
      <c r="E645" s="4">
        <v>1.05</v>
      </c>
      <c r="F645" s="4">
        <v>267.75</v>
      </c>
      <c r="G645" s="4">
        <v>1.05</v>
      </c>
      <c r="H645" s="4">
        <v>267.75</v>
      </c>
    </row>
    <row r="646" s="1" customFormat="1" ht="14" spans="1:8">
      <c r="A646" s="2">
        <v>2546018</v>
      </c>
      <c r="B646" s="2" t="s">
        <v>1313</v>
      </c>
      <c r="C646" s="3" t="s">
        <v>824</v>
      </c>
      <c r="D646" s="4">
        <v>105</v>
      </c>
      <c r="E646" s="4">
        <v>38.8</v>
      </c>
      <c r="F646" s="4">
        <v>4074</v>
      </c>
      <c r="G646" s="4">
        <v>38.8</v>
      </c>
      <c r="H646" s="4">
        <v>4074</v>
      </c>
    </row>
    <row r="647" s="1" customFormat="1" ht="14" spans="1:8">
      <c r="A647" s="2">
        <v>2546021</v>
      </c>
      <c r="B647" s="2" t="s">
        <v>1314</v>
      </c>
      <c r="C647" s="3" t="s">
        <v>876</v>
      </c>
      <c r="D647" s="4">
        <v>11.11</v>
      </c>
      <c r="E647" s="4">
        <v>46.36</v>
      </c>
      <c r="F647" s="4">
        <v>515.07</v>
      </c>
      <c r="G647" s="4">
        <v>46.36</v>
      </c>
      <c r="H647" s="4">
        <v>515.07</v>
      </c>
    </row>
    <row r="648" s="1" customFormat="1" ht="14" spans="1:8">
      <c r="A648" s="2">
        <v>2546058</v>
      </c>
      <c r="B648" s="2" t="s">
        <v>1315</v>
      </c>
      <c r="C648" s="3" t="s">
        <v>876</v>
      </c>
      <c r="D648" s="4">
        <v>112.11</v>
      </c>
      <c r="E648" s="4">
        <v>463.13</v>
      </c>
      <c r="F648" s="4">
        <v>51921.46</v>
      </c>
      <c r="G648" s="4">
        <v>463.13</v>
      </c>
      <c r="H648" s="4">
        <v>51921.46</v>
      </c>
    </row>
    <row r="649" s="1" customFormat="1" ht="14" spans="1:8">
      <c r="A649" s="2">
        <v>2546210</v>
      </c>
      <c r="B649" s="2" t="s">
        <v>1316</v>
      </c>
      <c r="C649" s="3" t="s">
        <v>1317</v>
      </c>
      <c r="D649" s="4">
        <v>257.55</v>
      </c>
      <c r="E649" s="4">
        <v>282.96</v>
      </c>
      <c r="F649" s="4">
        <v>72876.43</v>
      </c>
      <c r="G649" s="4">
        <v>282.96</v>
      </c>
      <c r="H649" s="4">
        <v>72876.43</v>
      </c>
    </row>
    <row r="650" s="1" customFormat="1" ht="14" spans="1:8">
      <c r="A650" s="2">
        <v>2546211</v>
      </c>
      <c r="B650" s="2" t="s">
        <v>1318</v>
      </c>
      <c r="C650" s="3" t="s">
        <v>824</v>
      </c>
      <c r="D650" s="4">
        <v>106.05</v>
      </c>
      <c r="E650" s="4">
        <v>411.58</v>
      </c>
      <c r="F650" s="4">
        <v>43648.06</v>
      </c>
      <c r="G650" s="4">
        <v>411.58</v>
      </c>
      <c r="H650" s="4">
        <v>43648.06</v>
      </c>
    </row>
    <row r="651" s="1" customFormat="1" ht="28" spans="1:8">
      <c r="A651" s="2">
        <v>2546212</v>
      </c>
      <c r="B651" s="2" t="s">
        <v>1319</v>
      </c>
      <c r="C651" s="3" t="s">
        <v>824</v>
      </c>
      <c r="D651" s="4">
        <v>2.02</v>
      </c>
      <c r="E651" s="4">
        <v>282.96</v>
      </c>
      <c r="F651" s="4">
        <v>571.58</v>
      </c>
      <c r="G651" s="4">
        <v>282.96</v>
      </c>
      <c r="H651" s="4">
        <v>571.58</v>
      </c>
    </row>
    <row r="652" s="1" customFormat="1" ht="28" spans="1:8">
      <c r="A652" s="2">
        <v>2546213</v>
      </c>
      <c r="B652" s="2" t="s">
        <v>1320</v>
      </c>
      <c r="C652" s="3" t="s">
        <v>824</v>
      </c>
      <c r="D652" s="4">
        <v>106.05</v>
      </c>
      <c r="E652" s="4">
        <v>411.58</v>
      </c>
      <c r="F652" s="4">
        <v>43648.06</v>
      </c>
      <c r="G652" s="4">
        <v>411.58</v>
      </c>
      <c r="H652" s="4">
        <v>43648.06</v>
      </c>
    </row>
    <row r="653" s="1" customFormat="1" ht="14" spans="1:8">
      <c r="A653" s="2">
        <v>2546216</v>
      </c>
      <c r="B653" s="2" t="s">
        <v>1321</v>
      </c>
      <c r="C653" s="3" t="s">
        <v>824</v>
      </c>
      <c r="D653" s="4">
        <v>112.11</v>
      </c>
      <c r="E653" s="4">
        <v>38.59</v>
      </c>
      <c r="F653" s="4">
        <v>4326.43</v>
      </c>
      <c r="G653" s="4">
        <v>38.59</v>
      </c>
      <c r="H653" s="4">
        <v>4326.43</v>
      </c>
    </row>
    <row r="654" s="1" customFormat="1" ht="14" spans="1:8">
      <c r="A654" s="2">
        <v>2546313</v>
      </c>
      <c r="B654" s="2" t="s">
        <v>1322</v>
      </c>
      <c r="C654" s="3" t="s">
        <v>824</v>
      </c>
      <c r="D654" s="4">
        <v>35.35</v>
      </c>
      <c r="E654" s="4">
        <v>231.51</v>
      </c>
      <c r="F654" s="4">
        <v>8183.97</v>
      </c>
      <c r="G654" s="4">
        <v>231.51</v>
      </c>
      <c r="H654" s="4">
        <v>8183.97</v>
      </c>
    </row>
    <row r="655" s="1" customFormat="1" ht="14" spans="1:8">
      <c r="A655" s="2">
        <v>2546314</v>
      </c>
      <c r="B655" s="2" t="s">
        <v>1323</v>
      </c>
      <c r="C655" s="3" t="s">
        <v>824</v>
      </c>
      <c r="D655" s="4">
        <v>12.12</v>
      </c>
      <c r="E655" s="4">
        <v>334.41</v>
      </c>
      <c r="F655" s="4">
        <v>4053.05</v>
      </c>
      <c r="G655" s="4">
        <v>334.41</v>
      </c>
      <c r="H655" s="4">
        <v>4053.05</v>
      </c>
    </row>
    <row r="656" s="1" customFormat="1" ht="14" spans="1:8">
      <c r="A656" s="2">
        <v>2546316</v>
      </c>
      <c r="B656" s="2" t="s">
        <v>1324</v>
      </c>
      <c r="C656" s="3" t="s">
        <v>824</v>
      </c>
      <c r="D656" s="4">
        <v>240.38</v>
      </c>
      <c r="E656" s="4">
        <v>231.51</v>
      </c>
      <c r="F656" s="4">
        <v>55650.45</v>
      </c>
      <c r="G656" s="4">
        <v>231.51</v>
      </c>
      <c r="H656" s="4">
        <v>55650.45</v>
      </c>
    </row>
    <row r="657" s="1" customFormat="1" ht="14" spans="1:8">
      <c r="A657" s="2">
        <v>2546317</v>
      </c>
      <c r="B657" s="2" t="s">
        <v>1325</v>
      </c>
      <c r="C657" s="3" t="s">
        <v>824</v>
      </c>
      <c r="D657" s="4">
        <v>41.41</v>
      </c>
      <c r="E657" s="4">
        <v>282.96</v>
      </c>
      <c r="F657" s="4">
        <v>11717.39</v>
      </c>
      <c r="G657" s="4">
        <v>282.96</v>
      </c>
      <c r="H657" s="4">
        <v>11717.39</v>
      </c>
    </row>
    <row r="658" s="1" customFormat="1" ht="14" spans="1:8">
      <c r="A658" s="2">
        <v>2547010</v>
      </c>
      <c r="B658" s="2" t="s">
        <v>1326</v>
      </c>
      <c r="C658" s="3" t="s">
        <v>679</v>
      </c>
      <c r="D658" s="4">
        <v>1171.23</v>
      </c>
      <c r="E658" s="4">
        <v>207.26</v>
      </c>
      <c r="F658" s="4">
        <v>242749.11</v>
      </c>
      <c r="G658" s="4">
        <v>207.26</v>
      </c>
      <c r="H658" s="4">
        <v>242749.11</v>
      </c>
    </row>
    <row r="659" s="1" customFormat="1" ht="14" spans="1:8">
      <c r="A659" s="2">
        <v>2547012</v>
      </c>
      <c r="B659" s="2" t="s">
        <v>1327</v>
      </c>
      <c r="C659" s="3" t="s">
        <v>679</v>
      </c>
      <c r="D659" s="4">
        <v>18.9</v>
      </c>
      <c r="E659" s="4">
        <v>216.68</v>
      </c>
      <c r="F659" s="4">
        <v>4095.25</v>
      </c>
      <c r="G659" s="4">
        <v>216.68</v>
      </c>
      <c r="H659" s="4">
        <v>4095.25</v>
      </c>
    </row>
    <row r="660" s="1" customFormat="1" ht="14" spans="1:8">
      <c r="A660" s="2">
        <v>2547020</v>
      </c>
      <c r="B660" s="2" t="s">
        <v>1328</v>
      </c>
      <c r="C660" s="3" t="s">
        <v>679</v>
      </c>
      <c r="D660" s="4">
        <v>932.26</v>
      </c>
      <c r="E660" s="4">
        <v>33.92</v>
      </c>
      <c r="F660" s="4">
        <v>31622.4</v>
      </c>
      <c r="G660" s="4">
        <v>33.92</v>
      </c>
      <c r="H660" s="4">
        <v>31622.4</v>
      </c>
    </row>
    <row r="661" s="1" customFormat="1" ht="14" spans="1:8">
      <c r="A661" s="2">
        <v>2547124</v>
      </c>
      <c r="B661" s="2" t="s">
        <v>1329</v>
      </c>
      <c r="C661" s="3" t="s">
        <v>679</v>
      </c>
      <c r="D661" s="4">
        <v>1719.8</v>
      </c>
      <c r="E661" s="4">
        <v>514.47</v>
      </c>
      <c r="F661" s="4">
        <v>884787.67</v>
      </c>
      <c r="G661" s="4">
        <v>514.47</v>
      </c>
      <c r="H661" s="4">
        <v>884787.67</v>
      </c>
    </row>
    <row r="662" s="1" customFormat="1" ht="14" spans="1:8">
      <c r="A662" s="2">
        <v>2547126</v>
      </c>
      <c r="B662" s="2" t="s">
        <v>1330</v>
      </c>
      <c r="C662" s="3" t="s">
        <v>679</v>
      </c>
      <c r="D662" s="4">
        <v>10.98</v>
      </c>
      <c r="E662" s="4">
        <v>810.3</v>
      </c>
      <c r="F662" s="4">
        <v>8897.09</v>
      </c>
      <c r="G662" s="4">
        <v>810.3</v>
      </c>
      <c r="H662" s="4">
        <v>8897.09</v>
      </c>
    </row>
    <row r="663" s="1" customFormat="1" ht="14" spans="1:8">
      <c r="A663" s="2">
        <v>2547127</v>
      </c>
      <c r="B663" s="2" t="s">
        <v>1331</v>
      </c>
      <c r="C663" s="3" t="s">
        <v>679</v>
      </c>
      <c r="D663" s="4">
        <v>641.52</v>
      </c>
      <c r="E663" s="4">
        <v>711.69</v>
      </c>
      <c r="F663" s="4">
        <v>456563.42</v>
      </c>
      <c r="G663" s="4">
        <v>711.69</v>
      </c>
      <c r="H663" s="4">
        <v>456563.42</v>
      </c>
    </row>
    <row r="664" s="1" customFormat="1" ht="14" spans="1:8">
      <c r="A664" s="2">
        <v>2547128</v>
      </c>
      <c r="B664" s="2" t="s">
        <v>1332</v>
      </c>
      <c r="C664" s="3" t="s">
        <v>679</v>
      </c>
      <c r="D664" s="4">
        <v>13.2</v>
      </c>
      <c r="E664" s="4">
        <v>634.52</v>
      </c>
      <c r="F664" s="4">
        <v>8375.66</v>
      </c>
      <c r="G664" s="4">
        <v>634.52</v>
      </c>
      <c r="H664" s="4">
        <v>8375.66</v>
      </c>
    </row>
    <row r="665" s="1" customFormat="1" ht="14" spans="1:8">
      <c r="A665" s="2">
        <v>2547133</v>
      </c>
      <c r="B665" s="2" t="s">
        <v>1333</v>
      </c>
      <c r="C665" s="3" t="s">
        <v>679</v>
      </c>
      <c r="D665" s="4">
        <v>460.26</v>
      </c>
      <c r="E665" s="4">
        <v>600.22</v>
      </c>
      <c r="F665" s="4">
        <v>276257.24</v>
      </c>
      <c r="G665" s="4">
        <v>600.22</v>
      </c>
      <c r="H665" s="4">
        <v>276257.24</v>
      </c>
    </row>
    <row r="666" s="1" customFormat="1" ht="28" spans="1:8">
      <c r="A666" s="2">
        <v>2547141</v>
      </c>
      <c r="B666" s="2" t="s">
        <v>1334</v>
      </c>
      <c r="C666" s="3" t="s">
        <v>679</v>
      </c>
      <c r="D666" s="4">
        <v>374.82</v>
      </c>
      <c r="E666" s="4">
        <v>607.3</v>
      </c>
      <c r="F666" s="4">
        <v>227631.75</v>
      </c>
      <c r="G666" s="4">
        <v>607.3</v>
      </c>
      <c r="H666" s="4">
        <v>227631.75</v>
      </c>
    </row>
    <row r="667" s="1" customFormat="1" ht="28" spans="1:8">
      <c r="A667" s="2">
        <v>2547143</v>
      </c>
      <c r="B667" s="2" t="s">
        <v>1335</v>
      </c>
      <c r="C667" s="3" t="s">
        <v>679</v>
      </c>
      <c r="D667" s="4">
        <v>4919.43</v>
      </c>
      <c r="E667" s="4">
        <v>457.55</v>
      </c>
      <c r="F667" s="4">
        <v>2250892.17</v>
      </c>
      <c r="G667" s="4">
        <v>457.55</v>
      </c>
      <c r="H667" s="4">
        <v>2250892.17</v>
      </c>
    </row>
    <row r="668" s="1" customFormat="1" ht="28" spans="1:8">
      <c r="A668" s="2">
        <v>2547145</v>
      </c>
      <c r="B668" s="2" t="s">
        <v>1336</v>
      </c>
      <c r="C668" s="3" t="s">
        <v>679</v>
      </c>
      <c r="D668" s="4">
        <v>359.1</v>
      </c>
      <c r="E668" s="4">
        <v>349.4</v>
      </c>
      <c r="F668" s="4">
        <v>125469.52</v>
      </c>
      <c r="G668" s="4">
        <v>349.4</v>
      </c>
      <c r="H668" s="4">
        <v>125469.52</v>
      </c>
    </row>
    <row r="669" s="1" customFormat="1" ht="14" spans="1:8">
      <c r="A669" s="2">
        <v>2547160</v>
      </c>
      <c r="B669" s="2" t="s">
        <v>1337</v>
      </c>
      <c r="C669" s="3" t="s">
        <v>679</v>
      </c>
      <c r="D669" s="4">
        <v>650.99</v>
      </c>
      <c r="E669" s="4">
        <v>156.43</v>
      </c>
      <c r="F669" s="4">
        <v>101834.39</v>
      </c>
      <c r="G669" s="4">
        <v>156.43</v>
      </c>
      <c r="H669" s="4">
        <v>101834.39</v>
      </c>
    </row>
    <row r="670" s="1" customFormat="1" ht="14" spans="1:8">
      <c r="A670" s="2">
        <v>2547161</v>
      </c>
      <c r="B670" s="2" t="s">
        <v>1338</v>
      </c>
      <c r="C670" s="3" t="s">
        <v>472</v>
      </c>
      <c r="D670" s="4">
        <v>9486.73</v>
      </c>
      <c r="E670" s="4">
        <v>0.16</v>
      </c>
      <c r="F670" s="4">
        <v>1517.87</v>
      </c>
      <c r="G670" s="4">
        <v>0.16</v>
      </c>
      <c r="H670" s="4">
        <v>1517.87</v>
      </c>
    </row>
    <row r="671" s="1" customFormat="1" ht="14" spans="1:8">
      <c r="A671" s="2">
        <v>2547162</v>
      </c>
      <c r="B671" s="2" t="s">
        <v>1339</v>
      </c>
      <c r="C671" s="3" t="s">
        <v>824</v>
      </c>
      <c r="D671" s="4">
        <v>3748.25</v>
      </c>
      <c r="E671" s="4">
        <v>0.25</v>
      </c>
      <c r="F671" s="4">
        <v>937.07</v>
      </c>
      <c r="G671" s="4">
        <v>0.25</v>
      </c>
      <c r="H671" s="4">
        <v>937.07</v>
      </c>
    </row>
    <row r="672" s="1" customFormat="1" ht="14" spans="1:8">
      <c r="A672" s="2">
        <v>2547163</v>
      </c>
      <c r="B672" s="2" t="s">
        <v>1340</v>
      </c>
      <c r="C672" s="3" t="s">
        <v>679</v>
      </c>
      <c r="D672" s="4">
        <v>1261.79</v>
      </c>
      <c r="E672" s="4">
        <v>337.57</v>
      </c>
      <c r="F672" s="4">
        <v>425944.48</v>
      </c>
      <c r="G672" s="4">
        <v>337.57</v>
      </c>
      <c r="H672" s="4">
        <v>425944.48</v>
      </c>
    </row>
    <row r="673" s="1" customFormat="1" ht="14" spans="1:8">
      <c r="A673" s="2">
        <v>2547166</v>
      </c>
      <c r="B673" s="2" t="s">
        <v>1341</v>
      </c>
      <c r="C673" s="3" t="s">
        <v>679</v>
      </c>
      <c r="D673" s="4">
        <v>215.47</v>
      </c>
      <c r="E673" s="4">
        <v>137.91</v>
      </c>
      <c r="F673" s="4">
        <v>29713.89</v>
      </c>
      <c r="G673" s="4">
        <v>137.91</v>
      </c>
      <c r="H673" s="4">
        <v>29713.89</v>
      </c>
    </row>
    <row r="674" s="1" customFormat="1" ht="14" spans="1:8">
      <c r="A674" s="2">
        <v>2547171</v>
      </c>
      <c r="B674" s="2" t="s">
        <v>1342</v>
      </c>
      <c r="C674" s="3" t="s">
        <v>679</v>
      </c>
      <c r="D674" s="4">
        <v>8.96</v>
      </c>
      <c r="E674" s="4">
        <v>123.5</v>
      </c>
      <c r="F674" s="4">
        <v>1106.56</v>
      </c>
      <c r="G674" s="4">
        <v>123.5</v>
      </c>
      <c r="H674" s="4">
        <v>1106.56</v>
      </c>
    </row>
    <row r="675" s="1" customFormat="1" ht="14" spans="1:8">
      <c r="A675" s="2">
        <v>2547210</v>
      </c>
      <c r="B675" s="2" t="s">
        <v>1343</v>
      </c>
      <c r="C675" s="3" t="s">
        <v>679</v>
      </c>
      <c r="D675" s="4">
        <v>34601.61</v>
      </c>
      <c r="E675" s="4">
        <v>11.53</v>
      </c>
      <c r="F675" s="4">
        <v>398956.56</v>
      </c>
      <c r="G675" s="4">
        <v>11.53</v>
      </c>
      <c r="H675" s="4">
        <v>398956.56</v>
      </c>
    </row>
    <row r="676" s="1" customFormat="1" ht="14" spans="1:8">
      <c r="A676" s="2">
        <v>2547212</v>
      </c>
      <c r="B676" s="2" t="s">
        <v>1344</v>
      </c>
      <c r="C676" s="3" t="s">
        <v>679</v>
      </c>
      <c r="D676" s="4">
        <v>54332.7</v>
      </c>
      <c r="E676" s="4">
        <v>7.48</v>
      </c>
      <c r="F676" s="4">
        <v>406408.58</v>
      </c>
      <c r="G676" s="4">
        <v>7.48</v>
      </c>
      <c r="H676" s="4">
        <v>406408.58</v>
      </c>
    </row>
    <row r="677" s="1" customFormat="1" ht="14" spans="1:8">
      <c r="A677" s="2">
        <v>2547214</v>
      </c>
      <c r="B677" s="2" t="s">
        <v>1345</v>
      </c>
      <c r="C677" s="3" t="s">
        <v>472</v>
      </c>
      <c r="D677" s="4">
        <v>42.6</v>
      </c>
      <c r="E677" s="4">
        <v>11.86</v>
      </c>
      <c r="F677" s="4">
        <v>505.25</v>
      </c>
      <c r="G677" s="4">
        <v>11.86</v>
      </c>
      <c r="H677" s="4">
        <v>505.25</v>
      </c>
    </row>
    <row r="678" s="1" customFormat="1" ht="14" spans="1:8">
      <c r="A678" s="2">
        <v>2547218</v>
      </c>
      <c r="B678" s="2" t="s">
        <v>1346</v>
      </c>
      <c r="C678" s="3" t="s">
        <v>679</v>
      </c>
      <c r="D678" s="4">
        <v>47953.95</v>
      </c>
      <c r="E678" s="4">
        <v>7.4</v>
      </c>
      <c r="F678" s="4">
        <v>354859.21</v>
      </c>
      <c r="G678" s="4">
        <v>7.4</v>
      </c>
      <c r="H678" s="4">
        <v>354859.21</v>
      </c>
    </row>
    <row r="679" s="1" customFormat="1" ht="14" spans="1:8">
      <c r="A679" s="2">
        <v>2547310</v>
      </c>
      <c r="B679" s="2" t="s">
        <v>1347</v>
      </c>
      <c r="C679" s="3" t="s">
        <v>679</v>
      </c>
      <c r="D679" s="4">
        <v>2004.13</v>
      </c>
      <c r="E679" s="4">
        <v>9.24</v>
      </c>
      <c r="F679" s="4">
        <v>18518.21</v>
      </c>
      <c r="G679" s="4">
        <v>9.24</v>
      </c>
      <c r="H679" s="4">
        <v>18518.21</v>
      </c>
    </row>
    <row r="680" s="1" customFormat="1" ht="14" spans="1:8">
      <c r="A680" s="2">
        <v>2547311</v>
      </c>
      <c r="B680" s="2" t="s">
        <v>1348</v>
      </c>
      <c r="C680" s="3" t="s">
        <v>679</v>
      </c>
      <c r="D680" s="4">
        <v>18474.49</v>
      </c>
      <c r="E680" s="4">
        <v>23.2</v>
      </c>
      <c r="F680" s="4">
        <v>428608.14</v>
      </c>
      <c r="G680" s="4">
        <v>23.2</v>
      </c>
      <c r="H680" s="4">
        <v>428608.14</v>
      </c>
    </row>
    <row r="681" s="1" customFormat="1" ht="14" spans="1:8">
      <c r="A681" s="2">
        <v>2547313</v>
      </c>
      <c r="B681" s="2" t="s">
        <v>1349</v>
      </c>
      <c r="C681" s="3" t="s">
        <v>679</v>
      </c>
      <c r="D681" s="4">
        <v>2261.91</v>
      </c>
      <c r="E681" s="4">
        <v>2.67</v>
      </c>
      <c r="F681" s="4">
        <v>6039.24</v>
      </c>
      <c r="G681" s="4">
        <v>2.67</v>
      </c>
      <c r="H681" s="4">
        <v>6039.24</v>
      </c>
    </row>
    <row r="682" s="1" customFormat="1" ht="14" spans="1:8">
      <c r="A682" s="2">
        <v>2547315</v>
      </c>
      <c r="B682" s="2" t="s">
        <v>1350</v>
      </c>
      <c r="C682" s="3" t="s">
        <v>52</v>
      </c>
      <c r="D682" s="4">
        <v>16049.97</v>
      </c>
      <c r="E682" s="4">
        <v>4.63</v>
      </c>
      <c r="F682" s="4">
        <v>74311.41</v>
      </c>
      <c r="G682" s="4">
        <v>4.63</v>
      </c>
      <c r="H682" s="4">
        <v>74311.41</v>
      </c>
    </row>
    <row r="683" s="1" customFormat="1" ht="14" spans="1:8">
      <c r="A683" s="2">
        <v>2547316</v>
      </c>
      <c r="B683" s="2" t="s">
        <v>1351</v>
      </c>
      <c r="C683" s="3" t="s">
        <v>679</v>
      </c>
      <c r="D683" s="4">
        <v>13762.91</v>
      </c>
      <c r="E683" s="4">
        <v>5.02</v>
      </c>
      <c r="F683" s="4">
        <v>69089.85</v>
      </c>
      <c r="G683" s="4">
        <v>5.02</v>
      </c>
      <c r="H683" s="4">
        <v>69089.85</v>
      </c>
    </row>
    <row r="684" s="1" customFormat="1" ht="28" spans="1:8">
      <c r="A684" s="2">
        <v>2547317</v>
      </c>
      <c r="B684" s="2" t="s">
        <v>1352</v>
      </c>
      <c r="C684" s="3" t="s">
        <v>679</v>
      </c>
      <c r="D684" s="4">
        <v>39462.72</v>
      </c>
      <c r="E684" s="4">
        <v>13.6</v>
      </c>
      <c r="F684" s="4">
        <v>536692.99</v>
      </c>
      <c r="G684" s="4">
        <v>13.6</v>
      </c>
      <c r="H684" s="4">
        <v>536692.99</v>
      </c>
    </row>
    <row r="685" s="1" customFormat="1" ht="14" spans="1:8">
      <c r="A685" s="2">
        <v>2547318</v>
      </c>
      <c r="B685" s="2" t="s">
        <v>1353</v>
      </c>
      <c r="C685" s="3" t="s">
        <v>679</v>
      </c>
      <c r="D685" s="4">
        <v>37965.9</v>
      </c>
      <c r="E685" s="4">
        <v>13.6</v>
      </c>
      <c r="F685" s="4">
        <v>516336.24</v>
      </c>
      <c r="G685" s="4">
        <v>13.6</v>
      </c>
      <c r="H685" s="4">
        <v>516336.24</v>
      </c>
    </row>
    <row r="686" s="1" customFormat="1" ht="14" spans="1:8">
      <c r="A686" s="2">
        <v>2547320</v>
      </c>
      <c r="B686" s="2" t="s">
        <v>1354</v>
      </c>
      <c r="C686" s="3" t="s">
        <v>824</v>
      </c>
      <c r="D686" s="4">
        <v>118.56</v>
      </c>
      <c r="E686" s="4">
        <v>7.72</v>
      </c>
      <c r="F686" s="4">
        <v>915.28</v>
      </c>
      <c r="G686" s="4">
        <v>7.72</v>
      </c>
      <c r="H686" s="4">
        <v>915.28</v>
      </c>
    </row>
    <row r="687" s="1" customFormat="1" ht="28" spans="1:8">
      <c r="A687" s="2">
        <v>2547321</v>
      </c>
      <c r="B687" s="2" t="s">
        <v>1355</v>
      </c>
      <c r="C687" s="3" t="s">
        <v>472</v>
      </c>
      <c r="D687" s="4">
        <v>192306.72</v>
      </c>
      <c r="E687" s="4">
        <v>11.5</v>
      </c>
      <c r="F687" s="4">
        <v>2211527.28</v>
      </c>
      <c r="G687" s="4">
        <v>11.5</v>
      </c>
      <c r="H687" s="4">
        <v>2211527.28</v>
      </c>
    </row>
    <row r="688" s="1" customFormat="1" ht="14" spans="1:8">
      <c r="A688" s="2">
        <v>2547322</v>
      </c>
      <c r="B688" s="2" t="s">
        <v>1356</v>
      </c>
      <c r="C688" s="3" t="s">
        <v>679</v>
      </c>
      <c r="D688" s="4">
        <v>1555008.93</v>
      </c>
      <c r="E688" s="4">
        <v>32.44</v>
      </c>
      <c r="F688" s="4">
        <v>50444489.48</v>
      </c>
      <c r="G688" s="4">
        <v>60</v>
      </c>
      <c r="H688" s="4">
        <v>93300535.44</v>
      </c>
    </row>
    <row r="689" s="1" customFormat="1" ht="14" spans="1:8">
      <c r="A689" s="2">
        <v>2550011</v>
      </c>
      <c r="B689" s="2" t="s">
        <v>1357</v>
      </c>
      <c r="C689" s="3" t="s">
        <v>824</v>
      </c>
      <c r="D689" s="4">
        <v>23.45</v>
      </c>
      <c r="E689" s="4">
        <v>1.33</v>
      </c>
      <c r="F689" s="4">
        <v>31.19</v>
      </c>
      <c r="G689" s="4">
        <v>1.33</v>
      </c>
      <c r="H689" s="4">
        <v>31.19</v>
      </c>
    </row>
    <row r="690" s="1" customFormat="1" ht="14" spans="1:8">
      <c r="A690" s="2">
        <v>2550012</v>
      </c>
      <c r="B690" s="2" t="s">
        <v>1358</v>
      </c>
      <c r="C690" s="3" t="s">
        <v>824</v>
      </c>
      <c r="D690" s="4">
        <v>6081.24</v>
      </c>
      <c r="E690" s="4">
        <v>3.36</v>
      </c>
      <c r="F690" s="4">
        <v>20432.97</v>
      </c>
      <c r="G690" s="4">
        <v>3.36</v>
      </c>
      <c r="H690" s="4">
        <v>20432.97</v>
      </c>
    </row>
    <row r="691" s="1" customFormat="1" ht="14" spans="1:8">
      <c r="A691" s="2">
        <v>2550119</v>
      </c>
      <c r="B691" s="2" t="s">
        <v>1359</v>
      </c>
      <c r="C691" s="3" t="s">
        <v>725</v>
      </c>
      <c r="D691" s="4">
        <v>76586.72</v>
      </c>
      <c r="E691" s="4">
        <v>10.81</v>
      </c>
      <c r="F691" s="4">
        <v>827902.47</v>
      </c>
      <c r="G691" s="4">
        <v>10.81</v>
      </c>
      <c r="H691" s="4">
        <v>827902.47</v>
      </c>
    </row>
    <row r="692" s="1" customFormat="1" ht="14" spans="1:8">
      <c r="A692" s="2">
        <v>2550123</v>
      </c>
      <c r="B692" s="2" t="s">
        <v>1360</v>
      </c>
      <c r="C692" s="3" t="s">
        <v>472</v>
      </c>
      <c r="D692" s="4">
        <v>61.86</v>
      </c>
      <c r="E692" s="4">
        <v>5.39</v>
      </c>
      <c r="F692" s="4">
        <v>333.41</v>
      </c>
      <c r="G692" s="4">
        <v>5.39</v>
      </c>
      <c r="H692" s="4">
        <v>333.41</v>
      </c>
    </row>
    <row r="693" s="1" customFormat="1" ht="14" spans="1:8">
      <c r="A693" s="2">
        <v>2550124</v>
      </c>
      <c r="B693" s="2" t="s">
        <v>1361</v>
      </c>
      <c r="C693" s="3" t="s">
        <v>725</v>
      </c>
      <c r="D693" s="4">
        <v>45952.06</v>
      </c>
      <c r="E693" s="4">
        <v>7.38</v>
      </c>
      <c r="F693" s="4">
        <v>339126.08</v>
      </c>
      <c r="G693" s="4">
        <v>7.38</v>
      </c>
      <c r="H693" s="4">
        <v>339126.08</v>
      </c>
    </row>
    <row r="694" s="1" customFormat="1" ht="14" spans="1:8">
      <c r="A694" s="2">
        <v>2550127</v>
      </c>
      <c r="B694" s="2" t="s">
        <v>1362</v>
      </c>
      <c r="C694" s="3" t="s">
        <v>52</v>
      </c>
      <c r="D694" s="4">
        <v>269.7</v>
      </c>
      <c r="E694" s="4">
        <v>3.13</v>
      </c>
      <c r="F694" s="4">
        <v>844.16</v>
      </c>
      <c r="G694" s="4">
        <v>3.13</v>
      </c>
      <c r="H694" s="4">
        <v>844.16</v>
      </c>
    </row>
    <row r="695" s="1" customFormat="1" ht="14" spans="1:8">
      <c r="A695" s="2">
        <v>2550128</v>
      </c>
      <c r="B695" s="2" t="s">
        <v>1363</v>
      </c>
      <c r="C695" s="3" t="s">
        <v>52</v>
      </c>
      <c r="D695" s="4">
        <v>15730.19</v>
      </c>
      <c r="E695" s="4">
        <v>9.66</v>
      </c>
      <c r="F695" s="4">
        <v>151953.61</v>
      </c>
      <c r="G695" s="4">
        <v>9.66</v>
      </c>
      <c r="H695" s="4">
        <v>151953.61</v>
      </c>
    </row>
    <row r="696" s="1" customFormat="1" ht="14" spans="1:8">
      <c r="A696" s="2">
        <v>2550138</v>
      </c>
      <c r="B696" s="2" t="s">
        <v>1364</v>
      </c>
      <c r="C696" s="3" t="s">
        <v>52</v>
      </c>
      <c r="D696" s="4">
        <v>643.06</v>
      </c>
      <c r="E696" s="4">
        <v>3.72</v>
      </c>
      <c r="F696" s="4">
        <v>2392.19</v>
      </c>
      <c r="G696" s="4">
        <v>3.72</v>
      </c>
      <c r="H696" s="4">
        <v>2392.19</v>
      </c>
    </row>
    <row r="697" s="1" customFormat="1" ht="14" spans="1:8">
      <c r="A697" s="2">
        <v>2550140</v>
      </c>
      <c r="B697" s="2" t="s">
        <v>1365</v>
      </c>
      <c r="C697" s="3" t="s">
        <v>472</v>
      </c>
      <c r="D697" s="4">
        <v>6649.12</v>
      </c>
      <c r="E697" s="4">
        <v>3.32</v>
      </c>
      <c r="F697" s="4">
        <v>22075.12</v>
      </c>
      <c r="G697" s="4">
        <v>3.32</v>
      </c>
      <c r="H697" s="4">
        <v>22075.12</v>
      </c>
    </row>
    <row r="698" s="1" customFormat="1" ht="14" spans="1:8">
      <c r="A698" s="2">
        <v>2550147</v>
      </c>
      <c r="B698" s="2" t="s">
        <v>1366</v>
      </c>
      <c r="C698" s="3" t="s">
        <v>472</v>
      </c>
      <c r="D698" s="4">
        <v>949.49</v>
      </c>
      <c r="E698" s="4">
        <v>38.33</v>
      </c>
      <c r="F698" s="4">
        <v>36393.89</v>
      </c>
      <c r="G698" s="4">
        <v>38.33</v>
      </c>
      <c r="H698" s="4">
        <v>36393.89</v>
      </c>
    </row>
    <row r="699" s="1" customFormat="1" ht="14" spans="1:8">
      <c r="A699" s="2">
        <v>2550168</v>
      </c>
      <c r="B699" s="2" t="s">
        <v>1367</v>
      </c>
      <c r="C699" s="3" t="s">
        <v>52</v>
      </c>
      <c r="D699" s="4">
        <v>59.28</v>
      </c>
      <c r="E699" s="4">
        <v>7.72</v>
      </c>
      <c r="F699" s="4">
        <v>457.64</v>
      </c>
      <c r="G699" s="4">
        <v>7.72</v>
      </c>
      <c r="H699" s="4">
        <v>457.64</v>
      </c>
    </row>
    <row r="700" s="1" customFormat="1" ht="14" spans="1:8">
      <c r="A700" s="2">
        <v>2550316</v>
      </c>
      <c r="B700" s="2" t="s">
        <v>1368</v>
      </c>
      <c r="C700" s="3" t="s">
        <v>679</v>
      </c>
      <c r="D700" s="4">
        <v>1508.13</v>
      </c>
      <c r="E700" s="4">
        <v>299.15</v>
      </c>
      <c r="F700" s="4">
        <v>451153.7</v>
      </c>
      <c r="G700" s="4">
        <v>299.15</v>
      </c>
      <c r="H700" s="4">
        <v>451153.7</v>
      </c>
    </row>
    <row r="701" s="1" customFormat="1" ht="14" spans="1:8">
      <c r="A701" s="2">
        <v>2550416</v>
      </c>
      <c r="B701" s="2" t="s">
        <v>1369</v>
      </c>
      <c r="C701" s="3" t="s">
        <v>52</v>
      </c>
      <c r="D701" s="4">
        <v>2171.57</v>
      </c>
      <c r="E701" s="4">
        <v>3.08</v>
      </c>
      <c r="F701" s="4">
        <v>6688.45</v>
      </c>
      <c r="G701" s="4">
        <v>3.08</v>
      </c>
      <c r="H701" s="4">
        <v>6688.45</v>
      </c>
    </row>
    <row r="702" s="1" customFormat="1" ht="14" spans="1:8">
      <c r="A702" s="2">
        <v>2550423</v>
      </c>
      <c r="B702" s="2" t="s">
        <v>1370</v>
      </c>
      <c r="C702" s="3" t="s">
        <v>472</v>
      </c>
      <c r="D702" s="4">
        <v>3955.36</v>
      </c>
      <c r="E702" s="4">
        <v>47.25</v>
      </c>
      <c r="F702" s="4">
        <v>186890.57</v>
      </c>
      <c r="G702" s="4">
        <v>47.25</v>
      </c>
      <c r="H702" s="4">
        <v>186890.57</v>
      </c>
    </row>
    <row r="703" s="1" customFormat="1" ht="14" spans="1:8">
      <c r="A703" s="2">
        <v>2550425</v>
      </c>
      <c r="B703" s="2" t="s">
        <v>1371</v>
      </c>
      <c r="C703" s="3" t="s">
        <v>472</v>
      </c>
      <c r="D703" s="4">
        <v>1195.2</v>
      </c>
      <c r="E703" s="4">
        <v>23.64</v>
      </c>
      <c r="F703" s="4">
        <v>28254.52</v>
      </c>
      <c r="G703" s="4">
        <v>23.64</v>
      </c>
      <c r="H703" s="4">
        <v>28254.52</v>
      </c>
    </row>
    <row r="704" s="1" customFormat="1" ht="14" spans="1:8">
      <c r="A704" s="2">
        <v>2550426</v>
      </c>
      <c r="B704" s="2" t="s">
        <v>1372</v>
      </c>
      <c r="C704" s="3" t="s">
        <v>472</v>
      </c>
      <c r="D704" s="4">
        <v>57.6</v>
      </c>
      <c r="E704" s="4">
        <v>67.82</v>
      </c>
      <c r="F704" s="4">
        <v>3906.44</v>
      </c>
      <c r="G704" s="4">
        <v>67.82</v>
      </c>
      <c r="H704" s="4">
        <v>3906.44</v>
      </c>
    </row>
    <row r="705" s="1" customFormat="1" ht="14" spans="1:8">
      <c r="A705" s="2">
        <v>2550436</v>
      </c>
      <c r="B705" s="2" t="s">
        <v>1373</v>
      </c>
      <c r="C705" s="3" t="s">
        <v>52</v>
      </c>
      <c r="D705" s="4">
        <v>444.2</v>
      </c>
      <c r="E705" s="4">
        <v>1.29</v>
      </c>
      <c r="F705" s="4">
        <v>573</v>
      </c>
      <c r="G705" s="4">
        <v>1.29</v>
      </c>
      <c r="H705" s="4">
        <v>573</v>
      </c>
    </row>
    <row r="706" s="1" customFormat="1" ht="14" spans="1:8">
      <c r="A706" s="2">
        <v>2550476</v>
      </c>
      <c r="B706" s="2" t="s">
        <v>1374</v>
      </c>
      <c r="C706" s="3" t="s">
        <v>472</v>
      </c>
      <c r="D706" s="4">
        <v>3277.14</v>
      </c>
      <c r="E706" s="4">
        <v>133.15</v>
      </c>
      <c r="F706" s="4">
        <v>436350.92</v>
      </c>
      <c r="G706" s="4">
        <v>133.15</v>
      </c>
      <c r="H706" s="4">
        <v>436350.92</v>
      </c>
    </row>
    <row r="707" s="1" customFormat="1" ht="14" spans="1:8">
      <c r="A707" s="2">
        <v>2550483</v>
      </c>
      <c r="B707" s="2" t="s">
        <v>1375</v>
      </c>
      <c r="C707" s="3" t="s">
        <v>824</v>
      </c>
      <c r="D707" s="4">
        <v>161.55</v>
      </c>
      <c r="E707" s="4">
        <v>14.67</v>
      </c>
      <c r="F707" s="4">
        <v>2369.94</v>
      </c>
      <c r="G707" s="4">
        <v>14.67</v>
      </c>
      <c r="H707" s="4">
        <v>2369.94</v>
      </c>
    </row>
    <row r="708" s="1" customFormat="1" ht="14" spans="1:8">
      <c r="A708" s="2">
        <v>2550505</v>
      </c>
      <c r="B708" s="2" t="s">
        <v>1376</v>
      </c>
      <c r="C708" s="3" t="s">
        <v>679</v>
      </c>
      <c r="D708" s="4">
        <v>393.48</v>
      </c>
      <c r="E708" s="4">
        <v>102.89</v>
      </c>
      <c r="F708" s="4">
        <v>40485.17</v>
      </c>
      <c r="G708" s="4">
        <v>102.89</v>
      </c>
      <c r="H708" s="4">
        <v>40485.17</v>
      </c>
    </row>
    <row r="709" s="1" customFormat="1" ht="14" spans="1:8">
      <c r="A709" s="2">
        <v>2550506</v>
      </c>
      <c r="B709" s="2" t="s">
        <v>1377</v>
      </c>
      <c r="C709" s="3" t="s">
        <v>679</v>
      </c>
      <c r="D709" s="4">
        <v>7.56</v>
      </c>
      <c r="E709" s="4">
        <v>13.25</v>
      </c>
      <c r="F709" s="4">
        <v>100.17</v>
      </c>
      <c r="G709" s="4">
        <v>13.25</v>
      </c>
      <c r="H709" s="4">
        <v>100.17</v>
      </c>
    </row>
    <row r="710" s="1" customFormat="1" ht="14" spans="1:8">
      <c r="A710" s="2">
        <v>2550518</v>
      </c>
      <c r="B710" s="2" t="s">
        <v>1378</v>
      </c>
      <c r="C710" s="3" t="s">
        <v>679</v>
      </c>
      <c r="D710" s="4">
        <v>136.5</v>
      </c>
      <c r="E710" s="4">
        <v>14.22</v>
      </c>
      <c r="F710" s="4">
        <v>1941.03</v>
      </c>
      <c r="G710" s="4">
        <v>14.22</v>
      </c>
      <c r="H710" s="4">
        <v>1941.03</v>
      </c>
    </row>
    <row r="711" s="1" customFormat="1" ht="14" spans="1:8">
      <c r="A711" s="2">
        <v>2550521</v>
      </c>
      <c r="B711" s="2" t="s">
        <v>1379</v>
      </c>
      <c r="C711" s="3" t="s">
        <v>679</v>
      </c>
      <c r="D711" s="4">
        <v>20588.05</v>
      </c>
      <c r="E711" s="4">
        <v>24.01</v>
      </c>
      <c r="F711" s="4">
        <v>494319.22</v>
      </c>
      <c r="G711" s="4">
        <v>24.01</v>
      </c>
      <c r="H711" s="4">
        <v>494319.22</v>
      </c>
    </row>
    <row r="712" s="1" customFormat="1" ht="14" spans="1:8">
      <c r="A712" s="2">
        <v>2550523</v>
      </c>
      <c r="B712" s="2" t="s">
        <v>1380</v>
      </c>
      <c r="C712" s="3" t="s">
        <v>679</v>
      </c>
      <c r="D712" s="4">
        <v>595.34</v>
      </c>
      <c r="E712" s="4">
        <v>3.26</v>
      </c>
      <c r="F712" s="4">
        <v>1940.8</v>
      </c>
      <c r="G712" s="4">
        <v>3.26</v>
      </c>
      <c r="H712" s="4">
        <v>1940.8</v>
      </c>
    </row>
    <row r="713" s="1" customFormat="1" ht="14" spans="1:8">
      <c r="A713" s="2">
        <v>2550526</v>
      </c>
      <c r="B713" s="2" t="s">
        <v>1381</v>
      </c>
      <c r="C713" s="3" t="s">
        <v>45</v>
      </c>
      <c r="D713" s="4">
        <v>8386.35</v>
      </c>
      <c r="E713" s="4">
        <v>593.07</v>
      </c>
      <c r="F713" s="4">
        <v>4973690.76</v>
      </c>
      <c r="G713" s="4">
        <v>593.07</v>
      </c>
      <c r="H713" s="4">
        <v>4973690.76</v>
      </c>
    </row>
    <row r="714" s="1" customFormat="1" ht="14" spans="1:8">
      <c r="A714" s="2">
        <v>2550529</v>
      </c>
      <c r="B714" s="2" t="s">
        <v>1382</v>
      </c>
      <c r="C714" s="3" t="s">
        <v>679</v>
      </c>
      <c r="D714" s="4">
        <v>54639.24</v>
      </c>
      <c r="E714" s="4">
        <v>34.3</v>
      </c>
      <c r="F714" s="4">
        <v>1874125.91</v>
      </c>
      <c r="G714" s="4">
        <v>34.3</v>
      </c>
      <c r="H714" s="4">
        <v>1874125.91</v>
      </c>
    </row>
    <row r="715" s="1" customFormat="1" ht="14" spans="1:8">
      <c r="A715" s="2">
        <v>2550536</v>
      </c>
      <c r="B715" s="2" t="s">
        <v>1383</v>
      </c>
      <c r="C715" s="3" t="s">
        <v>679</v>
      </c>
      <c r="D715" s="4">
        <v>24.6</v>
      </c>
      <c r="E715" s="4">
        <v>342.98</v>
      </c>
      <c r="F715" s="4">
        <v>8437.33</v>
      </c>
      <c r="G715" s="4">
        <v>342.98</v>
      </c>
      <c r="H715" s="4">
        <v>8437.33</v>
      </c>
    </row>
    <row r="716" s="1" customFormat="1" ht="14" spans="1:8">
      <c r="A716" s="2">
        <v>2550538</v>
      </c>
      <c r="B716" s="2" t="s">
        <v>1384</v>
      </c>
      <c r="C716" s="3" t="s">
        <v>679</v>
      </c>
      <c r="D716" s="4">
        <v>81.28</v>
      </c>
      <c r="E716" s="4">
        <v>115.76</v>
      </c>
      <c r="F716" s="4">
        <v>9408.98</v>
      </c>
      <c r="G716" s="4">
        <v>115.76</v>
      </c>
      <c r="H716" s="4">
        <v>9408.98</v>
      </c>
    </row>
    <row r="717" s="1" customFormat="1" ht="14" spans="1:8">
      <c r="A717" s="2">
        <v>2550539</v>
      </c>
      <c r="B717" s="2" t="s">
        <v>1385</v>
      </c>
      <c r="C717" s="3" t="s">
        <v>679</v>
      </c>
      <c r="D717" s="4">
        <v>31.1</v>
      </c>
      <c r="E717" s="4">
        <v>192.93</v>
      </c>
      <c r="F717" s="4">
        <v>6000.12</v>
      </c>
      <c r="G717" s="4">
        <v>192.93</v>
      </c>
      <c r="H717" s="4">
        <v>6000.12</v>
      </c>
    </row>
    <row r="718" s="1" customFormat="1" ht="14" spans="1:8">
      <c r="A718" s="2">
        <v>2550561</v>
      </c>
      <c r="B718" s="2" t="s">
        <v>1386</v>
      </c>
      <c r="C718" s="3" t="s">
        <v>679</v>
      </c>
      <c r="D718" s="4">
        <v>10</v>
      </c>
      <c r="E718" s="4">
        <v>265.87</v>
      </c>
      <c r="F718" s="4">
        <v>2658.7</v>
      </c>
      <c r="G718" s="4">
        <v>265.87</v>
      </c>
      <c r="H718" s="4">
        <v>2658.7</v>
      </c>
    </row>
    <row r="719" s="1" customFormat="1" ht="14" spans="1:8">
      <c r="A719" s="2">
        <v>2550563</v>
      </c>
      <c r="B719" s="2" t="s">
        <v>1387</v>
      </c>
      <c r="C719" s="3" t="s">
        <v>472</v>
      </c>
      <c r="D719" s="4">
        <v>19586.95</v>
      </c>
      <c r="E719" s="4">
        <v>4.92</v>
      </c>
      <c r="F719" s="4">
        <v>96367.7</v>
      </c>
      <c r="G719" s="4">
        <v>4.92</v>
      </c>
      <c r="H719" s="4">
        <v>96367.7</v>
      </c>
    </row>
    <row r="720" s="1" customFormat="1" ht="14" spans="1:8">
      <c r="A720" s="2">
        <v>2550565</v>
      </c>
      <c r="B720" s="2" t="s">
        <v>1388</v>
      </c>
      <c r="C720" s="3" t="s">
        <v>472</v>
      </c>
      <c r="D720" s="4">
        <v>2298.07</v>
      </c>
      <c r="E720" s="4">
        <v>2.63</v>
      </c>
      <c r="F720" s="4">
        <v>6043.9</v>
      </c>
      <c r="G720" s="4">
        <v>2.63</v>
      </c>
      <c r="H720" s="4">
        <v>6043.9</v>
      </c>
    </row>
    <row r="721" s="1" customFormat="1" ht="14" spans="1:8">
      <c r="A721" s="2">
        <v>2550569</v>
      </c>
      <c r="B721" s="2" t="s">
        <v>1389</v>
      </c>
      <c r="C721" s="3" t="s">
        <v>472</v>
      </c>
      <c r="D721" s="4">
        <v>493</v>
      </c>
      <c r="E721" s="4">
        <v>3.22</v>
      </c>
      <c r="F721" s="4">
        <v>1587.44</v>
      </c>
      <c r="G721" s="4">
        <v>3.22</v>
      </c>
      <c r="H721" s="4">
        <v>1587.44</v>
      </c>
    </row>
    <row r="722" s="1" customFormat="1" ht="14" spans="1:8">
      <c r="A722" s="2">
        <v>2550574</v>
      </c>
      <c r="B722" s="2" t="s">
        <v>1390</v>
      </c>
      <c r="C722" s="3" t="s">
        <v>824</v>
      </c>
      <c r="D722" s="4">
        <v>89.2</v>
      </c>
      <c r="E722" s="4">
        <v>0.26</v>
      </c>
      <c r="F722" s="4">
        <v>23.2</v>
      </c>
      <c r="G722" s="4">
        <v>0.26</v>
      </c>
      <c r="H722" s="4">
        <v>23.2</v>
      </c>
    </row>
    <row r="723" s="1" customFormat="1" ht="14" spans="1:8">
      <c r="A723" s="2">
        <v>2550575</v>
      </c>
      <c r="B723" s="2" t="s">
        <v>1391</v>
      </c>
      <c r="C723" s="3" t="s">
        <v>824</v>
      </c>
      <c r="D723" s="4">
        <v>404</v>
      </c>
      <c r="E723" s="4">
        <v>0.26</v>
      </c>
      <c r="F723" s="4">
        <v>105.01</v>
      </c>
      <c r="G723" s="4">
        <v>0.26</v>
      </c>
      <c r="H723" s="4">
        <v>105.01</v>
      </c>
    </row>
    <row r="724" s="1" customFormat="1" ht="14" spans="1:8">
      <c r="A724" s="2">
        <v>2550585</v>
      </c>
      <c r="B724" s="2" t="s">
        <v>1392</v>
      </c>
      <c r="C724" s="3" t="s">
        <v>824</v>
      </c>
      <c r="D724" s="4">
        <v>13826.13</v>
      </c>
      <c r="E724" s="4">
        <v>0.58</v>
      </c>
      <c r="F724" s="4">
        <v>8019.12</v>
      </c>
      <c r="G724" s="4">
        <v>0.58</v>
      </c>
      <c r="H724" s="4">
        <v>8019.12</v>
      </c>
    </row>
    <row r="725" s="1" customFormat="1" ht="14" spans="1:8">
      <c r="A725" s="2">
        <v>2550586</v>
      </c>
      <c r="B725" s="2" t="s">
        <v>1393</v>
      </c>
      <c r="C725" s="3" t="s">
        <v>824</v>
      </c>
      <c r="D725" s="4">
        <v>137.49</v>
      </c>
      <c r="E725" s="4">
        <v>0.59</v>
      </c>
      <c r="F725" s="4">
        <v>81.15</v>
      </c>
      <c r="G725" s="4">
        <v>0.59</v>
      </c>
      <c r="H725" s="4">
        <v>81.15</v>
      </c>
    </row>
    <row r="726" s="1" customFormat="1" ht="14" spans="1:8">
      <c r="A726" s="2">
        <v>2550601</v>
      </c>
      <c r="B726" s="2" t="s">
        <v>1394</v>
      </c>
      <c r="C726" s="3" t="s">
        <v>472</v>
      </c>
      <c r="D726" s="4">
        <v>49326.64</v>
      </c>
      <c r="E726" s="4">
        <v>3.65</v>
      </c>
      <c r="F726" s="4">
        <v>180042.31</v>
      </c>
      <c r="G726" s="4">
        <v>3.65</v>
      </c>
      <c r="H726" s="4">
        <v>180042.31</v>
      </c>
    </row>
    <row r="727" s="1" customFormat="1" ht="14" spans="1:8">
      <c r="A727" s="2">
        <v>2550602</v>
      </c>
      <c r="B727" s="2" t="s">
        <v>1395</v>
      </c>
      <c r="C727" s="3" t="s">
        <v>472</v>
      </c>
      <c r="D727" s="4">
        <v>43752.67</v>
      </c>
      <c r="E727" s="4">
        <v>8.4</v>
      </c>
      <c r="F727" s="4">
        <v>367522.47</v>
      </c>
      <c r="G727" s="4">
        <v>8.4</v>
      </c>
      <c r="H727" s="4">
        <v>367522.47</v>
      </c>
    </row>
    <row r="728" s="1" customFormat="1" ht="14" spans="1:8">
      <c r="A728" s="2">
        <v>2550603</v>
      </c>
      <c r="B728" s="2" t="s">
        <v>1396</v>
      </c>
      <c r="C728" s="3" t="s">
        <v>824</v>
      </c>
      <c r="D728" s="4">
        <v>36902.51</v>
      </c>
      <c r="E728" s="4">
        <v>0.26</v>
      </c>
      <c r="F728" s="4">
        <v>9594.74</v>
      </c>
      <c r="G728" s="4">
        <v>0.26</v>
      </c>
      <c r="H728" s="4">
        <v>9594.74</v>
      </c>
    </row>
    <row r="729" s="1" customFormat="1" ht="14" spans="1:8">
      <c r="A729" s="2">
        <v>2550604</v>
      </c>
      <c r="B729" s="2" t="s">
        <v>1397</v>
      </c>
      <c r="C729" s="3" t="s">
        <v>824</v>
      </c>
      <c r="D729" s="4">
        <v>2674.97</v>
      </c>
      <c r="E729" s="4">
        <v>0.26</v>
      </c>
      <c r="F729" s="4">
        <v>695.49</v>
      </c>
      <c r="G729" s="4">
        <v>0.26</v>
      </c>
      <c r="H729" s="4">
        <v>695.49</v>
      </c>
    </row>
    <row r="730" s="1" customFormat="1" ht="14" spans="1:8">
      <c r="A730" s="2">
        <v>2550605</v>
      </c>
      <c r="B730" s="2" t="s">
        <v>1398</v>
      </c>
      <c r="C730" s="3" t="s">
        <v>824</v>
      </c>
      <c r="D730" s="4">
        <v>13353.33</v>
      </c>
      <c r="E730" s="4">
        <v>0.85</v>
      </c>
      <c r="F730" s="4">
        <v>11350.34</v>
      </c>
      <c r="G730" s="4">
        <v>0.85</v>
      </c>
      <c r="H730" s="4">
        <v>11350.34</v>
      </c>
    </row>
    <row r="731" s="1" customFormat="1" ht="14" spans="1:8">
      <c r="A731" s="2">
        <v>2550611</v>
      </c>
      <c r="B731" s="2" t="s">
        <v>1399</v>
      </c>
      <c r="C731" s="3" t="s">
        <v>472</v>
      </c>
      <c r="D731" s="4">
        <v>12748.1</v>
      </c>
      <c r="E731" s="4">
        <v>2.98</v>
      </c>
      <c r="F731" s="4">
        <v>37989.47</v>
      </c>
      <c r="G731" s="4">
        <v>2.98</v>
      </c>
      <c r="H731" s="4">
        <v>37989.47</v>
      </c>
    </row>
    <row r="732" s="1" customFormat="1" ht="14" spans="1:8">
      <c r="A732" s="2">
        <v>2550616</v>
      </c>
      <c r="B732" s="2" t="s">
        <v>1400</v>
      </c>
      <c r="C732" s="3" t="s">
        <v>824</v>
      </c>
      <c r="D732" s="4">
        <v>1970.84</v>
      </c>
      <c r="E732" s="4">
        <v>0.89</v>
      </c>
      <c r="F732" s="4">
        <v>1754.07</v>
      </c>
      <c r="G732" s="4">
        <v>0.89</v>
      </c>
      <c r="H732" s="4">
        <v>1754.07</v>
      </c>
    </row>
    <row r="733" s="1" customFormat="1" ht="14" spans="1:8">
      <c r="A733" s="2">
        <v>2550618</v>
      </c>
      <c r="B733" s="2" t="s">
        <v>1401</v>
      </c>
      <c r="C733" s="3" t="s">
        <v>472</v>
      </c>
      <c r="D733" s="4">
        <v>4612.2</v>
      </c>
      <c r="E733" s="4">
        <v>3.57</v>
      </c>
      <c r="F733" s="4">
        <v>16465.49</v>
      </c>
      <c r="G733" s="4">
        <v>3.57</v>
      </c>
      <c r="H733" s="4">
        <v>16465.49</v>
      </c>
    </row>
    <row r="734" s="1" customFormat="1" ht="14" spans="1:8">
      <c r="A734" s="2">
        <v>2550619</v>
      </c>
      <c r="B734" s="2" t="s">
        <v>1402</v>
      </c>
      <c r="C734" s="3" t="s">
        <v>472</v>
      </c>
      <c r="D734" s="4">
        <v>1359.78</v>
      </c>
      <c r="E734" s="4">
        <v>3.31</v>
      </c>
      <c r="F734" s="4">
        <v>4500.85</v>
      </c>
      <c r="G734" s="4">
        <v>3.31</v>
      </c>
      <c r="H734" s="4">
        <v>4500.85</v>
      </c>
    </row>
    <row r="735" s="1" customFormat="1" ht="14" spans="1:8">
      <c r="A735" s="2">
        <v>2550620</v>
      </c>
      <c r="B735" s="2" t="s">
        <v>1403</v>
      </c>
      <c r="C735" s="3" t="s">
        <v>472</v>
      </c>
      <c r="D735" s="4">
        <v>712.87</v>
      </c>
      <c r="E735" s="4">
        <v>3.14</v>
      </c>
      <c r="F735" s="4">
        <v>2238.43</v>
      </c>
      <c r="G735" s="4">
        <v>3.14</v>
      </c>
      <c r="H735" s="4">
        <v>2238.43</v>
      </c>
    </row>
    <row r="736" s="1" customFormat="1" ht="14" spans="1:8">
      <c r="A736" s="2">
        <v>2550621</v>
      </c>
      <c r="B736" s="2" t="s">
        <v>1404</v>
      </c>
      <c r="C736" s="3" t="s">
        <v>472</v>
      </c>
      <c r="D736" s="4">
        <v>771.28</v>
      </c>
      <c r="E736" s="4">
        <v>2.63</v>
      </c>
      <c r="F736" s="4">
        <v>2028.51</v>
      </c>
      <c r="G736" s="4">
        <v>2.63</v>
      </c>
      <c r="H736" s="4">
        <v>2028.51</v>
      </c>
    </row>
    <row r="737" s="1" customFormat="1" ht="14" spans="1:8">
      <c r="A737" s="2">
        <v>2550622</v>
      </c>
      <c r="B737" s="2" t="s">
        <v>1405</v>
      </c>
      <c r="C737" s="3" t="s">
        <v>824</v>
      </c>
      <c r="D737" s="4">
        <v>26.48</v>
      </c>
      <c r="E737" s="4">
        <v>0.26</v>
      </c>
      <c r="F737" s="4">
        <v>6.88</v>
      </c>
      <c r="G737" s="4">
        <v>0.26</v>
      </c>
      <c r="H737" s="4">
        <v>6.88</v>
      </c>
    </row>
    <row r="738" s="1" customFormat="1" ht="14" spans="1:8">
      <c r="A738" s="2">
        <v>2550623</v>
      </c>
      <c r="B738" s="2" t="s">
        <v>1406</v>
      </c>
      <c r="C738" s="3" t="s">
        <v>824</v>
      </c>
      <c r="D738" s="4">
        <v>816.31</v>
      </c>
      <c r="E738" s="4">
        <v>0.26</v>
      </c>
      <c r="F738" s="4">
        <v>212.29</v>
      </c>
      <c r="G738" s="4">
        <v>0.26</v>
      </c>
      <c r="H738" s="4">
        <v>212.29</v>
      </c>
    </row>
    <row r="739" s="1" customFormat="1" ht="14" spans="1:8">
      <c r="A739" s="2">
        <v>2550624</v>
      </c>
      <c r="B739" s="2" t="s">
        <v>1407</v>
      </c>
      <c r="C739" s="3" t="s">
        <v>824</v>
      </c>
      <c r="D739" s="4">
        <v>1403.93</v>
      </c>
      <c r="E739" s="4">
        <v>0.39</v>
      </c>
      <c r="F739" s="4">
        <v>547.56</v>
      </c>
      <c r="G739" s="4">
        <v>0.39</v>
      </c>
      <c r="H739" s="4">
        <v>547.56</v>
      </c>
    </row>
    <row r="740" s="1" customFormat="1" ht="14" spans="1:8">
      <c r="A740" s="2">
        <v>2550625</v>
      </c>
      <c r="B740" s="2" t="s">
        <v>1408</v>
      </c>
      <c r="C740" s="3" t="s">
        <v>824</v>
      </c>
      <c r="D740" s="4">
        <v>4915.02</v>
      </c>
      <c r="E740" s="4">
        <v>0.39</v>
      </c>
      <c r="F740" s="4">
        <v>1916.86</v>
      </c>
      <c r="G740" s="4">
        <v>0.39</v>
      </c>
      <c r="H740" s="4">
        <v>1916.86</v>
      </c>
    </row>
    <row r="741" s="1" customFormat="1" ht="14" spans="1:8">
      <c r="A741" s="2">
        <v>2550626</v>
      </c>
      <c r="B741" s="2" t="s">
        <v>1409</v>
      </c>
      <c r="C741" s="3" t="s">
        <v>824</v>
      </c>
      <c r="D741" s="4">
        <v>233.42</v>
      </c>
      <c r="E741" s="4">
        <v>0.26</v>
      </c>
      <c r="F741" s="4">
        <v>60.7</v>
      </c>
      <c r="G741" s="4">
        <v>0.26</v>
      </c>
      <c r="H741" s="4">
        <v>60.7</v>
      </c>
    </row>
    <row r="742" s="1" customFormat="1" ht="14" spans="1:8">
      <c r="A742" s="2">
        <v>2550627</v>
      </c>
      <c r="B742" s="2" t="s">
        <v>1410</v>
      </c>
      <c r="C742" s="3" t="s">
        <v>824</v>
      </c>
      <c r="D742" s="4">
        <v>1399.85</v>
      </c>
      <c r="E742" s="4">
        <v>0.26</v>
      </c>
      <c r="F742" s="4">
        <v>364</v>
      </c>
      <c r="G742" s="4">
        <v>0.26</v>
      </c>
      <c r="H742" s="4">
        <v>364</v>
      </c>
    </row>
    <row r="743" s="1" customFormat="1" ht="14" spans="1:8">
      <c r="A743" s="2">
        <v>2550628</v>
      </c>
      <c r="B743" s="2" t="s">
        <v>1411</v>
      </c>
      <c r="C743" s="3" t="s">
        <v>472</v>
      </c>
      <c r="D743" s="4">
        <v>1172.02</v>
      </c>
      <c r="E743" s="4">
        <v>3.65</v>
      </c>
      <c r="F743" s="4">
        <v>4277.87</v>
      </c>
      <c r="G743" s="4">
        <v>3.65</v>
      </c>
      <c r="H743" s="4">
        <v>4277.87</v>
      </c>
    </row>
    <row r="744" s="1" customFormat="1" ht="14" spans="1:8">
      <c r="A744" s="2">
        <v>2550630</v>
      </c>
      <c r="B744" s="2" t="s">
        <v>1412</v>
      </c>
      <c r="C744" s="3" t="s">
        <v>824</v>
      </c>
      <c r="D744" s="4">
        <v>1315.76</v>
      </c>
      <c r="E744" s="4">
        <v>0.45</v>
      </c>
      <c r="F744" s="4">
        <v>592.1</v>
      </c>
      <c r="G744" s="4">
        <v>0.45</v>
      </c>
      <c r="H744" s="4">
        <v>592.1</v>
      </c>
    </row>
    <row r="745" s="1" customFormat="1" ht="14" spans="1:8">
      <c r="A745" s="2">
        <v>2550636</v>
      </c>
      <c r="B745" s="2" t="s">
        <v>1413</v>
      </c>
      <c r="C745" s="3" t="s">
        <v>472</v>
      </c>
      <c r="D745" s="4">
        <v>3343.44</v>
      </c>
      <c r="E745" s="4">
        <v>3.54</v>
      </c>
      <c r="F745" s="4">
        <v>11835.78</v>
      </c>
      <c r="G745" s="4">
        <v>3.54</v>
      </c>
      <c r="H745" s="4">
        <v>11835.78</v>
      </c>
    </row>
    <row r="746" s="1" customFormat="1" ht="14" spans="1:8">
      <c r="A746" s="2">
        <v>2550649</v>
      </c>
      <c r="B746" s="2" t="s">
        <v>1414</v>
      </c>
      <c r="C746" s="3" t="s">
        <v>472</v>
      </c>
      <c r="D746" s="4">
        <v>148111.21</v>
      </c>
      <c r="E746" s="4">
        <v>4.17</v>
      </c>
      <c r="F746" s="4">
        <v>617623.81</v>
      </c>
      <c r="G746" s="4">
        <v>4.17</v>
      </c>
      <c r="H746" s="4">
        <v>617623.81</v>
      </c>
    </row>
    <row r="747" s="1" customFormat="1" ht="14" spans="1:8">
      <c r="A747" s="2">
        <v>2550650</v>
      </c>
      <c r="B747" s="2" t="s">
        <v>1415</v>
      </c>
      <c r="C747" s="3" t="s">
        <v>472</v>
      </c>
      <c r="D747" s="4">
        <v>44425.08</v>
      </c>
      <c r="E747" s="4">
        <v>3.86</v>
      </c>
      <c r="F747" s="4">
        <v>171480.89</v>
      </c>
      <c r="G747" s="4">
        <v>3.86</v>
      </c>
      <c r="H747" s="4">
        <v>171480.89</v>
      </c>
    </row>
    <row r="748" s="1" customFormat="1" ht="14" spans="1:8">
      <c r="A748" s="2">
        <v>2550655</v>
      </c>
      <c r="B748" s="2" t="s">
        <v>1416</v>
      </c>
      <c r="C748" s="3" t="s">
        <v>52</v>
      </c>
      <c r="D748" s="4">
        <v>223.58</v>
      </c>
      <c r="E748" s="4">
        <v>4.12</v>
      </c>
      <c r="F748" s="4">
        <v>921.12</v>
      </c>
      <c r="G748" s="4">
        <v>4.12</v>
      </c>
      <c r="H748" s="4">
        <v>921.12</v>
      </c>
    </row>
    <row r="749" s="1" customFormat="1" ht="14" spans="1:8">
      <c r="A749" s="2">
        <v>2550656</v>
      </c>
      <c r="B749" s="2" t="s">
        <v>1417</v>
      </c>
      <c r="C749" s="3" t="s">
        <v>679</v>
      </c>
      <c r="D749" s="4">
        <v>66.29</v>
      </c>
      <c r="E749" s="4">
        <v>748.72</v>
      </c>
      <c r="F749" s="4">
        <v>49630.38</v>
      </c>
      <c r="G749" s="4">
        <v>748.72</v>
      </c>
      <c r="H749" s="4">
        <v>49630.38</v>
      </c>
    </row>
    <row r="750" s="1" customFormat="1" ht="14" spans="1:8">
      <c r="A750" s="2">
        <v>2550657</v>
      </c>
      <c r="B750" s="2" t="s">
        <v>1418</v>
      </c>
      <c r="C750" s="3" t="s">
        <v>824</v>
      </c>
      <c r="D750" s="4">
        <v>44.14</v>
      </c>
      <c r="E750" s="4">
        <v>38.59</v>
      </c>
      <c r="F750" s="4">
        <v>1703.52</v>
      </c>
      <c r="G750" s="4">
        <v>38.59</v>
      </c>
      <c r="H750" s="4">
        <v>1703.52</v>
      </c>
    </row>
    <row r="751" s="1" customFormat="1" ht="14" spans="1:8">
      <c r="A751" s="2">
        <v>2550668</v>
      </c>
      <c r="B751" s="2" t="s">
        <v>1419</v>
      </c>
      <c r="C751" s="3" t="s">
        <v>679</v>
      </c>
      <c r="D751" s="4">
        <v>29.66</v>
      </c>
      <c r="E751" s="4">
        <v>790.57</v>
      </c>
      <c r="F751" s="4">
        <v>23451.47</v>
      </c>
      <c r="G751" s="4">
        <v>790.57</v>
      </c>
      <c r="H751" s="4">
        <v>23451.47</v>
      </c>
    </row>
    <row r="752" s="1" customFormat="1" ht="14" spans="1:8">
      <c r="A752" s="2">
        <v>2550669</v>
      </c>
      <c r="B752" s="2" t="s">
        <v>1420</v>
      </c>
      <c r="C752" s="3" t="s">
        <v>679</v>
      </c>
      <c r="D752" s="4">
        <v>38.88</v>
      </c>
      <c r="E752" s="4">
        <v>756.28</v>
      </c>
      <c r="F752" s="4">
        <v>29404.17</v>
      </c>
      <c r="G752" s="4">
        <v>756.28</v>
      </c>
      <c r="H752" s="4">
        <v>29404.17</v>
      </c>
    </row>
    <row r="753" s="1" customFormat="1" ht="14" spans="1:8">
      <c r="A753" s="2">
        <v>2550672</v>
      </c>
      <c r="B753" s="2" t="s">
        <v>1421</v>
      </c>
      <c r="C753" s="3" t="s">
        <v>876</v>
      </c>
      <c r="D753" s="4">
        <v>3</v>
      </c>
      <c r="E753" s="4">
        <v>12604.6</v>
      </c>
      <c r="F753" s="4">
        <v>37813.8</v>
      </c>
      <c r="G753" s="4">
        <v>12604.6</v>
      </c>
      <c r="H753" s="4">
        <v>37813.8</v>
      </c>
    </row>
    <row r="754" s="1" customFormat="1" ht="14" spans="1:8">
      <c r="A754" s="2">
        <v>2550675</v>
      </c>
      <c r="B754" s="2" t="s">
        <v>1422</v>
      </c>
      <c r="C754" s="3" t="s">
        <v>679</v>
      </c>
      <c r="D754" s="4">
        <v>1004.5</v>
      </c>
      <c r="E754" s="4">
        <v>185.21</v>
      </c>
      <c r="F754" s="4">
        <v>186043.45</v>
      </c>
      <c r="G754" s="4">
        <v>185.21</v>
      </c>
      <c r="H754" s="4">
        <v>186043.45</v>
      </c>
    </row>
    <row r="755" s="1" customFormat="1" ht="14" spans="1:8">
      <c r="A755" s="2">
        <v>2550676</v>
      </c>
      <c r="B755" s="2" t="s">
        <v>1423</v>
      </c>
      <c r="C755" s="3" t="s">
        <v>679</v>
      </c>
      <c r="D755" s="4">
        <v>28</v>
      </c>
      <c r="E755" s="4">
        <v>222.94</v>
      </c>
      <c r="F755" s="4">
        <v>6242.32</v>
      </c>
      <c r="G755" s="4">
        <v>222.94</v>
      </c>
      <c r="H755" s="4">
        <v>6242.32</v>
      </c>
    </row>
    <row r="756" s="1" customFormat="1" ht="14" spans="1:8">
      <c r="A756" s="2">
        <v>2550686</v>
      </c>
      <c r="B756" s="2" t="s">
        <v>1424</v>
      </c>
      <c r="C756" s="3" t="s">
        <v>679</v>
      </c>
      <c r="D756" s="4">
        <v>11.44</v>
      </c>
      <c r="E756" s="4">
        <v>354.99</v>
      </c>
      <c r="F756" s="4">
        <v>4061.09</v>
      </c>
      <c r="G756" s="4">
        <v>354.99</v>
      </c>
      <c r="H756" s="4">
        <v>4061.09</v>
      </c>
    </row>
    <row r="757" s="1" customFormat="1" ht="14" spans="1:8">
      <c r="A757" s="2">
        <v>2550687</v>
      </c>
      <c r="B757" s="2" t="s">
        <v>1425</v>
      </c>
      <c r="C757" s="3" t="s">
        <v>876</v>
      </c>
      <c r="D757" s="4">
        <v>3</v>
      </c>
      <c r="E757" s="4">
        <v>2469.47</v>
      </c>
      <c r="F757" s="4">
        <v>7408.41</v>
      </c>
      <c r="G757" s="4">
        <v>2469.47</v>
      </c>
      <c r="H757" s="4">
        <v>7408.41</v>
      </c>
    </row>
    <row r="758" s="1" customFormat="1" ht="14" spans="1:8">
      <c r="A758" s="2">
        <v>2550688</v>
      </c>
      <c r="B758" s="2" t="s">
        <v>1426</v>
      </c>
      <c r="C758" s="3" t="s">
        <v>679</v>
      </c>
      <c r="D758" s="4">
        <v>4.5</v>
      </c>
      <c r="E758" s="4">
        <v>501.61</v>
      </c>
      <c r="F758" s="4">
        <v>2257.25</v>
      </c>
      <c r="G758" s="4">
        <v>501.61</v>
      </c>
      <c r="H758" s="4">
        <v>2257.25</v>
      </c>
    </row>
    <row r="759" s="1" customFormat="1" ht="14" spans="1:8">
      <c r="A759" s="2">
        <v>2550690</v>
      </c>
      <c r="B759" s="2" t="s">
        <v>1427</v>
      </c>
      <c r="C759" s="3" t="s">
        <v>679</v>
      </c>
      <c r="D759" s="4">
        <v>2332.96</v>
      </c>
      <c r="E759" s="4">
        <v>351.56</v>
      </c>
      <c r="F759" s="4">
        <v>820177.64</v>
      </c>
      <c r="G759" s="4">
        <v>351.56</v>
      </c>
      <c r="H759" s="4">
        <v>820177.64</v>
      </c>
    </row>
    <row r="760" s="1" customFormat="1" ht="14" spans="1:8">
      <c r="A760" s="2">
        <v>2550692</v>
      </c>
      <c r="B760" s="2" t="s">
        <v>1428</v>
      </c>
      <c r="C760" s="3" t="s">
        <v>679</v>
      </c>
      <c r="D760" s="4">
        <v>24.64</v>
      </c>
      <c r="E760" s="4">
        <v>207.5</v>
      </c>
      <c r="F760" s="4">
        <v>5112.8</v>
      </c>
      <c r="G760" s="4">
        <v>207.5</v>
      </c>
      <c r="H760" s="4">
        <v>5112.8</v>
      </c>
    </row>
    <row r="761" s="1" customFormat="1" ht="14" spans="1:8">
      <c r="A761" s="2">
        <v>2550700</v>
      </c>
      <c r="B761" s="2" t="s">
        <v>1429</v>
      </c>
      <c r="C761" s="3" t="s">
        <v>472</v>
      </c>
      <c r="D761" s="4">
        <v>2939.74</v>
      </c>
      <c r="E761" s="4">
        <v>4.85</v>
      </c>
      <c r="F761" s="4">
        <v>14257.76</v>
      </c>
      <c r="G761" s="4">
        <v>4.85</v>
      </c>
      <c r="H761" s="4">
        <v>14257.76</v>
      </c>
    </row>
    <row r="762" s="1" customFormat="1" ht="14" spans="1:8">
      <c r="A762" s="2">
        <v>2550702</v>
      </c>
      <c r="B762" s="2" t="s">
        <v>1430</v>
      </c>
      <c r="C762" s="3" t="s">
        <v>472</v>
      </c>
      <c r="D762" s="4">
        <v>2249.25</v>
      </c>
      <c r="E762" s="4">
        <v>7.82</v>
      </c>
      <c r="F762" s="4">
        <v>17589.26</v>
      </c>
      <c r="G762" s="4">
        <v>7.82</v>
      </c>
      <c r="H762" s="4">
        <v>17589.26</v>
      </c>
    </row>
    <row r="763" s="1" customFormat="1" ht="14" spans="1:8">
      <c r="A763" s="2">
        <v>2550704</v>
      </c>
      <c r="B763" s="2" t="s">
        <v>1431</v>
      </c>
      <c r="C763" s="3" t="s">
        <v>472</v>
      </c>
      <c r="D763" s="4">
        <v>10</v>
      </c>
      <c r="E763" s="4">
        <v>18.11</v>
      </c>
      <c r="F763" s="4">
        <v>181.1</v>
      </c>
      <c r="G763" s="4">
        <v>18.11</v>
      </c>
      <c r="H763" s="4">
        <v>181.1</v>
      </c>
    </row>
    <row r="764" s="1" customFormat="1" ht="14" spans="1:8">
      <c r="A764" s="2">
        <v>2550752</v>
      </c>
      <c r="B764" s="2" t="s">
        <v>1432</v>
      </c>
      <c r="C764" s="3" t="s">
        <v>472</v>
      </c>
      <c r="D764" s="4">
        <v>90.66</v>
      </c>
      <c r="E764" s="4">
        <v>15.05</v>
      </c>
      <c r="F764" s="4">
        <v>1364.43</v>
      </c>
      <c r="G764" s="4">
        <v>15.05</v>
      </c>
      <c r="H764" s="4">
        <v>1364.43</v>
      </c>
    </row>
    <row r="765" s="1" customFormat="1" ht="14" spans="1:8">
      <c r="A765" s="2">
        <v>2550788</v>
      </c>
      <c r="B765" s="2" t="s">
        <v>1433</v>
      </c>
      <c r="C765" s="3" t="s">
        <v>679</v>
      </c>
      <c r="D765" s="4">
        <v>512.62</v>
      </c>
      <c r="E765" s="4">
        <v>49.82</v>
      </c>
      <c r="F765" s="4">
        <v>25538.37</v>
      </c>
      <c r="G765" s="4">
        <v>49.82</v>
      </c>
      <c r="H765" s="4">
        <v>25538.37</v>
      </c>
    </row>
    <row r="766" s="1" customFormat="1" ht="14" spans="1:8">
      <c r="A766" s="2">
        <v>2550790</v>
      </c>
      <c r="B766" s="2" t="s">
        <v>1434</v>
      </c>
      <c r="C766" s="3" t="s">
        <v>679</v>
      </c>
      <c r="D766" s="4">
        <v>32.6</v>
      </c>
      <c r="E766" s="4">
        <v>37.43</v>
      </c>
      <c r="F766" s="4">
        <v>1220.18</v>
      </c>
      <c r="G766" s="4">
        <v>37.43</v>
      </c>
      <c r="H766" s="4">
        <v>1220.18</v>
      </c>
    </row>
    <row r="767" s="1" customFormat="1" ht="14" spans="1:8">
      <c r="A767" s="2">
        <v>2550791</v>
      </c>
      <c r="B767" s="2" t="s">
        <v>1435</v>
      </c>
      <c r="C767" s="3" t="s">
        <v>679</v>
      </c>
      <c r="D767" s="4">
        <v>145.48</v>
      </c>
      <c r="E767" s="4">
        <v>51.45</v>
      </c>
      <c r="F767" s="4">
        <v>7484.88</v>
      </c>
      <c r="G767" s="4">
        <v>51.45</v>
      </c>
      <c r="H767" s="4">
        <v>7484.88</v>
      </c>
    </row>
    <row r="768" s="1" customFormat="1" ht="14" spans="1:8">
      <c r="A768" s="2">
        <v>2550792</v>
      </c>
      <c r="B768" s="2" t="s">
        <v>1436</v>
      </c>
      <c r="C768" s="3" t="s">
        <v>876</v>
      </c>
      <c r="D768" s="4">
        <v>1945.76</v>
      </c>
      <c r="E768" s="4">
        <v>60.02</v>
      </c>
      <c r="F768" s="4">
        <v>116784.54</v>
      </c>
      <c r="G768" s="4">
        <v>60.02</v>
      </c>
      <c r="H768" s="4">
        <v>116784.54</v>
      </c>
    </row>
    <row r="769" s="1" customFormat="1" ht="14" spans="1:8">
      <c r="A769" s="2">
        <v>2550800</v>
      </c>
      <c r="B769" s="2" t="s">
        <v>1437</v>
      </c>
      <c r="C769" s="3" t="s">
        <v>876</v>
      </c>
      <c r="D769" s="4">
        <v>68</v>
      </c>
      <c r="E769" s="4">
        <v>76.78</v>
      </c>
      <c r="F769" s="4">
        <v>5221.04</v>
      </c>
      <c r="G769" s="4">
        <v>76.78</v>
      </c>
      <c r="H769" s="4">
        <v>5221.04</v>
      </c>
    </row>
    <row r="770" s="1" customFormat="1" ht="14" spans="1:8">
      <c r="A770" s="2">
        <v>2550819</v>
      </c>
      <c r="B770" s="2" t="s">
        <v>1438</v>
      </c>
      <c r="C770" s="3" t="s">
        <v>824</v>
      </c>
      <c r="D770" s="4">
        <v>18.75</v>
      </c>
      <c r="E770" s="4">
        <v>5.92</v>
      </c>
      <c r="F770" s="4">
        <v>110.99</v>
      </c>
      <c r="G770" s="4">
        <v>5.92</v>
      </c>
      <c r="H770" s="4">
        <v>110.99</v>
      </c>
    </row>
    <row r="771" s="1" customFormat="1" ht="14" spans="1:8">
      <c r="A771" s="2">
        <v>2550839</v>
      </c>
      <c r="B771" s="2" t="s">
        <v>1439</v>
      </c>
      <c r="C771" s="3" t="s">
        <v>824</v>
      </c>
      <c r="D771" s="4">
        <v>1</v>
      </c>
      <c r="E771" s="4">
        <v>140.62</v>
      </c>
      <c r="F771" s="4">
        <v>140.62</v>
      </c>
      <c r="G771" s="4">
        <v>140.62</v>
      </c>
      <c r="H771" s="4">
        <v>140.62</v>
      </c>
    </row>
    <row r="772" s="1" customFormat="1" ht="14" spans="1:8">
      <c r="A772" s="2">
        <v>2550862</v>
      </c>
      <c r="B772" s="2" t="s">
        <v>1440</v>
      </c>
      <c r="C772" s="3" t="s">
        <v>824</v>
      </c>
      <c r="D772" s="4">
        <v>1</v>
      </c>
      <c r="E772" s="4">
        <v>1271.61</v>
      </c>
      <c r="F772" s="4">
        <v>1271.61</v>
      </c>
      <c r="G772" s="4">
        <v>1271.61</v>
      </c>
      <c r="H772" s="4">
        <v>1271.61</v>
      </c>
    </row>
    <row r="773" s="1" customFormat="1" ht="14" spans="1:8">
      <c r="A773" s="2">
        <v>2612115</v>
      </c>
      <c r="B773" s="2" t="s">
        <v>1441</v>
      </c>
      <c r="C773" s="3" t="s">
        <v>1442</v>
      </c>
      <c r="D773" s="4">
        <v>6</v>
      </c>
      <c r="E773" s="4">
        <v>2724.92</v>
      </c>
      <c r="F773" s="4">
        <v>16349.52</v>
      </c>
      <c r="G773" s="4">
        <v>2724.92</v>
      </c>
      <c r="H773" s="4">
        <v>16349.52</v>
      </c>
    </row>
    <row r="774" s="1" customFormat="1" ht="28" spans="1:8">
      <c r="A774" s="2">
        <v>2612116</v>
      </c>
      <c r="B774" s="2" t="s">
        <v>1443</v>
      </c>
      <c r="C774" s="3" t="s">
        <v>824</v>
      </c>
      <c r="D774" s="4">
        <v>202</v>
      </c>
      <c r="E774" s="4">
        <v>106.94</v>
      </c>
      <c r="F774" s="4">
        <v>21601.88</v>
      </c>
      <c r="G774" s="4">
        <v>106.94</v>
      </c>
      <c r="H774" s="4">
        <v>21601.88</v>
      </c>
    </row>
    <row r="775" s="1" customFormat="1" ht="28" spans="1:8">
      <c r="A775" s="2">
        <v>2613907</v>
      </c>
      <c r="B775" s="2" t="s">
        <v>1444</v>
      </c>
      <c r="C775" s="3" t="s">
        <v>472</v>
      </c>
      <c r="D775" s="4">
        <v>0</v>
      </c>
      <c r="E775" s="4">
        <v>531.62</v>
      </c>
      <c r="F775" s="4">
        <v>0</v>
      </c>
      <c r="G775" s="4">
        <v>531.62</v>
      </c>
      <c r="H775" s="4">
        <v>0</v>
      </c>
    </row>
    <row r="776" s="1" customFormat="1" ht="28" spans="1:8">
      <c r="A776" s="2">
        <v>2613908</v>
      </c>
      <c r="B776" s="2" t="s">
        <v>1445</v>
      </c>
      <c r="C776" s="3" t="s">
        <v>472</v>
      </c>
      <c r="D776" s="4">
        <v>0</v>
      </c>
      <c r="E776" s="4">
        <v>927.77</v>
      </c>
      <c r="F776" s="4">
        <v>0</v>
      </c>
      <c r="G776" s="4">
        <v>927.77</v>
      </c>
      <c r="H776" s="4">
        <v>0</v>
      </c>
    </row>
    <row r="777" s="1" customFormat="1" ht="14" spans="1:8">
      <c r="A777" s="2">
        <v>2622014</v>
      </c>
      <c r="B777" s="2" t="s">
        <v>1446</v>
      </c>
      <c r="C777" s="3" t="s">
        <v>52</v>
      </c>
      <c r="D777" s="4">
        <v>4811.04</v>
      </c>
      <c r="E777" s="4">
        <v>6</v>
      </c>
      <c r="F777" s="4">
        <v>28866.24</v>
      </c>
      <c r="G777" s="4">
        <v>6</v>
      </c>
      <c r="H777" s="4">
        <v>28866.24</v>
      </c>
    </row>
    <row r="778" s="1" customFormat="1" ht="14" spans="1:8">
      <c r="A778" s="2">
        <v>2624010</v>
      </c>
      <c r="B778" s="2" t="s">
        <v>1447</v>
      </c>
      <c r="C778" s="3" t="s">
        <v>29</v>
      </c>
      <c r="D778" s="4">
        <v>206.33</v>
      </c>
      <c r="E778" s="4">
        <v>5779.22</v>
      </c>
      <c r="F778" s="4">
        <v>1192426.44</v>
      </c>
      <c r="G778" s="4">
        <v>5779.22</v>
      </c>
      <c r="H778" s="4">
        <v>1192426.44</v>
      </c>
    </row>
    <row r="779" s="1" customFormat="1" ht="14" spans="1:8">
      <c r="A779" s="2">
        <v>2624011</v>
      </c>
      <c r="B779" s="2" t="s">
        <v>1448</v>
      </c>
      <c r="C779" s="3" t="s">
        <v>29</v>
      </c>
      <c r="D779" s="4">
        <v>52.11</v>
      </c>
      <c r="E779" s="4">
        <v>5779.22</v>
      </c>
      <c r="F779" s="4">
        <v>301160.93</v>
      </c>
      <c r="G779" s="4">
        <v>5779.22</v>
      </c>
      <c r="H779" s="4">
        <v>301160.93</v>
      </c>
    </row>
    <row r="780" s="1" customFormat="1" ht="14" spans="1:8">
      <c r="A780" s="2">
        <v>2624033</v>
      </c>
      <c r="B780" s="2" t="s">
        <v>1449</v>
      </c>
      <c r="C780" s="3" t="s">
        <v>29</v>
      </c>
      <c r="D780" s="4">
        <v>220.41</v>
      </c>
      <c r="E780" s="4">
        <v>4514.72</v>
      </c>
      <c r="F780" s="4">
        <v>995102.99</v>
      </c>
      <c r="G780" s="4">
        <v>4514.72</v>
      </c>
      <c r="H780" s="4">
        <v>995102.99</v>
      </c>
    </row>
    <row r="781" s="1" customFormat="1" ht="14" spans="1:8">
      <c r="A781" s="2">
        <v>2624034</v>
      </c>
      <c r="B781" s="2" t="s">
        <v>1450</v>
      </c>
      <c r="C781" s="3" t="s">
        <v>29</v>
      </c>
      <c r="D781" s="4">
        <v>199.8</v>
      </c>
      <c r="E781" s="4">
        <v>6801.6</v>
      </c>
      <c r="F781" s="4">
        <v>1358959.68</v>
      </c>
      <c r="G781" s="4">
        <v>6801.6</v>
      </c>
      <c r="H781" s="4">
        <v>1358959.68</v>
      </c>
    </row>
    <row r="782" s="1" customFormat="1" ht="14" spans="1:8">
      <c r="A782" s="2">
        <v>2700016</v>
      </c>
      <c r="B782" s="2" t="s">
        <v>1451</v>
      </c>
      <c r="C782" s="3" t="s">
        <v>725</v>
      </c>
      <c r="D782" s="4">
        <v>460.41</v>
      </c>
      <c r="E782" s="4">
        <v>1759.46</v>
      </c>
      <c r="F782" s="4">
        <v>810072.98</v>
      </c>
      <c r="G782" s="4">
        <v>1759.46</v>
      </c>
      <c r="H782" s="4">
        <v>810072.98</v>
      </c>
    </row>
    <row r="783" s="1" customFormat="1" ht="14" spans="1:8">
      <c r="A783" s="2">
        <v>2700018</v>
      </c>
      <c r="B783" s="2" t="s">
        <v>1452</v>
      </c>
      <c r="C783" s="3" t="s">
        <v>725</v>
      </c>
      <c r="D783" s="4">
        <v>14</v>
      </c>
      <c r="E783" s="4">
        <v>2818.17</v>
      </c>
      <c r="F783" s="4">
        <v>39454.38</v>
      </c>
      <c r="G783" s="4">
        <v>2818.17</v>
      </c>
      <c r="H783" s="4">
        <v>39454.38</v>
      </c>
    </row>
    <row r="784" s="1" customFormat="1" ht="14" spans="1:8">
      <c r="A784" s="2">
        <v>2700062</v>
      </c>
      <c r="B784" s="2" t="s">
        <v>1453</v>
      </c>
      <c r="C784" s="3" t="s">
        <v>29</v>
      </c>
      <c r="D784" s="4">
        <v>981.5</v>
      </c>
      <c r="E784" s="4">
        <v>3165.52</v>
      </c>
      <c r="F784" s="4">
        <v>3106983.29</v>
      </c>
      <c r="G784" s="4">
        <v>3165.52</v>
      </c>
      <c r="H784" s="4">
        <v>3106983.29</v>
      </c>
    </row>
    <row r="785" s="1" customFormat="1" ht="14" spans="1:8">
      <c r="A785" s="2">
        <v>2700211</v>
      </c>
      <c r="B785" s="2" t="s">
        <v>1454</v>
      </c>
      <c r="C785" s="3" t="s">
        <v>725</v>
      </c>
      <c r="D785" s="4">
        <v>61.29</v>
      </c>
      <c r="E785" s="4">
        <v>4773.4</v>
      </c>
      <c r="F785" s="4">
        <v>292571.23</v>
      </c>
      <c r="G785" s="4">
        <v>4739.025</v>
      </c>
      <c r="H785" s="4">
        <v>290464.32</v>
      </c>
    </row>
    <row r="786" s="1" customFormat="1" ht="14" spans="1:8">
      <c r="A786" s="2">
        <v>2700212</v>
      </c>
      <c r="B786" s="2" t="s">
        <v>1455</v>
      </c>
      <c r="C786" s="3" t="s">
        <v>725</v>
      </c>
      <c r="D786" s="4">
        <v>0</v>
      </c>
      <c r="E786" s="4">
        <v>2752.42</v>
      </c>
      <c r="F786" s="4">
        <v>0</v>
      </c>
      <c r="G786" s="4">
        <v>2734.868</v>
      </c>
      <c r="H786" s="4">
        <v>0</v>
      </c>
    </row>
    <row r="787" s="1" customFormat="1" ht="14" spans="1:8">
      <c r="A787" s="2">
        <v>2700213</v>
      </c>
      <c r="B787" s="2" t="s">
        <v>1456</v>
      </c>
      <c r="C787" s="3" t="s">
        <v>725</v>
      </c>
      <c r="D787" s="4">
        <v>195</v>
      </c>
      <c r="E787" s="4">
        <v>5506.94</v>
      </c>
      <c r="F787" s="4">
        <v>1073858.8</v>
      </c>
      <c r="G787" s="4">
        <v>5469.735</v>
      </c>
      <c r="H787" s="4">
        <v>1066603.81</v>
      </c>
    </row>
    <row r="788" s="1" customFormat="1" ht="28" spans="1:8">
      <c r="A788" s="2">
        <v>2700214</v>
      </c>
      <c r="B788" s="2" t="s">
        <v>1457</v>
      </c>
      <c r="C788" s="3" t="s">
        <v>725</v>
      </c>
      <c r="D788" s="4">
        <v>7.76</v>
      </c>
      <c r="E788" s="4">
        <v>6451.47</v>
      </c>
      <c r="F788" s="4">
        <v>50115.01</v>
      </c>
      <c r="G788" s="4">
        <v>6438.72</v>
      </c>
      <c r="H788" s="4">
        <v>50015.98</v>
      </c>
    </row>
    <row r="789" s="1" customFormat="1" ht="28" spans="1:8">
      <c r="A789" s="2">
        <v>2700216</v>
      </c>
      <c r="B789" s="2" t="s">
        <v>1458</v>
      </c>
      <c r="C789" s="3" t="s">
        <v>725</v>
      </c>
      <c r="D789" s="4">
        <v>14.04</v>
      </c>
      <c r="E789" s="4">
        <v>6416.6</v>
      </c>
      <c r="F789" s="4">
        <v>90063.39</v>
      </c>
      <c r="G789" s="4">
        <v>6438.72</v>
      </c>
      <c r="H789" s="4">
        <v>90373.87</v>
      </c>
    </row>
    <row r="790" s="1" customFormat="1" ht="14" spans="1:8">
      <c r="A790" s="2">
        <v>2700224</v>
      </c>
      <c r="B790" s="2" t="s">
        <v>1459</v>
      </c>
      <c r="C790" s="3" t="s">
        <v>725</v>
      </c>
      <c r="D790" s="4">
        <v>0</v>
      </c>
      <c r="E790" s="4">
        <v>27890.98</v>
      </c>
      <c r="F790" s="4">
        <v>0</v>
      </c>
      <c r="G790" s="4">
        <v>27171.52</v>
      </c>
      <c r="H790" s="4">
        <v>0</v>
      </c>
    </row>
    <row r="791" s="1" customFormat="1" ht="14" spans="1:8">
      <c r="A791" s="2">
        <v>2700311</v>
      </c>
      <c r="B791" s="2" t="s">
        <v>1460</v>
      </c>
      <c r="C791" s="3" t="s">
        <v>725</v>
      </c>
      <c r="D791" s="4">
        <v>10.01</v>
      </c>
      <c r="E791" s="4">
        <v>4106.63</v>
      </c>
      <c r="F791" s="4">
        <v>41107.37</v>
      </c>
      <c r="G791" s="4">
        <v>4106.63</v>
      </c>
      <c r="H791" s="4">
        <v>41107.37</v>
      </c>
    </row>
    <row r="792" s="1" customFormat="1" ht="14" spans="1:8">
      <c r="A792" s="2">
        <v>2700313</v>
      </c>
      <c r="B792" s="2" t="s">
        <v>1461</v>
      </c>
      <c r="C792" s="3" t="s">
        <v>725</v>
      </c>
      <c r="D792" s="4">
        <v>74.31</v>
      </c>
      <c r="E792" s="4">
        <v>4831.7</v>
      </c>
      <c r="F792" s="4">
        <v>359053.3</v>
      </c>
      <c r="G792" s="4">
        <v>4831.7</v>
      </c>
      <c r="H792" s="4">
        <v>359053.3</v>
      </c>
    </row>
    <row r="793" s="1" customFormat="1" ht="14" spans="1:8">
      <c r="A793" s="2">
        <v>2700401</v>
      </c>
      <c r="B793" s="2" t="s">
        <v>1462</v>
      </c>
      <c r="C793" s="3" t="s">
        <v>725</v>
      </c>
      <c r="D793" s="4">
        <v>28.8</v>
      </c>
      <c r="E793" s="4">
        <v>6451.47</v>
      </c>
      <c r="F793" s="4">
        <v>185815.24</v>
      </c>
      <c r="G793" s="4">
        <v>6451.47</v>
      </c>
      <c r="H793" s="4">
        <v>185815.24</v>
      </c>
    </row>
    <row r="794" s="1" customFormat="1" ht="14" spans="1:8">
      <c r="A794" s="2">
        <v>2710015</v>
      </c>
      <c r="B794" s="2" t="s">
        <v>1463</v>
      </c>
      <c r="C794" s="3" t="s">
        <v>843</v>
      </c>
      <c r="D794" s="4">
        <v>36</v>
      </c>
      <c r="E794" s="4">
        <v>72.57</v>
      </c>
      <c r="F794" s="4">
        <v>2612.52</v>
      </c>
      <c r="G794" s="4">
        <v>72.57</v>
      </c>
      <c r="H794" s="4">
        <v>2612.52</v>
      </c>
    </row>
    <row r="795" s="1" customFormat="1" ht="14" spans="1:8">
      <c r="A795" s="2">
        <v>2710017</v>
      </c>
      <c r="B795" s="2" t="s">
        <v>1464</v>
      </c>
      <c r="C795" s="3" t="s">
        <v>843</v>
      </c>
      <c r="D795" s="4">
        <v>5425.77</v>
      </c>
      <c r="E795" s="4">
        <v>84.93</v>
      </c>
      <c r="F795" s="4">
        <v>460811.9</v>
      </c>
      <c r="G795" s="4">
        <v>84.93</v>
      </c>
      <c r="H795" s="4">
        <v>460811.9</v>
      </c>
    </row>
    <row r="796" s="1" customFormat="1" ht="14" spans="1:8">
      <c r="A796" s="2">
        <v>2710018</v>
      </c>
      <c r="B796" s="2" t="s">
        <v>1465</v>
      </c>
      <c r="C796" s="3" t="s">
        <v>843</v>
      </c>
      <c r="D796" s="4">
        <v>6006.53</v>
      </c>
      <c r="E796" s="4">
        <v>108.86</v>
      </c>
      <c r="F796" s="4">
        <v>653872.69</v>
      </c>
      <c r="G796" s="4">
        <v>108.86</v>
      </c>
      <c r="H796" s="4">
        <v>653872.69</v>
      </c>
    </row>
    <row r="797" s="1" customFormat="1" ht="14" spans="1:8">
      <c r="A797" s="2">
        <v>2711010</v>
      </c>
      <c r="B797" s="2" t="s">
        <v>1466</v>
      </c>
      <c r="C797" s="3" t="s">
        <v>52</v>
      </c>
      <c r="D797" s="4">
        <v>52682.01</v>
      </c>
      <c r="E797" s="4">
        <v>6.18</v>
      </c>
      <c r="F797" s="4">
        <v>325574.88</v>
      </c>
      <c r="G797" s="4">
        <v>6.18</v>
      </c>
      <c r="H797" s="4">
        <v>325574.88</v>
      </c>
    </row>
    <row r="798" s="1" customFormat="1" ht="14" spans="1:8">
      <c r="A798" s="2">
        <v>2711011</v>
      </c>
      <c r="B798" s="2" t="s">
        <v>1467</v>
      </c>
      <c r="C798" s="3" t="s">
        <v>876</v>
      </c>
      <c r="D798" s="4">
        <v>217.08</v>
      </c>
      <c r="E798" s="4">
        <v>3.86</v>
      </c>
      <c r="F798" s="4">
        <v>837.94</v>
      </c>
      <c r="G798" s="4">
        <v>3.86</v>
      </c>
      <c r="H798" s="4">
        <v>837.94</v>
      </c>
    </row>
    <row r="799" s="1" customFormat="1" ht="14" spans="1:8">
      <c r="A799" s="2">
        <v>2711012</v>
      </c>
      <c r="B799" s="2" t="s">
        <v>1468</v>
      </c>
      <c r="C799" s="3" t="s">
        <v>876</v>
      </c>
      <c r="D799" s="4">
        <v>22792.28</v>
      </c>
      <c r="E799" s="4">
        <v>4.22</v>
      </c>
      <c r="F799" s="4">
        <v>96183.48</v>
      </c>
      <c r="G799" s="4">
        <v>4.22</v>
      </c>
      <c r="H799" s="4">
        <v>96183.48</v>
      </c>
    </row>
    <row r="800" s="1" customFormat="1" ht="14" spans="1:8">
      <c r="A800" s="2">
        <v>2711013</v>
      </c>
      <c r="B800" s="2" t="s">
        <v>1469</v>
      </c>
      <c r="C800" s="3" t="s">
        <v>876</v>
      </c>
      <c r="D800" s="4">
        <v>17754.04</v>
      </c>
      <c r="E800" s="4">
        <v>4.13</v>
      </c>
      <c r="F800" s="4">
        <v>73324.17</v>
      </c>
      <c r="G800" s="4">
        <v>4.13</v>
      </c>
      <c r="H800" s="4">
        <v>73324.17</v>
      </c>
    </row>
    <row r="801" s="1" customFormat="1" ht="14" spans="1:8">
      <c r="A801" s="2">
        <v>2711015</v>
      </c>
      <c r="B801" s="2" t="s">
        <v>1470</v>
      </c>
      <c r="C801" s="3" t="s">
        <v>52</v>
      </c>
      <c r="D801" s="4">
        <v>127.55</v>
      </c>
      <c r="E801" s="4">
        <v>6.68</v>
      </c>
      <c r="F801" s="4">
        <v>851.99</v>
      </c>
      <c r="G801" s="4">
        <v>6.68</v>
      </c>
      <c r="H801" s="4">
        <v>851.99</v>
      </c>
    </row>
    <row r="802" s="1" customFormat="1" ht="14" spans="1:8">
      <c r="A802" s="2">
        <v>2712010</v>
      </c>
      <c r="B802" s="2" t="s">
        <v>1471</v>
      </c>
      <c r="C802" s="3" t="s">
        <v>824</v>
      </c>
      <c r="D802" s="4">
        <v>108</v>
      </c>
      <c r="E802" s="4">
        <v>0.54</v>
      </c>
      <c r="F802" s="4">
        <v>58.32</v>
      </c>
      <c r="G802" s="4">
        <v>0.54</v>
      </c>
      <c r="H802" s="4">
        <v>58.32</v>
      </c>
    </row>
    <row r="803" s="1" customFormat="1" ht="14" spans="1:8">
      <c r="A803" s="2">
        <v>2712011</v>
      </c>
      <c r="B803" s="2" t="s">
        <v>1472</v>
      </c>
      <c r="C803" s="3" t="s">
        <v>824</v>
      </c>
      <c r="D803" s="4">
        <v>16546.34</v>
      </c>
      <c r="E803" s="4">
        <v>0.62</v>
      </c>
      <c r="F803" s="4">
        <v>10258.74</v>
      </c>
      <c r="G803" s="4">
        <v>0.62</v>
      </c>
      <c r="H803" s="4">
        <v>10258.74</v>
      </c>
    </row>
    <row r="804" s="1" customFormat="1" ht="14" spans="1:8">
      <c r="A804" s="2">
        <v>2712012</v>
      </c>
      <c r="B804" s="2" t="s">
        <v>1473</v>
      </c>
      <c r="C804" s="3" t="s">
        <v>824</v>
      </c>
      <c r="D804" s="4">
        <v>18148.18</v>
      </c>
      <c r="E804" s="4">
        <v>0.66</v>
      </c>
      <c r="F804" s="4">
        <v>11977.8</v>
      </c>
      <c r="G804" s="4">
        <v>0.66</v>
      </c>
      <c r="H804" s="4">
        <v>11977.8</v>
      </c>
    </row>
    <row r="805" s="1" customFormat="1" ht="14" spans="1:8">
      <c r="A805" s="2">
        <v>2713012</v>
      </c>
      <c r="B805" s="2" t="s">
        <v>1474</v>
      </c>
      <c r="C805" s="3" t="s">
        <v>843</v>
      </c>
      <c r="D805" s="4">
        <v>381.9</v>
      </c>
      <c r="E805" s="4">
        <v>16.31</v>
      </c>
      <c r="F805" s="4">
        <v>6228.78</v>
      </c>
      <c r="G805" s="4">
        <v>16.31</v>
      </c>
      <c r="H805" s="4">
        <v>6228.78</v>
      </c>
    </row>
    <row r="806" s="1" customFormat="1" ht="14" spans="1:8">
      <c r="A806" s="2">
        <v>2713210</v>
      </c>
      <c r="B806" s="2" t="s">
        <v>1475</v>
      </c>
      <c r="C806" s="3" t="s">
        <v>843</v>
      </c>
      <c r="D806" s="4">
        <v>3160.2</v>
      </c>
      <c r="E806" s="4">
        <v>2.49</v>
      </c>
      <c r="F806" s="4">
        <v>7868.9</v>
      </c>
      <c r="G806" s="4">
        <v>2.49</v>
      </c>
      <c r="H806" s="4">
        <v>7868.9</v>
      </c>
    </row>
    <row r="807" s="1" customFormat="1" ht="14" spans="1:8">
      <c r="A807" s="2">
        <v>2713212</v>
      </c>
      <c r="B807" s="2" t="s">
        <v>1476</v>
      </c>
      <c r="C807" s="3" t="s">
        <v>843</v>
      </c>
      <c r="D807" s="4">
        <v>27805.34</v>
      </c>
      <c r="E807" s="4">
        <v>2.28</v>
      </c>
      <c r="F807" s="4">
        <v>63396.19</v>
      </c>
      <c r="G807" s="4">
        <v>2.28</v>
      </c>
      <c r="H807" s="4">
        <v>63396.19</v>
      </c>
    </row>
    <row r="808" s="1" customFormat="1" ht="14" spans="1:8">
      <c r="A808" s="2">
        <v>2713254</v>
      </c>
      <c r="B808" s="2" t="s">
        <v>1477</v>
      </c>
      <c r="C808" s="3" t="s">
        <v>679</v>
      </c>
      <c r="D808" s="4">
        <v>9.48</v>
      </c>
      <c r="E808" s="4">
        <v>44.86</v>
      </c>
      <c r="F808" s="4">
        <v>425.19</v>
      </c>
      <c r="G808" s="4">
        <v>44.86</v>
      </c>
      <c r="H808" s="4">
        <v>425.19</v>
      </c>
    </row>
    <row r="809" s="1" customFormat="1" ht="14" spans="1:8">
      <c r="A809" s="2">
        <v>2713255</v>
      </c>
      <c r="B809" s="2" t="s">
        <v>1478</v>
      </c>
      <c r="C809" s="3" t="s">
        <v>679</v>
      </c>
      <c r="D809" s="4">
        <v>3</v>
      </c>
      <c r="E809" s="4">
        <v>546.44</v>
      </c>
      <c r="F809" s="4">
        <v>1639.32</v>
      </c>
      <c r="G809" s="4">
        <v>546.44</v>
      </c>
      <c r="H809" s="4">
        <v>1639.32</v>
      </c>
    </row>
    <row r="810" s="1" customFormat="1" ht="14" spans="1:8">
      <c r="A810" s="2">
        <v>2713257</v>
      </c>
      <c r="B810" s="2" t="s">
        <v>1479</v>
      </c>
      <c r="C810" s="3" t="s">
        <v>843</v>
      </c>
      <c r="D810" s="4">
        <v>36</v>
      </c>
      <c r="E810" s="4">
        <v>36.46</v>
      </c>
      <c r="F810" s="4">
        <v>1312.56</v>
      </c>
      <c r="G810" s="4">
        <v>36.46</v>
      </c>
      <c r="H810" s="4">
        <v>1312.56</v>
      </c>
    </row>
    <row r="811" s="1" customFormat="1" ht="14" spans="1:8">
      <c r="A811" s="2">
        <v>2715010</v>
      </c>
      <c r="B811" s="2" t="s">
        <v>1480</v>
      </c>
      <c r="C811" s="3" t="s">
        <v>725</v>
      </c>
      <c r="D811" s="4">
        <v>38</v>
      </c>
      <c r="E811" s="4">
        <v>84.93</v>
      </c>
      <c r="F811" s="4">
        <v>3227.34</v>
      </c>
      <c r="G811" s="4">
        <v>84.93</v>
      </c>
      <c r="H811" s="4">
        <v>3227.34</v>
      </c>
    </row>
    <row r="812" s="1" customFormat="1" ht="14" spans="1:8">
      <c r="A812" s="2">
        <v>2715110</v>
      </c>
      <c r="B812" s="2" t="s">
        <v>1481</v>
      </c>
      <c r="C812" s="3" t="s">
        <v>725</v>
      </c>
      <c r="D812" s="4">
        <v>2664.32</v>
      </c>
      <c r="E812" s="4">
        <v>115.04</v>
      </c>
      <c r="F812" s="4">
        <v>306503.15</v>
      </c>
      <c r="G812" s="4">
        <v>115.04</v>
      </c>
      <c r="H812" s="4">
        <v>306503.15</v>
      </c>
    </row>
    <row r="813" s="1" customFormat="1" ht="14" spans="1:8">
      <c r="A813" s="2">
        <v>2715112</v>
      </c>
      <c r="B813" s="2" t="s">
        <v>1482</v>
      </c>
      <c r="C813" s="3" t="s">
        <v>725</v>
      </c>
      <c r="D813" s="4">
        <v>355.71</v>
      </c>
      <c r="E813" s="4">
        <v>129.7</v>
      </c>
      <c r="F813" s="4">
        <v>46135.59</v>
      </c>
      <c r="G813" s="4">
        <v>129.7</v>
      </c>
      <c r="H813" s="4">
        <v>46135.59</v>
      </c>
    </row>
    <row r="814" s="1" customFormat="1" ht="14" spans="1:8">
      <c r="A814" s="2">
        <v>2720218</v>
      </c>
      <c r="B814" s="2" t="s">
        <v>1483</v>
      </c>
      <c r="C814" s="3" t="s">
        <v>1484</v>
      </c>
      <c r="D814" s="4">
        <v>1.4</v>
      </c>
      <c r="E814" s="4">
        <v>112761.11</v>
      </c>
      <c r="F814" s="4">
        <v>157865.56</v>
      </c>
      <c r="G814" s="4">
        <v>123392</v>
      </c>
      <c r="H814" s="4">
        <v>172748.8</v>
      </c>
    </row>
    <row r="815" s="1" customFormat="1" ht="14" spans="1:8">
      <c r="A815" s="2">
        <v>2741010</v>
      </c>
      <c r="B815" s="2" t="s">
        <v>1485</v>
      </c>
      <c r="C815" s="3" t="s">
        <v>725</v>
      </c>
      <c r="D815" s="4">
        <v>1</v>
      </c>
      <c r="E815" s="4">
        <v>60.79</v>
      </c>
      <c r="F815" s="4">
        <v>60.79</v>
      </c>
      <c r="G815" s="4">
        <v>60.79</v>
      </c>
      <c r="H815" s="4">
        <v>60.79</v>
      </c>
    </row>
    <row r="816" s="1" customFormat="1" ht="14" spans="1:8">
      <c r="A816" s="2">
        <v>2741011</v>
      </c>
      <c r="B816" s="2" t="s">
        <v>1486</v>
      </c>
      <c r="C816" s="3" t="s">
        <v>45</v>
      </c>
      <c r="D816" s="4">
        <v>0.16</v>
      </c>
      <c r="E816" s="4">
        <v>487.89</v>
      </c>
      <c r="F816" s="4">
        <v>78.07</v>
      </c>
      <c r="G816" s="4">
        <v>487.89</v>
      </c>
      <c r="H816" s="4">
        <v>78.07</v>
      </c>
    </row>
    <row r="817" s="1" customFormat="1" ht="14" spans="1:8">
      <c r="A817" s="2">
        <v>2741012</v>
      </c>
      <c r="B817" s="2" t="s">
        <v>1487</v>
      </c>
      <c r="C817" s="3" t="s">
        <v>725</v>
      </c>
      <c r="D817" s="4">
        <v>218.16</v>
      </c>
      <c r="E817" s="4">
        <v>111.22</v>
      </c>
      <c r="F817" s="4">
        <v>24263.76</v>
      </c>
      <c r="G817" s="4">
        <v>111.22</v>
      </c>
      <c r="H817" s="4">
        <v>24263.76</v>
      </c>
    </row>
    <row r="818" s="1" customFormat="1" ht="14" spans="1:8">
      <c r="A818" s="2">
        <v>2741013</v>
      </c>
      <c r="B818" s="2" t="s">
        <v>1488</v>
      </c>
      <c r="C818" s="3" t="s">
        <v>725</v>
      </c>
      <c r="D818" s="4">
        <v>576.95</v>
      </c>
      <c r="E818" s="4">
        <v>106.94</v>
      </c>
      <c r="F818" s="4">
        <v>61697.19</v>
      </c>
      <c r="G818" s="4">
        <v>106.94</v>
      </c>
      <c r="H818" s="4">
        <v>61697.19</v>
      </c>
    </row>
    <row r="819" s="1" customFormat="1" ht="14" spans="1:8">
      <c r="A819" s="2">
        <v>2741015</v>
      </c>
      <c r="B819" s="2" t="s">
        <v>1489</v>
      </c>
      <c r="C819" s="3" t="s">
        <v>725</v>
      </c>
      <c r="D819" s="4">
        <v>0.41</v>
      </c>
      <c r="E819" s="4">
        <v>173.46</v>
      </c>
      <c r="F819" s="4">
        <v>69.38</v>
      </c>
      <c r="G819" s="4">
        <v>188</v>
      </c>
      <c r="H819" s="4">
        <v>75.2</v>
      </c>
    </row>
    <row r="820" s="1" customFormat="1" ht="14" spans="1:8">
      <c r="A820" s="2">
        <v>2741016</v>
      </c>
      <c r="B820" s="2" t="s">
        <v>1490</v>
      </c>
      <c r="C820" s="3" t="s">
        <v>725</v>
      </c>
      <c r="D820" s="4">
        <v>812.81</v>
      </c>
      <c r="E820" s="4">
        <v>169.18</v>
      </c>
      <c r="F820" s="4">
        <v>137510.87</v>
      </c>
      <c r="G820" s="4">
        <v>179</v>
      </c>
      <c r="H820" s="4">
        <v>145492.63</v>
      </c>
    </row>
    <row r="821" s="1" customFormat="1" ht="28" spans="1:8">
      <c r="A821" s="2">
        <v>2741110</v>
      </c>
      <c r="B821" s="2" t="s">
        <v>1491</v>
      </c>
      <c r="C821" s="3" t="s">
        <v>725</v>
      </c>
      <c r="D821" s="4">
        <v>658</v>
      </c>
      <c r="E821" s="4">
        <v>91.33</v>
      </c>
      <c r="F821" s="4">
        <v>60095.14</v>
      </c>
      <c r="G821" s="4">
        <v>101</v>
      </c>
      <c r="H821" s="4">
        <v>66458</v>
      </c>
    </row>
    <row r="822" s="1" customFormat="1" ht="28" spans="1:8">
      <c r="A822" s="2">
        <v>2741111</v>
      </c>
      <c r="B822" s="2" t="s">
        <v>1492</v>
      </c>
      <c r="C822" s="3" t="s">
        <v>725</v>
      </c>
      <c r="D822" s="4">
        <v>6444.8</v>
      </c>
      <c r="E822" s="4">
        <v>114</v>
      </c>
      <c r="F822" s="4">
        <v>734706.64</v>
      </c>
      <c r="G822" s="4">
        <v>127</v>
      </c>
      <c r="H822" s="4">
        <v>818488.96</v>
      </c>
    </row>
    <row r="823" s="1" customFormat="1" ht="14" spans="1:8">
      <c r="A823" s="2">
        <v>2741112</v>
      </c>
      <c r="B823" s="2" t="s">
        <v>1493</v>
      </c>
      <c r="C823" s="3" t="s">
        <v>725</v>
      </c>
      <c r="D823" s="4">
        <v>18.3</v>
      </c>
      <c r="E823" s="4">
        <v>132.61</v>
      </c>
      <c r="F823" s="4">
        <v>2425.97</v>
      </c>
      <c r="G823" s="4">
        <v>146</v>
      </c>
      <c r="H823" s="4">
        <v>2670.93</v>
      </c>
    </row>
    <row r="824" s="1" customFormat="1" ht="14" spans="1:8">
      <c r="A824" s="2">
        <v>2741114</v>
      </c>
      <c r="B824" s="2" t="s">
        <v>1494</v>
      </c>
      <c r="C824" s="3" t="s">
        <v>725</v>
      </c>
      <c r="D824" s="4">
        <v>129.58</v>
      </c>
      <c r="E824" s="4">
        <v>149.29</v>
      </c>
      <c r="F824" s="4">
        <v>19346.19</v>
      </c>
      <c r="G824" s="4">
        <v>165</v>
      </c>
      <c r="H824" s="4">
        <v>21382.02</v>
      </c>
    </row>
    <row r="825" s="1" customFormat="1" ht="14" spans="1:8">
      <c r="A825" s="2">
        <v>2741119</v>
      </c>
      <c r="B825" s="2" t="s">
        <v>1495</v>
      </c>
      <c r="C825" s="3" t="s">
        <v>725</v>
      </c>
      <c r="D825" s="4">
        <v>2015</v>
      </c>
      <c r="E825" s="4">
        <v>273.78</v>
      </c>
      <c r="F825" s="4">
        <v>551667.52</v>
      </c>
      <c r="G825" s="4">
        <v>273.78</v>
      </c>
      <c r="H825" s="4">
        <v>551667.52</v>
      </c>
    </row>
    <row r="826" s="1" customFormat="1" ht="14" spans="1:8">
      <c r="A826" s="2">
        <v>2741120</v>
      </c>
      <c r="B826" s="2" t="s">
        <v>1496</v>
      </c>
      <c r="C826" s="3" t="s">
        <v>725</v>
      </c>
      <c r="D826" s="4">
        <v>591.71</v>
      </c>
      <c r="E826" s="4">
        <v>299.44</v>
      </c>
      <c r="F826" s="4">
        <v>177181.64</v>
      </c>
      <c r="G826" s="4">
        <v>299.44</v>
      </c>
      <c r="H826" s="4">
        <v>177181.64</v>
      </c>
    </row>
    <row r="827" s="1" customFormat="1" ht="28" spans="1:8">
      <c r="A827" s="2">
        <v>2741205</v>
      </c>
      <c r="B827" s="2" t="s">
        <v>1497</v>
      </c>
      <c r="C827" s="3" t="s">
        <v>725</v>
      </c>
      <c r="D827" s="4">
        <v>0</v>
      </c>
      <c r="E827" s="4">
        <v>265.22</v>
      </c>
      <c r="F827" s="4">
        <v>0</v>
      </c>
      <c r="G827" s="4">
        <v>258</v>
      </c>
      <c r="H827" s="4">
        <v>0</v>
      </c>
    </row>
    <row r="828" s="1" customFormat="1" ht="14" spans="1:8">
      <c r="A828" s="2">
        <v>2741206</v>
      </c>
      <c r="B828" s="2" t="s">
        <v>1498</v>
      </c>
      <c r="C828" s="3" t="s">
        <v>725</v>
      </c>
      <c r="D828" s="4">
        <v>0</v>
      </c>
      <c r="E828" s="4">
        <v>487.66</v>
      </c>
      <c r="F828" s="4">
        <v>0</v>
      </c>
      <c r="G828" s="4">
        <v>487.66</v>
      </c>
      <c r="H828" s="4">
        <v>0</v>
      </c>
    </row>
    <row r="829" s="1" customFormat="1" ht="14" spans="1:8">
      <c r="A829" s="2">
        <v>2741400</v>
      </c>
      <c r="B829" s="2" t="s">
        <v>1499</v>
      </c>
      <c r="C829" s="3" t="s">
        <v>1484</v>
      </c>
      <c r="D829" s="4">
        <v>7.02</v>
      </c>
      <c r="E829" s="4">
        <v>26832.74</v>
      </c>
      <c r="F829" s="4">
        <v>188392.66</v>
      </c>
      <c r="G829" s="4">
        <v>32393</v>
      </c>
      <c r="H829" s="4">
        <v>227431.26</v>
      </c>
    </row>
    <row r="830" s="1" customFormat="1" ht="14" spans="1:8">
      <c r="A830" s="2">
        <v>2741401</v>
      </c>
      <c r="B830" s="2" t="s">
        <v>1500</v>
      </c>
      <c r="C830" s="3" t="s">
        <v>1484</v>
      </c>
      <c r="D830" s="4">
        <v>0</v>
      </c>
      <c r="E830" s="4">
        <v>31649.9</v>
      </c>
      <c r="F830" s="4">
        <v>0</v>
      </c>
      <c r="G830" s="4">
        <v>38147</v>
      </c>
      <c r="H830" s="4">
        <v>0</v>
      </c>
    </row>
    <row r="831" s="1" customFormat="1" ht="14" spans="1:8">
      <c r="A831" s="2">
        <v>2741402</v>
      </c>
      <c r="B831" s="2" t="s">
        <v>1501</v>
      </c>
      <c r="C831" s="3" t="s">
        <v>1484</v>
      </c>
      <c r="D831" s="4">
        <v>0</v>
      </c>
      <c r="E831" s="4">
        <v>35894.48</v>
      </c>
      <c r="F831" s="4">
        <v>0</v>
      </c>
      <c r="G831" s="4">
        <v>42438</v>
      </c>
      <c r="H831" s="4">
        <v>0</v>
      </c>
    </row>
    <row r="832" s="1" customFormat="1" ht="14" spans="1:8">
      <c r="A832" s="2">
        <v>2741403</v>
      </c>
      <c r="B832" s="2" t="s">
        <v>1502</v>
      </c>
      <c r="C832" s="3" t="s">
        <v>1484</v>
      </c>
      <c r="D832" s="4">
        <v>0</v>
      </c>
      <c r="E832" s="4">
        <v>32185.68</v>
      </c>
      <c r="F832" s="4">
        <v>0</v>
      </c>
      <c r="G832" s="4">
        <v>37760</v>
      </c>
      <c r="H832" s="4">
        <v>0</v>
      </c>
    </row>
    <row r="833" s="1" customFormat="1" ht="14" spans="1:8">
      <c r="A833" s="2">
        <v>2741523</v>
      </c>
      <c r="B833" s="2" t="s">
        <v>1503</v>
      </c>
      <c r="C833" s="3" t="s">
        <v>1484</v>
      </c>
      <c r="D833" s="4">
        <v>0</v>
      </c>
      <c r="E833" s="4">
        <v>185912.95</v>
      </c>
      <c r="F833" s="4">
        <v>0</v>
      </c>
      <c r="G833" s="4">
        <v>217963</v>
      </c>
      <c r="H833" s="4">
        <v>0</v>
      </c>
    </row>
    <row r="834" s="1" customFormat="1" ht="28" spans="1:8">
      <c r="A834" s="2">
        <v>2741541</v>
      </c>
      <c r="B834" s="2" t="s">
        <v>1504</v>
      </c>
      <c r="C834" s="3" t="s">
        <v>1484</v>
      </c>
      <c r="D834" s="4">
        <v>0</v>
      </c>
      <c r="E834" s="4">
        <v>232414.5</v>
      </c>
      <c r="F834" s="4">
        <v>0</v>
      </c>
      <c r="G834" s="4">
        <v>272480</v>
      </c>
      <c r="H834" s="4">
        <v>0</v>
      </c>
    </row>
    <row r="835" s="1" customFormat="1" ht="14" spans="1:8">
      <c r="A835" s="2">
        <v>2750020</v>
      </c>
      <c r="B835" s="2" t="s">
        <v>1505</v>
      </c>
      <c r="C835" s="3" t="s">
        <v>824</v>
      </c>
      <c r="D835" s="4">
        <v>76860.49</v>
      </c>
      <c r="E835" s="4">
        <v>0.4</v>
      </c>
      <c r="F835" s="4">
        <v>30744.17</v>
      </c>
      <c r="G835" s="4">
        <v>0.5</v>
      </c>
      <c r="H835" s="4">
        <v>38430.24</v>
      </c>
    </row>
    <row r="836" s="1" customFormat="1" ht="14" spans="1:8">
      <c r="A836" s="2">
        <v>2750021</v>
      </c>
      <c r="B836" s="2" t="s">
        <v>1506</v>
      </c>
      <c r="C836" s="3" t="s">
        <v>824</v>
      </c>
      <c r="D836" s="4">
        <v>6763.78</v>
      </c>
      <c r="E836" s="4">
        <v>0.35</v>
      </c>
      <c r="F836" s="4">
        <v>2367.32</v>
      </c>
      <c r="G836" s="4">
        <v>0.44</v>
      </c>
      <c r="H836" s="4">
        <v>2976.06</v>
      </c>
    </row>
    <row r="837" s="1" customFormat="1" ht="14" spans="1:8">
      <c r="A837" s="2">
        <v>2750023</v>
      </c>
      <c r="B837" s="2" t="s">
        <v>1507</v>
      </c>
      <c r="C837" s="3" t="s">
        <v>824</v>
      </c>
      <c r="D837" s="4">
        <v>10636.56</v>
      </c>
      <c r="E837" s="4">
        <v>1.24</v>
      </c>
      <c r="F837" s="4">
        <v>13189.34</v>
      </c>
      <c r="G837" s="4">
        <v>1.24</v>
      </c>
      <c r="H837" s="4">
        <v>13189.34</v>
      </c>
    </row>
    <row r="838" s="1" customFormat="1" ht="14" spans="1:8">
      <c r="A838" s="2">
        <v>2750024</v>
      </c>
      <c r="B838" s="2" t="s">
        <v>1508</v>
      </c>
      <c r="C838" s="3" t="s">
        <v>876</v>
      </c>
      <c r="D838" s="4">
        <v>129001.71</v>
      </c>
      <c r="E838" s="4">
        <v>3.38</v>
      </c>
      <c r="F838" s="4">
        <v>436025.78</v>
      </c>
      <c r="G838" s="4">
        <v>3.92</v>
      </c>
      <c r="H838" s="4">
        <v>505686.73</v>
      </c>
    </row>
    <row r="839" s="1" customFormat="1" ht="14" spans="1:8">
      <c r="A839" s="2">
        <v>2750026</v>
      </c>
      <c r="B839" s="2" t="s">
        <v>1509</v>
      </c>
      <c r="C839" s="3" t="s">
        <v>824</v>
      </c>
      <c r="D839" s="4">
        <v>59916.88</v>
      </c>
      <c r="E839" s="4">
        <v>0.92</v>
      </c>
      <c r="F839" s="4">
        <v>55123.54</v>
      </c>
      <c r="G839" s="4">
        <v>1.14</v>
      </c>
      <c r="H839" s="4">
        <v>68305.27</v>
      </c>
    </row>
    <row r="840" s="1" customFormat="1" ht="14" spans="1:8">
      <c r="A840" s="2">
        <v>2750028</v>
      </c>
      <c r="B840" s="2" t="s">
        <v>1510</v>
      </c>
      <c r="C840" s="3" t="s">
        <v>876</v>
      </c>
      <c r="D840" s="4">
        <v>2486.55</v>
      </c>
      <c r="E840" s="4">
        <v>5.34</v>
      </c>
      <c r="F840" s="4">
        <v>13278.19</v>
      </c>
      <c r="G840" s="4">
        <v>5.34</v>
      </c>
      <c r="H840" s="4">
        <v>13278.19</v>
      </c>
    </row>
    <row r="841" s="1" customFormat="1" ht="14" spans="1:8">
      <c r="A841" s="2">
        <v>2750031</v>
      </c>
      <c r="B841" s="2" t="s">
        <v>1511</v>
      </c>
      <c r="C841" s="3" t="s">
        <v>824</v>
      </c>
      <c r="D841" s="4">
        <v>4323.39</v>
      </c>
      <c r="E841" s="4">
        <v>1.65</v>
      </c>
      <c r="F841" s="4">
        <v>7133.6</v>
      </c>
      <c r="G841" s="4">
        <v>1.65</v>
      </c>
      <c r="H841" s="4">
        <v>7133.6</v>
      </c>
    </row>
    <row r="842" s="1" customFormat="1" ht="14" spans="1:8">
      <c r="A842" s="2">
        <v>2760015</v>
      </c>
      <c r="B842" s="2" t="s">
        <v>1512</v>
      </c>
      <c r="C842" s="3" t="s">
        <v>843</v>
      </c>
      <c r="D842" s="4">
        <v>53296.98</v>
      </c>
      <c r="E842" s="4">
        <v>4.13</v>
      </c>
      <c r="F842" s="4">
        <v>220116.51</v>
      </c>
      <c r="G842" s="4">
        <v>4.57</v>
      </c>
      <c r="H842" s="4">
        <v>243567.18</v>
      </c>
    </row>
    <row r="843" s="1" customFormat="1" ht="14" spans="1:8">
      <c r="A843" s="2">
        <v>2761012</v>
      </c>
      <c r="B843" s="2" t="s">
        <v>1513</v>
      </c>
      <c r="C843" s="3" t="s">
        <v>843</v>
      </c>
      <c r="D843" s="4">
        <v>5624.36</v>
      </c>
      <c r="E843" s="4">
        <v>3.97</v>
      </c>
      <c r="F843" s="4">
        <v>22328.76</v>
      </c>
      <c r="G843" s="4">
        <v>4.4</v>
      </c>
      <c r="H843" s="4">
        <v>24747.25</v>
      </c>
    </row>
    <row r="844" s="1" customFormat="1" ht="14" spans="1:8">
      <c r="A844" s="2">
        <v>2762018</v>
      </c>
      <c r="B844" s="2" t="s">
        <v>1514</v>
      </c>
      <c r="C844" s="3" t="s">
        <v>843</v>
      </c>
      <c r="D844" s="4">
        <v>4548</v>
      </c>
      <c r="E844" s="4">
        <v>0.51</v>
      </c>
      <c r="F844" s="4">
        <v>2319.48</v>
      </c>
      <c r="G844" s="4">
        <v>0.59</v>
      </c>
      <c r="H844" s="4">
        <v>2683.32</v>
      </c>
    </row>
    <row r="845" s="1" customFormat="1" ht="14" spans="1:8">
      <c r="A845" s="2">
        <v>2766101</v>
      </c>
      <c r="B845" s="2" t="s">
        <v>1515</v>
      </c>
      <c r="C845" s="3" t="s">
        <v>1484</v>
      </c>
      <c r="D845" s="4">
        <v>11753.34</v>
      </c>
      <c r="E845" s="4">
        <v>52.02</v>
      </c>
      <c r="F845" s="4">
        <v>611408.58</v>
      </c>
      <c r="G845" s="4">
        <v>53.22</v>
      </c>
      <c r="H845" s="4">
        <v>625512.6</v>
      </c>
    </row>
    <row r="846" s="1" customFormat="1" ht="14" spans="1:8">
      <c r="A846" s="2">
        <v>2766102</v>
      </c>
      <c r="B846" s="2" t="s">
        <v>1516</v>
      </c>
      <c r="C846" s="3" t="s">
        <v>1484</v>
      </c>
      <c r="D846" s="4">
        <v>91.47</v>
      </c>
      <c r="E846" s="4">
        <v>49.42</v>
      </c>
      <c r="F846" s="4">
        <v>4520.65</v>
      </c>
      <c r="G846" s="4">
        <v>51.34</v>
      </c>
      <c r="H846" s="4">
        <v>4696.28</v>
      </c>
    </row>
    <row r="847" s="1" customFormat="1" ht="14" spans="1:8">
      <c r="A847" s="2">
        <v>2766103</v>
      </c>
      <c r="B847" s="2" t="s">
        <v>1517</v>
      </c>
      <c r="C847" s="3" t="s">
        <v>1484</v>
      </c>
      <c r="D847" s="4">
        <v>129.58</v>
      </c>
      <c r="E847" s="4">
        <v>49.67</v>
      </c>
      <c r="F847" s="4">
        <v>6436.63</v>
      </c>
      <c r="G847" s="4">
        <v>51.6</v>
      </c>
      <c r="H847" s="4">
        <v>6686.74</v>
      </c>
    </row>
    <row r="848" s="1" customFormat="1" ht="14" spans="1:8">
      <c r="A848" s="2">
        <v>2766104</v>
      </c>
      <c r="B848" s="2" t="s">
        <v>1518</v>
      </c>
      <c r="C848" s="3" t="s">
        <v>1484</v>
      </c>
      <c r="D848" s="4">
        <v>102.28</v>
      </c>
      <c r="E848" s="4">
        <v>35.84</v>
      </c>
      <c r="F848" s="4">
        <v>3665.72</v>
      </c>
      <c r="G848" s="4">
        <v>37.59</v>
      </c>
      <c r="H848" s="4">
        <v>3844.71</v>
      </c>
    </row>
    <row r="849" s="1" customFormat="1" ht="14" spans="1:8">
      <c r="A849" s="2">
        <v>2766550</v>
      </c>
      <c r="B849" s="2" t="s">
        <v>1519</v>
      </c>
      <c r="C849" s="3" t="s">
        <v>824</v>
      </c>
      <c r="D849" s="4">
        <v>157.83</v>
      </c>
      <c r="E849" s="4">
        <v>264.98</v>
      </c>
      <c r="F849" s="4">
        <v>41821.27</v>
      </c>
      <c r="G849" s="4">
        <v>264.98</v>
      </c>
      <c r="H849" s="4">
        <v>41821.27</v>
      </c>
    </row>
    <row r="850" s="1" customFormat="1" ht="14" spans="1:8">
      <c r="A850" s="2">
        <v>2766551</v>
      </c>
      <c r="B850" s="2" t="s">
        <v>1520</v>
      </c>
      <c r="C850" s="3" t="s">
        <v>52</v>
      </c>
      <c r="D850" s="4">
        <v>786.12</v>
      </c>
      <c r="E850" s="4">
        <v>4.67</v>
      </c>
      <c r="F850" s="4">
        <v>3671.18</v>
      </c>
      <c r="G850" s="4">
        <v>4.67</v>
      </c>
      <c r="H850" s="4">
        <v>3671.18</v>
      </c>
    </row>
    <row r="851" s="1" customFormat="1" ht="14" spans="1:8">
      <c r="A851" s="2">
        <v>2766552</v>
      </c>
      <c r="B851" s="2" t="s">
        <v>1521</v>
      </c>
      <c r="C851" s="3" t="s">
        <v>797</v>
      </c>
      <c r="D851" s="4">
        <v>78.92</v>
      </c>
      <c r="E851" s="4">
        <v>17.66</v>
      </c>
      <c r="F851" s="4">
        <v>1393.71</v>
      </c>
      <c r="G851" s="4">
        <v>17.66</v>
      </c>
      <c r="H851" s="4">
        <v>1393.71</v>
      </c>
    </row>
    <row r="852" s="1" customFormat="1" ht="14" spans="1:8">
      <c r="A852" s="2">
        <v>2766553</v>
      </c>
      <c r="B852" s="2" t="s">
        <v>1522</v>
      </c>
      <c r="C852" s="3" t="s">
        <v>876</v>
      </c>
      <c r="D852" s="4">
        <v>0.3</v>
      </c>
      <c r="E852" s="4">
        <v>10058.61</v>
      </c>
      <c r="F852" s="4">
        <v>3098.04</v>
      </c>
      <c r="G852" s="4">
        <v>10058.61</v>
      </c>
      <c r="H852" s="4">
        <v>3098.04</v>
      </c>
    </row>
    <row r="853" s="1" customFormat="1" ht="14" spans="1:8">
      <c r="A853" s="2">
        <v>2766554</v>
      </c>
      <c r="B853" s="2" t="s">
        <v>1523</v>
      </c>
      <c r="C853" s="3" t="s">
        <v>876</v>
      </c>
      <c r="D853" s="4">
        <v>2484</v>
      </c>
      <c r="E853" s="4">
        <v>3259.77</v>
      </c>
      <c r="F853" s="4">
        <v>8097268.68</v>
      </c>
      <c r="G853" s="4">
        <v>3259.77</v>
      </c>
      <c r="H853" s="4">
        <v>8097268.68</v>
      </c>
    </row>
    <row r="854" s="1" customFormat="1" ht="14" spans="1:8">
      <c r="A854" s="2">
        <v>2766555</v>
      </c>
      <c r="B854" s="2" t="s">
        <v>1524</v>
      </c>
      <c r="C854" s="3" t="s">
        <v>824</v>
      </c>
      <c r="D854" s="4">
        <v>5724.94</v>
      </c>
      <c r="E854" s="4">
        <v>28.31</v>
      </c>
      <c r="F854" s="4">
        <v>162073.06</v>
      </c>
      <c r="G854" s="4">
        <v>28.31</v>
      </c>
      <c r="H854" s="4">
        <v>162073.06</v>
      </c>
    </row>
    <row r="855" s="1" customFormat="1" ht="14" spans="1:8">
      <c r="A855" s="2">
        <v>2766556</v>
      </c>
      <c r="B855" s="2" t="s">
        <v>1525</v>
      </c>
      <c r="C855" s="3" t="s">
        <v>824</v>
      </c>
      <c r="D855" s="4">
        <v>37</v>
      </c>
      <c r="E855" s="4">
        <v>10622.41</v>
      </c>
      <c r="F855" s="4">
        <v>393029.17</v>
      </c>
      <c r="G855" s="4">
        <v>10622.41</v>
      </c>
      <c r="H855" s="4">
        <v>393029.17</v>
      </c>
    </row>
    <row r="856" s="1" customFormat="1" ht="14" spans="1:8">
      <c r="A856" s="2">
        <v>2766559</v>
      </c>
      <c r="B856" s="2" t="s">
        <v>1526</v>
      </c>
      <c r="C856" s="3" t="s">
        <v>876</v>
      </c>
      <c r="D856" s="4">
        <v>42</v>
      </c>
      <c r="E856" s="4">
        <v>224.75</v>
      </c>
      <c r="F856" s="4">
        <v>9439.5</v>
      </c>
      <c r="G856" s="4">
        <v>224.75</v>
      </c>
      <c r="H856" s="4">
        <v>9439.5</v>
      </c>
    </row>
    <row r="857" s="1" customFormat="1" ht="14" spans="1:8">
      <c r="A857" s="2">
        <v>2766564</v>
      </c>
      <c r="B857" s="2" t="s">
        <v>1527</v>
      </c>
      <c r="C857" s="3" t="s">
        <v>824</v>
      </c>
      <c r="D857" s="4">
        <v>131.81</v>
      </c>
      <c r="E857" s="4">
        <v>386.03</v>
      </c>
      <c r="F857" s="4">
        <v>50881.41</v>
      </c>
      <c r="G857" s="4">
        <v>386.03</v>
      </c>
      <c r="H857" s="4">
        <v>50881.41</v>
      </c>
    </row>
    <row r="858" s="1" customFormat="1" ht="28" spans="1:8">
      <c r="A858" s="2">
        <v>2766565</v>
      </c>
      <c r="B858" s="2" t="s">
        <v>1528</v>
      </c>
      <c r="C858" s="3" t="s">
        <v>52</v>
      </c>
      <c r="D858" s="4">
        <v>27517.67</v>
      </c>
      <c r="E858" s="4">
        <v>12.13</v>
      </c>
      <c r="F858" s="4">
        <v>333789.34</v>
      </c>
      <c r="G858" s="4">
        <v>12.13</v>
      </c>
      <c r="H858" s="4">
        <v>333789.34</v>
      </c>
    </row>
    <row r="859" s="1" customFormat="1" ht="14" spans="1:8">
      <c r="A859" s="2">
        <v>2766571</v>
      </c>
      <c r="B859" s="2" t="s">
        <v>1529</v>
      </c>
      <c r="C859" s="3" t="s">
        <v>876</v>
      </c>
      <c r="D859" s="4">
        <v>14</v>
      </c>
      <c r="E859" s="4">
        <v>300.24</v>
      </c>
      <c r="F859" s="4">
        <v>4203.36</v>
      </c>
      <c r="G859" s="4">
        <v>300.24</v>
      </c>
      <c r="H859" s="4">
        <v>4203.36</v>
      </c>
    </row>
    <row r="860" s="1" customFormat="1" ht="14" spans="1:8">
      <c r="A860" s="2">
        <v>2766574</v>
      </c>
      <c r="B860" s="11" t="s">
        <v>1530</v>
      </c>
      <c r="C860" s="12" t="s">
        <v>679</v>
      </c>
      <c r="D860" s="13">
        <v>517.88</v>
      </c>
      <c r="E860" s="4">
        <v>2185.76</v>
      </c>
      <c r="F860" s="4">
        <v>1131961.4</v>
      </c>
      <c r="G860" s="4">
        <v>2185.76</v>
      </c>
      <c r="H860" s="4">
        <v>1131961.4</v>
      </c>
    </row>
    <row r="861" s="1" customFormat="1" ht="14" spans="1:8">
      <c r="A861" s="2">
        <v>2810023</v>
      </c>
      <c r="B861" s="2" t="s">
        <v>1531</v>
      </c>
      <c r="C861" s="3" t="s">
        <v>52</v>
      </c>
      <c r="D861" s="4">
        <v>991058.73</v>
      </c>
      <c r="E861" s="4">
        <v>3.94</v>
      </c>
      <c r="F861" s="4">
        <v>3904771.41</v>
      </c>
      <c r="G861" s="4">
        <v>4.97</v>
      </c>
      <c r="H861" s="4">
        <v>4925561.8</v>
      </c>
    </row>
    <row r="862" s="1" customFormat="1" ht="14" spans="1:8">
      <c r="A862" s="2">
        <v>2810024</v>
      </c>
      <c r="B862" s="2" t="s">
        <v>1532</v>
      </c>
      <c r="C862" s="3" t="s">
        <v>52</v>
      </c>
      <c r="D862" s="4">
        <v>198444.9</v>
      </c>
      <c r="E862" s="4">
        <v>3.94</v>
      </c>
      <c r="F862" s="4">
        <v>781873.04</v>
      </c>
      <c r="G862" s="4">
        <v>4.97</v>
      </c>
      <c r="H862" s="4">
        <v>986271.23</v>
      </c>
    </row>
    <row r="863" s="1" customFormat="1" ht="14" spans="1:8">
      <c r="A863" s="2">
        <v>2810025</v>
      </c>
      <c r="B863" s="2" t="s">
        <v>1533</v>
      </c>
      <c r="C863" s="3" t="s">
        <v>52</v>
      </c>
      <c r="D863" s="4">
        <v>164307.85</v>
      </c>
      <c r="E863" s="4">
        <v>4.65</v>
      </c>
      <c r="F863" s="4">
        <v>764031.68</v>
      </c>
      <c r="G863" s="4">
        <v>5.86</v>
      </c>
      <c r="H863" s="4">
        <v>962844.09</v>
      </c>
    </row>
    <row r="864" s="1" customFormat="1" ht="14" spans="1:8">
      <c r="A864" s="2">
        <v>2810026</v>
      </c>
      <c r="B864" s="2" t="s">
        <v>1534</v>
      </c>
      <c r="C864" s="3" t="s">
        <v>679</v>
      </c>
      <c r="D864" s="4">
        <v>1.75</v>
      </c>
      <c r="E864" s="4">
        <v>179.97</v>
      </c>
      <c r="F864" s="4">
        <v>314.23</v>
      </c>
      <c r="G864" s="4">
        <v>179.97</v>
      </c>
      <c r="H864" s="4">
        <v>314.23</v>
      </c>
    </row>
    <row r="865" s="1" customFormat="1" ht="14" spans="1:8">
      <c r="A865" s="2">
        <v>2810027</v>
      </c>
      <c r="B865" s="2" t="s">
        <v>1535</v>
      </c>
      <c r="C865" s="3" t="s">
        <v>52</v>
      </c>
      <c r="D865" s="4">
        <v>188619.08</v>
      </c>
      <c r="E865" s="4">
        <v>4.46</v>
      </c>
      <c r="F865" s="4">
        <v>841241.12</v>
      </c>
      <c r="G865" s="4">
        <v>5.48</v>
      </c>
      <c r="H865" s="4">
        <v>1033632.62</v>
      </c>
    </row>
    <row r="866" s="1" customFormat="1" ht="14" spans="1:8">
      <c r="A866" s="2">
        <v>2810028</v>
      </c>
      <c r="B866" s="2" t="s">
        <v>1536</v>
      </c>
      <c r="C866" s="3" t="s">
        <v>52</v>
      </c>
      <c r="D866" s="4">
        <v>1195653.41</v>
      </c>
      <c r="E866" s="4">
        <v>5.3</v>
      </c>
      <c r="F866" s="4">
        <v>6336963.22</v>
      </c>
      <c r="G866" s="4">
        <v>6</v>
      </c>
      <c r="H866" s="4">
        <v>7173920.4</v>
      </c>
    </row>
    <row r="867" s="1" customFormat="1" ht="14" spans="1:8">
      <c r="A867" s="2">
        <v>2810036</v>
      </c>
      <c r="B867" s="2" t="s">
        <v>1537</v>
      </c>
      <c r="C867" s="3" t="s">
        <v>52</v>
      </c>
      <c r="D867" s="4">
        <v>127326.09</v>
      </c>
      <c r="E867" s="4">
        <v>4.91</v>
      </c>
      <c r="F867" s="4">
        <v>625171.1</v>
      </c>
      <c r="G867" s="4">
        <v>4.91</v>
      </c>
      <c r="H867" s="4">
        <v>625171.1</v>
      </c>
    </row>
    <row r="868" s="1" customFormat="1" ht="14" spans="1:8">
      <c r="A868" s="2">
        <v>2810046</v>
      </c>
      <c r="B868" s="2" t="s">
        <v>1538</v>
      </c>
      <c r="C868" s="3" t="s">
        <v>29</v>
      </c>
      <c r="D868" s="4">
        <v>41.65</v>
      </c>
      <c r="E868" s="4">
        <v>4777.42</v>
      </c>
      <c r="F868" s="4">
        <v>198989.13</v>
      </c>
      <c r="G868" s="4">
        <v>4777.42</v>
      </c>
      <c r="H868" s="4">
        <v>198989.13</v>
      </c>
    </row>
    <row r="869" s="1" customFormat="1" ht="14" spans="1:8">
      <c r="A869" s="2">
        <v>2810047</v>
      </c>
      <c r="B869" s="2" t="s">
        <v>1539</v>
      </c>
      <c r="C869" s="3" t="s">
        <v>52</v>
      </c>
      <c r="D869" s="4">
        <v>336132.41</v>
      </c>
      <c r="E869" s="4">
        <v>4.69</v>
      </c>
      <c r="F869" s="4">
        <v>1576461.02</v>
      </c>
      <c r="G869" s="4">
        <v>5.92</v>
      </c>
      <c r="H869" s="4">
        <v>1989903.84</v>
      </c>
    </row>
    <row r="870" s="1" customFormat="1" ht="14" spans="1:8">
      <c r="A870" s="2">
        <v>2810048</v>
      </c>
      <c r="B870" s="2" t="s">
        <v>1540</v>
      </c>
      <c r="C870" s="3" t="s">
        <v>29</v>
      </c>
      <c r="D870" s="4">
        <v>80.21</v>
      </c>
      <c r="E870" s="4">
        <v>4781.27</v>
      </c>
      <c r="F870" s="4">
        <v>383486.54</v>
      </c>
      <c r="G870" s="4">
        <v>4781.27</v>
      </c>
      <c r="H870" s="4">
        <v>383486.54</v>
      </c>
    </row>
    <row r="871" s="1" customFormat="1" ht="14" spans="1:8">
      <c r="A871" s="2">
        <v>2810055</v>
      </c>
      <c r="B871" s="2" t="s">
        <v>1541</v>
      </c>
      <c r="C871" s="3" t="s">
        <v>29</v>
      </c>
      <c r="D871" s="4">
        <v>599.98</v>
      </c>
      <c r="E871" s="4">
        <v>3892.79</v>
      </c>
      <c r="F871" s="4">
        <v>2335619.5</v>
      </c>
      <c r="G871" s="4">
        <v>4765</v>
      </c>
      <c r="H871" s="4">
        <v>2858933.36</v>
      </c>
    </row>
    <row r="872" s="1" customFormat="1" ht="14" spans="1:8">
      <c r="A872" s="2">
        <v>2810059</v>
      </c>
      <c r="B872" s="2" t="s">
        <v>1542</v>
      </c>
      <c r="C872" s="3" t="s">
        <v>52</v>
      </c>
      <c r="D872" s="4">
        <v>71738.46</v>
      </c>
      <c r="E872" s="4">
        <v>7.71</v>
      </c>
      <c r="F872" s="4">
        <v>553103.59</v>
      </c>
      <c r="G872" s="4">
        <v>7.71</v>
      </c>
      <c r="H872" s="4">
        <v>553103.59</v>
      </c>
    </row>
    <row r="873" s="1" customFormat="1" ht="14" spans="1:8">
      <c r="A873" s="2">
        <v>2810101</v>
      </c>
      <c r="B873" s="2" t="s">
        <v>1543</v>
      </c>
      <c r="C873" s="3" t="s">
        <v>29</v>
      </c>
      <c r="D873" s="4">
        <v>282.95</v>
      </c>
      <c r="E873" s="4">
        <v>4089.88</v>
      </c>
      <c r="F873" s="4">
        <v>1157231.55</v>
      </c>
      <c r="G873" s="4">
        <v>5007</v>
      </c>
      <c r="H873" s="4">
        <v>1416730.65</v>
      </c>
    </row>
    <row r="874" s="1" customFormat="1" ht="14" spans="1:8">
      <c r="A874" s="2">
        <v>2810102</v>
      </c>
      <c r="B874" s="2" t="s">
        <v>1544</v>
      </c>
      <c r="C874" s="3" t="s">
        <v>29</v>
      </c>
      <c r="D874" s="4">
        <v>860.4</v>
      </c>
      <c r="E874" s="4">
        <v>4089.88</v>
      </c>
      <c r="F874" s="4">
        <v>3518961.36</v>
      </c>
      <c r="G874" s="4">
        <v>5007</v>
      </c>
      <c r="H874" s="4">
        <v>4308057.85</v>
      </c>
    </row>
    <row r="875" s="1" customFormat="1" ht="14" spans="1:8">
      <c r="A875" s="2">
        <v>2810115</v>
      </c>
      <c r="B875" s="2" t="s">
        <v>1545</v>
      </c>
      <c r="C875" s="3" t="s">
        <v>29</v>
      </c>
      <c r="D875" s="4">
        <v>1.49</v>
      </c>
      <c r="E875" s="4">
        <v>4416.28</v>
      </c>
      <c r="F875" s="4">
        <v>6558.18</v>
      </c>
      <c r="G875" s="4">
        <v>5406</v>
      </c>
      <c r="H875" s="4">
        <v>8027.91</v>
      </c>
    </row>
    <row r="876" s="1" customFormat="1" ht="14" spans="1:8">
      <c r="A876" s="2">
        <v>2811011</v>
      </c>
      <c r="B876" s="2" t="s">
        <v>1546</v>
      </c>
      <c r="C876" s="3" t="s">
        <v>52</v>
      </c>
      <c r="D876" s="4">
        <v>732656.6</v>
      </c>
      <c r="E876" s="4">
        <v>4.91</v>
      </c>
      <c r="F876" s="4">
        <v>3597343.8</v>
      </c>
      <c r="G876" s="4">
        <v>4.91</v>
      </c>
      <c r="H876" s="4">
        <v>3597343.8</v>
      </c>
    </row>
    <row r="877" s="1" customFormat="1" ht="14" spans="1:8">
      <c r="A877" s="2">
        <v>2811012</v>
      </c>
      <c r="B877" s="2" t="s">
        <v>1547</v>
      </c>
      <c r="C877" s="3" t="s">
        <v>52</v>
      </c>
      <c r="D877" s="4">
        <v>667633.04</v>
      </c>
      <c r="E877" s="4">
        <v>4.91</v>
      </c>
      <c r="F877" s="4">
        <v>3278078.27</v>
      </c>
      <c r="G877" s="4">
        <v>4.91</v>
      </c>
      <c r="H877" s="4">
        <v>3278078.27</v>
      </c>
    </row>
    <row r="878" s="1" customFormat="1" ht="14" spans="1:8">
      <c r="A878" s="2">
        <v>2811014</v>
      </c>
      <c r="B878" s="2" t="s">
        <v>1548</v>
      </c>
      <c r="C878" s="3" t="s">
        <v>52</v>
      </c>
      <c r="D878" s="4">
        <v>1698.96</v>
      </c>
      <c r="E878" s="4">
        <v>7.72</v>
      </c>
      <c r="F878" s="4">
        <v>13115.97</v>
      </c>
      <c r="G878" s="4">
        <v>7.72</v>
      </c>
      <c r="H878" s="4">
        <v>13115.97</v>
      </c>
    </row>
    <row r="879" s="1" customFormat="1" ht="14" spans="1:8">
      <c r="A879" s="2">
        <v>2811037</v>
      </c>
      <c r="B879" s="2" t="s">
        <v>1549</v>
      </c>
      <c r="C879" s="3" t="s">
        <v>824</v>
      </c>
      <c r="D879" s="4">
        <v>1159.7</v>
      </c>
      <c r="E879" s="4">
        <v>5.02</v>
      </c>
      <c r="F879" s="4">
        <v>5821.78</v>
      </c>
      <c r="G879" s="4">
        <v>5.02</v>
      </c>
      <c r="H879" s="4">
        <v>5821.78</v>
      </c>
    </row>
    <row r="880" s="1" customFormat="1" ht="14" spans="1:8">
      <c r="A880" s="2">
        <v>2811038</v>
      </c>
      <c r="B880" s="2" t="s">
        <v>1550</v>
      </c>
      <c r="C880" s="3" t="s">
        <v>824</v>
      </c>
      <c r="D880" s="4">
        <v>1279.14</v>
      </c>
      <c r="E880" s="4">
        <v>5.02</v>
      </c>
      <c r="F880" s="4">
        <v>6421.44</v>
      </c>
      <c r="G880" s="4">
        <v>5.02</v>
      </c>
      <c r="H880" s="4">
        <v>6421.44</v>
      </c>
    </row>
    <row r="881" s="1" customFormat="1" ht="14" spans="1:8">
      <c r="A881" s="2">
        <v>2811039</v>
      </c>
      <c r="B881" s="2" t="s">
        <v>1551</v>
      </c>
      <c r="C881" s="3" t="s">
        <v>824</v>
      </c>
      <c r="D881" s="4">
        <v>48952.34</v>
      </c>
      <c r="E881" s="4">
        <v>5.02</v>
      </c>
      <c r="F881" s="4">
        <v>245740.75</v>
      </c>
      <c r="G881" s="4">
        <v>5.02</v>
      </c>
      <c r="H881" s="4">
        <v>245740.75</v>
      </c>
    </row>
    <row r="882" s="1" customFormat="1" ht="14" spans="1:8">
      <c r="A882" s="2">
        <v>2811040</v>
      </c>
      <c r="B882" s="2" t="s">
        <v>1552</v>
      </c>
      <c r="C882" s="3" t="s">
        <v>824</v>
      </c>
      <c r="D882" s="4">
        <v>362.05</v>
      </c>
      <c r="E882" s="4">
        <v>6.56</v>
      </c>
      <c r="F882" s="4">
        <v>2375.13</v>
      </c>
      <c r="G882" s="4">
        <v>6.56</v>
      </c>
      <c r="H882" s="4">
        <v>2375.13</v>
      </c>
    </row>
    <row r="883" s="1" customFormat="1" ht="14" spans="1:8">
      <c r="A883" s="2">
        <v>2811041</v>
      </c>
      <c r="B883" s="2" t="s">
        <v>1553</v>
      </c>
      <c r="C883" s="3" t="s">
        <v>52</v>
      </c>
      <c r="D883" s="4">
        <v>245999.8</v>
      </c>
      <c r="E883" s="4">
        <v>7.72</v>
      </c>
      <c r="F883" s="4">
        <v>1899118.52</v>
      </c>
      <c r="G883" s="4">
        <v>7.72</v>
      </c>
      <c r="H883" s="4">
        <v>1899118.52</v>
      </c>
    </row>
    <row r="884" s="1" customFormat="1" ht="14" spans="1:8">
      <c r="A884" s="2">
        <v>2811044</v>
      </c>
      <c r="B884" s="2" t="s">
        <v>1554</v>
      </c>
      <c r="C884" s="3" t="s">
        <v>52</v>
      </c>
      <c r="D884" s="4">
        <v>9380</v>
      </c>
      <c r="E884" s="4">
        <v>5.79</v>
      </c>
      <c r="F884" s="4">
        <v>54310.2</v>
      </c>
      <c r="G884" s="4">
        <v>5.79</v>
      </c>
      <c r="H884" s="4">
        <v>54310.2</v>
      </c>
    </row>
    <row r="885" s="1" customFormat="1" ht="14" spans="1:8">
      <c r="A885" s="2">
        <v>2900010</v>
      </c>
      <c r="B885" s="2" t="s">
        <v>1555</v>
      </c>
      <c r="C885" s="3" t="s">
        <v>52</v>
      </c>
      <c r="D885" s="4">
        <v>4301.92</v>
      </c>
      <c r="E885" s="4">
        <v>0.77</v>
      </c>
      <c r="F885" s="4">
        <v>3312.48</v>
      </c>
      <c r="G885" s="4">
        <v>0.77</v>
      </c>
      <c r="H885" s="4">
        <v>3312.48</v>
      </c>
    </row>
    <row r="886" s="1" customFormat="1" ht="14" spans="1:8">
      <c r="A886" s="2">
        <v>2900016</v>
      </c>
      <c r="B886" s="2" t="s">
        <v>1556</v>
      </c>
      <c r="C886" s="3" t="s">
        <v>29</v>
      </c>
      <c r="D886" s="4">
        <v>431.63</v>
      </c>
      <c r="E886" s="4">
        <v>377.28</v>
      </c>
      <c r="F886" s="4">
        <v>162849.19</v>
      </c>
      <c r="G886" s="4">
        <v>377.28</v>
      </c>
      <c r="H886" s="4">
        <v>162849.19</v>
      </c>
    </row>
    <row r="887" s="1" customFormat="1" ht="14" spans="1:8">
      <c r="A887" s="2">
        <v>2900019</v>
      </c>
      <c r="B887" s="2" t="s">
        <v>1557</v>
      </c>
      <c r="C887" s="3" t="s">
        <v>52</v>
      </c>
      <c r="D887" s="4">
        <v>106638.81</v>
      </c>
      <c r="E887" s="4">
        <v>0.51</v>
      </c>
      <c r="F887" s="4">
        <v>54385.83</v>
      </c>
      <c r="G887" s="4">
        <v>0.51</v>
      </c>
      <c r="H887" s="4">
        <v>54385.83</v>
      </c>
    </row>
    <row r="888" s="1" customFormat="1" ht="14" spans="1:8">
      <c r="A888" s="2">
        <v>2910010</v>
      </c>
      <c r="B888" s="2" t="s">
        <v>1558</v>
      </c>
      <c r="C888" s="3" t="s">
        <v>52</v>
      </c>
      <c r="D888" s="4">
        <v>18614.85</v>
      </c>
      <c r="E888" s="4">
        <v>6.08</v>
      </c>
      <c r="F888" s="4">
        <v>113178.29</v>
      </c>
      <c r="G888" s="4">
        <v>8.414</v>
      </c>
      <c r="H888" s="4">
        <v>156702.83</v>
      </c>
    </row>
    <row r="889" s="1" customFormat="1" ht="14" spans="1:8">
      <c r="A889" s="2">
        <v>2910014</v>
      </c>
      <c r="B889" s="2" t="s">
        <v>1559</v>
      </c>
      <c r="C889" s="3" t="s">
        <v>52</v>
      </c>
      <c r="D889" s="4">
        <v>22258.3</v>
      </c>
      <c r="E889" s="4">
        <v>5.23</v>
      </c>
      <c r="F889" s="4">
        <v>116410.99</v>
      </c>
      <c r="G889" s="4">
        <v>7.455</v>
      </c>
      <c r="H889" s="4">
        <v>165972.21</v>
      </c>
    </row>
    <row r="890" s="1" customFormat="1" ht="14" spans="1:8">
      <c r="A890" s="2">
        <v>2910016</v>
      </c>
      <c r="B890" s="2" t="s">
        <v>1560</v>
      </c>
      <c r="C890" s="3" t="s">
        <v>52</v>
      </c>
      <c r="D890" s="4">
        <v>3518.03</v>
      </c>
      <c r="E890" s="4">
        <v>3.43</v>
      </c>
      <c r="F890" s="4">
        <v>12066.85</v>
      </c>
      <c r="G890" s="4">
        <v>3.43</v>
      </c>
      <c r="H890" s="4">
        <v>12066.85</v>
      </c>
    </row>
    <row r="891" s="1" customFormat="1" ht="14" spans="1:8">
      <c r="A891" s="2">
        <v>2910017</v>
      </c>
      <c r="B891" s="2" t="s">
        <v>1561</v>
      </c>
      <c r="C891" s="3" t="s">
        <v>52</v>
      </c>
      <c r="D891" s="4">
        <v>521.76</v>
      </c>
      <c r="E891" s="4">
        <v>4.29</v>
      </c>
      <c r="F891" s="4">
        <v>2238.34</v>
      </c>
      <c r="G891" s="4">
        <v>4.29</v>
      </c>
      <c r="H891" s="4">
        <v>2238.34</v>
      </c>
    </row>
    <row r="892" s="1" customFormat="1" ht="14" spans="1:8">
      <c r="A892" s="2">
        <v>2910050</v>
      </c>
      <c r="B892" s="2" t="s">
        <v>1562</v>
      </c>
      <c r="C892" s="3" t="s">
        <v>52</v>
      </c>
      <c r="D892" s="4">
        <v>2263.97</v>
      </c>
      <c r="E892" s="4">
        <v>7.31</v>
      </c>
      <c r="F892" s="4">
        <v>16549.69</v>
      </c>
      <c r="G892" s="4">
        <v>7.31</v>
      </c>
      <c r="H892" s="4">
        <v>16549.69</v>
      </c>
    </row>
    <row r="893" s="1" customFormat="1" ht="14" spans="1:8">
      <c r="A893" s="2">
        <v>2910055</v>
      </c>
      <c r="B893" s="2" t="s">
        <v>1563</v>
      </c>
      <c r="C893" s="3" t="s">
        <v>52</v>
      </c>
      <c r="D893" s="4">
        <v>450</v>
      </c>
      <c r="E893" s="4">
        <v>4</v>
      </c>
      <c r="F893" s="4">
        <v>1800</v>
      </c>
      <c r="G893" s="4">
        <v>4</v>
      </c>
      <c r="H893" s="4">
        <v>1800</v>
      </c>
    </row>
    <row r="894" s="1" customFormat="1" ht="14" spans="1:8">
      <c r="A894" s="2">
        <v>2910056</v>
      </c>
      <c r="B894" s="2" t="s">
        <v>1564</v>
      </c>
      <c r="C894" s="3" t="s">
        <v>52</v>
      </c>
      <c r="D894" s="4">
        <v>27701.69</v>
      </c>
      <c r="E894" s="4">
        <v>3.52</v>
      </c>
      <c r="F894" s="4">
        <v>97509.92</v>
      </c>
      <c r="G894" s="4">
        <v>3.52</v>
      </c>
      <c r="H894" s="4">
        <v>97509.92</v>
      </c>
    </row>
    <row r="895" s="1" customFormat="1" ht="14" spans="1:8">
      <c r="A895" s="2">
        <v>2910061</v>
      </c>
      <c r="B895" s="2" t="s">
        <v>1565</v>
      </c>
      <c r="C895" s="3" t="s">
        <v>52</v>
      </c>
      <c r="D895" s="4">
        <v>5.4</v>
      </c>
      <c r="E895" s="4">
        <v>10.29</v>
      </c>
      <c r="F895" s="4">
        <v>55.56</v>
      </c>
      <c r="G895" s="4">
        <v>10.29</v>
      </c>
      <c r="H895" s="4">
        <v>55.56</v>
      </c>
    </row>
    <row r="896" s="1" customFormat="1" ht="14" spans="1:8">
      <c r="A896" s="2">
        <v>2910063</v>
      </c>
      <c r="B896" s="2" t="s">
        <v>1566</v>
      </c>
      <c r="C896" s="3" t="s">
        <v>52</v>
      </c>
      <c r="D896" s="4">
        <v>6110.97</v>
      </c>
      <c r="E896" s="4">
        <v>9.26</v>
      </c>
      <c r="F896" s="4">
        <v>56587.49</v>
      </c>
      <c r="G896" s="4">
        <v>9.26</v>
      </c>
      <c r="H896" s="4">
        <v>56587.49</v>
      </c>
    </row>
    <row r="897" s="1" customFormat="1" ht="14" spans="1:8">
      <c r="A897" s="2">
        <v>2910064</v>
      </c>
      <c r="B897" s="2" t="s">
        <v>1567</v>
      </c>
      <c r="C897" s="3" t="s">
        <v>52</v>
      </c>
      <c r="D897" s="4">
        <v>16228.35</v>
      </c>
      <c r="E897" s="4">
        <v>10.34</v>
      </c>
      <c r="F897" s="4">
        <v>167801.14</v>
      </c>
      <c r="G897" s="4">
        <v>10.34</v>
      </c>
      <c r="H897" s="4">
        <v>167801.14</v>
      </c>
    </row>
    <row r="898" s="1" customFormat="1" ht="14" spans="1:8">
      <c r="A898" s="2">
        <v>2910066</v>
      </c>
      <c r="B898" s="2" t="s">
        <v>1568</v>
      </c>
      <c r="C898" s="3" t="s">
        <v>52</v>
      </c>
      <c r="D898" s="4">
        <v>169.95</v>
      </c>
      <c r="E898" s="4">
        <v>3.75</v>
      </c>
      <c r="F898" s="4">
        <v>637.29</v>
      </c>
      <c r="G898" s="4">
        <v>3.75</v>
      </c>
      <c r="H898" s="4">
        <v>637.29</v>
      </c>
    </row>
    <row r="899" s="1" customFormat="1" ht="14" spans="1:8">
      <c r="A899" s="2">
        <v>2910067</v>
      </c>
      <c r="B899" s="2" t="s">
        <v>1569</v>
      </c>
      <c r="C899" s="3" t="s">
        <v>52</v>
      </c>
      <c r="D899" s="4">
        <v>8843.16</v>
      </c>
      <c r="E899" s="4">
        <v>2.82</v>
      </c>
      <c r="F899" s="4">
        <v>24937.73</v>
      </c>
      <c r="G899" s="4">
        <v>2.82</v>
      </c>
      <c r="H899" s="4">
        <v>24937.73</v>
      </c>
    </row>
    <row r="900" s="1" customFormat="1" ht="14" spans="1:8">
      <c r="A900" s="2">
        <v>2910068</v>
      </c>
      <c r="B900" s="2" t="s">
        <v>1570</v>
      </c>
      <c r="C900" s="3" t="s">
        <v>52</v>
      </c>
      <c r="D900" s="4">
        <v>1.57</v>
      </c>
      <c r="E900" s="4">
        <v>11.94</v>
      </c>
      <c r="F900" s="4">
        <v>18.7</v>
      </c>
      <c r="G900" s="4">
        <v>11.94</v>
      </c>
      <c r="H900" s="4">
        <v>18.7</v>
      </c>
    </row>
    <row r="901" s="1" customFormat="1" ht="14" spans="1:8">
      <c r="A901" s="2">
        <v>2910071</v>
      </c>
      <c r="B901" s="2" t="s">
        <v>1571</v>
      </c>
      <c r="C901" s="3" t="s">
        <v>52</v>
      </c>
      <c r="D901" s="4">
        <v>869.41</v>
      </c>
      <c r="E901" s="4">
        <v>4.67</v>
      </c>
      <c r="F901" s="4">
        <v>4060.13</v>
      </c>
      <c r="G901" s="4">
        <v>4.67</v>
      </c>
      <c r="H901" s="4">
        <v>4060.13</v>
      </c>
    </row>
    <row r="902" s="1" customFormat="1" ht="14" spans="1:8">
      <c r="A902" s="2">
        <v>2910076</v>
      </c>
      <c r="B902" s="2" t="s">
        <v>1572</v>
      </c>
      <c r="C902" s="3" t="s">
        <v>52</v>
      </c>
      <c r="D902" s="4">
        <v>10260.29</v>
      </c>
      <c r="E902" s="4">
        <v>30.01</v>
      </c>
      <c r="F902" s="4">
        <v>307910.99</v>
      </c>
      <c r="G902" s="4">
        <v>30.01</v>
      </c>
      <c r="H902" s="4">
        <v>307910.99</v>
      </c>
    </row>
    <row r="903" s="1" customFormat="1" ht="14" spans="1:8">
      <c r="A903" s="2">
        <v>2910115</v>
      </c>
      <c r="B903" s="2" t="s">
        <v>1573</v>
      </c>
      <c r="C903" s="3" t="s">
        <v>52</v>
      </c>
      <c r="D903" s="4">
        <v>166731.95</v>
      </c>
      <c r="E903" s="4">
        <v>3.09</v>
      </c>
      <c r="F903" s="4">
        <v>515201.9</v>
      </c>
      <c r="G903" s="4">
        <v>3.09</v>
      </c>
      <c r="H903" s="4">
        <v>515201.9</v>
      </c>
    </row>
    <row r="904" s="1" customFormat="1" ht="14" spans="1:8">
      <c r="A904" s="2">
        <v>2910116</v>
      </c>
      <c r="B904" s="2" t="s">
        <v>1574</v>
      </c>
      <c r="C904" s="3" t="s">
        <v>52</v>
      </c>
      <c r="D904" s="4">
        <v>62.28</v>
      </c>
      <c r="E904" s="4">
        <v>1.71</v>
      </c>
      <c r="F904" s="4">
        <v>106.5</v>
      </c>
      <c r="G904" s="4">
        <v>1.71</v>
      </c>
      <c r="H904" s="4">
        <v>106.5</v>
      </c>
    </row>
    <row r="905" s="1" customFormat="1" ht="14" spans="1:8">
      <c r="A905" s="2">
        <v>2920010</v>
      </c>
      <c r="B905" s="2" t="s">
        <v>1575</v>
      </c>
      <c r="C905" s="3" t="s">
        <v>52</v>
      </c>
      <c r="D905" s="4">
        <v>1929.29</v>
      </c>
      <c r="E905" s="4">
        <v>12.86</v>
      </c>
      <c r="F905" s="4">
        <v>24810.75</v>
      </c>
      <c r="G905" s="4">
        <v>12.86</v>
      </c>
      <c r="H905" s="4">
        <v>24810.75</v>
      </c>
    </row>
    <row r="906" s="1" customFormat="1" ht="14" spans="1:8">
      <c r="A906" s="2">
        <v>2920011</v>
      </c>
      <c r="B906" s="2" t="s">
        <v>1576</v>
      </c>
      <c r="C906" s="3" t="s">
        <v>52</v>
      </c>
      <c r="D906" s="4">
        <v>4635.04</v>
      </c>
      <c r="E906" s="4">
        <v>12</v>
      </c>
      <c r="F906" s="4">
        <v>55620.49</v>
      </c>
      <c r="G906" s="4">
        <v>12</v>
      </c>
      <c r="H906" s="4">
        <v>55620.49</v>
      </c>
    </row>
    <row r="907" s="1" customFormat="1" ht="14" spans="1:8">
      <c r="A907" s="2">
        <v>2920012</v>
      </c>
      <c r="B907" s="2" t="s">
        <v>1577</v>
      </c>
      <c r="C907" s="3" t="s">
        <v>52</v>
      </c>
      <c r="D907" s="4">
        <v>98.2</v>
      </c>
      <c r="E907" s="4">
        <v>12</v>
      </c>
      <c r="F907" s="4">
        <v>1178.41</v>
      </c>
      <c r="G907" s="4">
        <v>12</v>
      </c>
      <c r="H907" s="4">
        <v>1178.41</v>
      </c>
    </row>
    <row r="908" s="1" customFormat="1" ht="14" spans="1:8">
      <c r="A908" s="2">
        <v>2920013</v>
      </c>
      <c r="B908" s="2" t="s">
        <v>1578</v>
      </c>
      <c r="C908" s="3" t="s">
        <v>52</v>
      </c>
      <c r="D908" s="4">
        <v>394.03</v>
      </c>
      <c r="E908" s="4">
        <v>10.29</v>
      </c>
      <c r="F908" s="4">
        <v>4054.63</v>
      </c>
      <c r="G908" s="4">
        <v>10.29</v>
      </c>
      <c r="H908" s="4">
        <v>4054.63</v>
      </c>
    </row>
    <row r="909" s="1" customFormat="1" ht="14" spans="1:8">
      <c r="A909" s="2">
        <v>3000010</v>
      </c>
      <c r="B909" s="2" t="s">
        <v>1579</v>
      </c>
      <c r="C909" s="3" t="s">
        <v>52</v>
      </c>
      <c r="D909" s="4">
        <v>179.22</v>
      </c>
      <c r="E909" s="4">
        <v>10.29</v>
      </c>
      <c r="F909" s="4">
        <v>1844.08</v>
      </c>
      <c r="G909" s="4">
        <v>10.29</v>
      </c>
      <c r="H909" s="4">
        <v>1844.08</v>
      </c>
    </row>
    <row r="910" s="1" customFormat="1" ht="14" spans="1:8">
      <c r="A910" s="2">
        <v>3000013</v>
      </c>
      <c r="B910" s="2" t="s">
        <v>1580</v>
      </c>
      <c r="C910" s="3" t="s">
        <v>52</v>
      </c>
      <c r="D910" s="4">
        <v>41.46</v>
      </c>
      <c r="E910" s="4">
        <v>11.15</v>
      </c>
      <c r="F910" s="4">
        <v>462.21</v>
      </c>
      <c r="G910" s="4">
        <v>11.15</v>
      </c>
      <c r="H910" s="4">
        <v>462.21</v>
      </c>
    </row>
    <row r="911" s="1" customFormat="1" ht="14" spans="1:8">
      <c r="A911" s="2">
        <v>3000016</v>
      </c>
      <c r="B911" s="2" t="s">
        <v>1581</v>
      </c>
      <c r="C911" s="3" t="s">
        <v>52</v>
      </c>
      <c r="D911" s="4">
        <v>12308.81</v>
      </c>
      <c r="E911" s="4">
        <v>11.15</v>
      </c>
      <c r="F911" s="4">
        <v>137243.23</v>
      </c>
      <c r="G911" s="4">
        <v>11.15</v>
      </c>
      <c r="H911" s="4">
        <v>137243.23</v>
      </c>
    </row>
    <row r="912" s="1" customFormat="1" ht="14" spans="1:8">
      <c r="A912" s="2">
        <v>3001016</v>
      </c>
      <c r="B912" s="2" t="s">
        <v>1582</v>
      </c>
      <c r="C912" s="3" t="s">
        <v>52</v>
      </c>
      <c r="D912" s="4">
        <v>66.53</v>
      </c>
      <c r="E912" s="4">
        <v>1.71</v>
      </c>
      <c r="F912" s="4">
        <v>113.74</v>
      </c>
      <c r="G912" s="4">
        <v>1.71</v>
      </c>
      <c r="H912" s="4">
        <v>113.74</v>
      </c>
    </row>
    <row r="913" s="1" customFormat="1" ht="14" spans="1:8">
      <c r="A913" s="2">
        <v>3001017</v>
      </c>
      <c r="B913" s="2" t="s">
        <v>1583</v>
      </c>
      <c r="C913" s="3" t="s">
        <v>52</v>
      </c>
      <c r="D913" s="4">
        <v>28.96</v>
      </c>
      <c r="E913" s="4">
        <v>12</v>
      </c>
      <c r="F913" s="4">
        <v>347.52</v>
      </c>
      <c r="G913" s="4">
        <v>12</v>
      </c>
      <c r="H913" s="4">
        <v>347.52</v>
      </c>
    </row>
    <row r="914" s="1" customFormat="1" ht="14" spans="1:8">
      <c r="A914" s="2">
        <v>3002011</v>
      </c>
      <c r="B914" s="2" t="s">
        <v>1584</v>
      </c>
      <c r="C914" s="3" t="s">
        <v>52</v>
      </c>
      <c r="D914" s="4">
        <v>425468.97</v>
      </c>
      <c r="E914" s="4">
        <v>1.46</v>
      </c>
      <c r="F914" s="4">
        <v>621184.69</v>
      </c>
      <c r="G914" s="4">
        <v>1.46</v>
      </c>
      <c r="H914" s="4">
        <v>621184.69</v>
      </c>
    </row>
    <row r="915" s="1" customFormat="1" ht="14" spans="1:8">
      <c r="A915" s="2">
        <v>3002012</v>
      </c>
      <c r="B915" s="2" t="s">
        <v>1585</v>
      </c>
      <c r="C915" s="3" t="s">
        <v>52</v>
      </c>
      <c r="D915" s="4">
        <v>46.92</v>
      </c>
      <c r="E915" s="4">
        <v>4.12</v>
      </c>
      <c r="F915" s="4">
        <v>193.31</v>
      </c>
      <c r="G915" s="4">
        <v>4.12</v>
      </c>
      <c r="H915" s="4">
        <v>193.31</v>
      </c>
    </row>
    <row r="916" s="1" customFormat="1" ht="14" spans="1:8">
      <c r="A916" s="2">
        <v>3002019</v>
      </c>
      <c r="B916" s="2" t="s">
        <v>1586</v>
      </c>
      <c r="C916" s="3" t="s">
        <v>52</v>
      </c>
      <c r="D916" s="4">
        <v>11.5</v>
      </c>
      <c r="E916" s="4">
        <v>2.57</v>
      </c>
      <c r="F916" s="4">
        <v>29.56</v>
      </c>
      <c r="G916" s="4">
        <v>2.57</v>
      </c>
      <c r="H916" s="4">
        <v>29.56</v>
      </c>
    </row>
    <row r="917" s="1" customFormat="1" ht="14" spans="1:8">
      <c r="A917" s="2">
        <v>3002028</v>
      </c>
      <c r="B917" s="2" t="s">
        <v>1587</v>
      </c>
      <c r="C917" s="3" t="s">
        <v>52</v>
      </c>
      <c r="D917" s="4">
        <v>68.72</v>
      </c>
      <c r="E917" s="4">
        <v>19.72</v>
      </c>
      <c r="F917" s="4">
        <v>1355.07</v>
      </c>
      <c r="G917" s="4">
        <v>19.72</v>
      </c>
      <c r="H917" s="4">
        <v>1355.07</v>
      </c>
    </row>
    <row r="918" s="1" customFormat="1" ht="14" spans="1:8">
      <c r="A918" s="2">
        <v>3002031</v>
      </c>
      <c r="B918" s="2" t="s">
        <v>1588</v>
      </c>
      <c r="C918" s="3" t="s">
        <v>52</v>
      </c>
      <c r="D918" s="4">
        <v>32997.68</v>
      </c>
      <c r="E918" s="4">
        <v>1.29</v>
      </c>
      <c r="F918" s="4">
        <v>42567.01</v>
      </c>
      <c r="G918" s="4">
        <v>1.29</v>
      </c>
      <c r="H918" s="4">
        <v>42567.01</v>
      </c>
    </row>
    <row r="919" s="1" customFormat="1" ht="14" spans="1:8">
      <c r="A919" s="2">
        <v>3002034</v>
      </c>
      <c r="B919" s="2" t="s">
        <v>1589</v>
      </c>
      <c r="C919" s="3" t="s">
        <v>52</v>
      </c>
      <c r="D919" s="4">
        <v>1462280.47</v>
      </c>
      <c r="E919" s="4">
        <v>1.2</v>
      </c>
      <c r="F919" s="4">
        <v>1754736.57</v>
      </c>
      <c r="G919" s="4">
        <v>1.2</v>
      </c>
      <c r="H919" s="4">
        <v>1754736.57</v>
      </c>
    </row>
    <row r="920" s="1" customFormat="1" ht="14" spans="1:8">
      <c r="A920" s="2">
        <v>3002036</v>
      </c>
      <c r="B920" s="2" t="s">
        <v>1590</v>
      </c>
      <c r="C920" s="3" t="s">
        <v>52</v>
      </c>
      <c r="D920" s="4">
        <v>36.72</v>
      </c>
      <c r="E920" s="4">
        <v>3.43</v>
      </c>
      <c r="F920" s="4">
        <v>125.94</v>
      </c>
      <c r="G920" s="4">
        <v>3.43</v>
      </c>
      <c r="H920" s="4">
        <v>125.94</v>
      </c>
    </row>
    <row r="921" s="1" customFormat="1" ht="14" spans="1:8">
      <c r="A921" s="2">
        <v>3002040</v>
      </c>
      <c r="B921" s="2" t="s">
        <v>1591</v>
      </c>
      <c r="C921" s="3" t="s">
        <v>52</v>
      </c>
      <c r="D921" s="4">
        <v>337227.55</v>
      </c>
      <c r="E921" s="4">
        <v>1.36</v>
      </c>
      <c r="F921" s="4">
        <v>458629.45</v>
      </c>
      <c r="G921" s="4">
        <v>1.36</v>
      </c>
      <c r="H921" s="4">
        <v>458629.45</v>
      </c>
    </row>
    <row r="922" s="1" customFormat="1" ht="14" spans="1:8">
      <c r="A922" s="2">
        <v>3002042</v>
      </c>
      <c r="B922" s="2" t="s">
        <v>1592</v>
      </c>
      <c r="C922" s="3" t="s">
        <v>52</v>
      </c>
      <c r="D922" s="4">
        <v>2.63</v>
      </c>
      <c r="E922" s="4">
        <v>4.12</v>
      </c>
      <c r="F922" s="4">
        <v>10.8</v>
      </c>
      <c r="G922" s="4">
        <v>4.12</v>
      </c>
      <c r="H922" s="4">
        <v>10.8</v>
      </c>
    </row>
    <row r="923" s="1" customFormat="1" ht="14" spans="1:8">
      <c r="A923" s="2">
        <v>3002044</v>
      </c>
      <c r="B923" s="2" t="s">
        <v>1593</v>
      </c>
      <c r="C923" s="3" t="s">
        <v>52</v>
      </c>
      <c r="D923" s="4">
        <v>163.68</v>
      </c>
      <c r="E923" s="4">
        <v>0.64</v>
      </c>
      <c r="F923" s="4">
        <v>104.84</v>
      </c>
      <c r="G923" s="4">
        <v>0.64</v>
      </c>
      <c r="H923" s="4">
        <v>104.84</v>
      </c>
    </row>
    <row r="924" s="1" customFormat="1" ht="14" spans="1:8">
      <c r="A924" s="2">
        <v>3002049</v>
      </c>
      <c r="B924" s="2" t="s">
        <v>1594</v>
      </c>
      <c r="C924" s="3" t="s">
        <v>52</v>
      </c>
      <c r="D924" s="4">
        <v>2097.23</v>
      </c>
      <c r="E924" s="4">
        <v>13.55</v>
      </c>
      <c r="F924" s="4">
        <v>28417.48</v>
      </c>
      <c r="G924" s="4">
        <v>13.55</v>
      </c>
      <c r="H924" s="4">
        <v>28417.48</v>
      </c>
    </row>
    <row r="925" s="1" customFormat="1" ht="14" spans="1:8">
      <c r="A925" s="2">
        <v>3003010</v>
      </c>
      <c r="B925" s="2" t="s">
        <v>1595</v>
      </c>
      <c r="C925" s="3" t="s">
        <v>52</v>
      </c>
      <c r="D925" s="4">
        <v>42.12</v>
      </c>
      <c r="E925" s="4">
        <v>128.62</v>
      </c>
      <c r="F925" s="4">
        <v>5417.46</v>
      </c>
      <c r="G925" s="4">
        <v>128.62</v>
      </c>
      <c r="H925" s="4">
        <v>5417.46</v>
      </c>
    </row>
    <row r="926" s="1" customFormat="1" ht="14" spans="1:8">
      <c r="A926" s="2">
        <v>3003011</v>
      </c>
      <c r="B926" s="2" t="s">
        <v>1596</v>
      </c>
      <c r="C926" s="3" t="s">
        <v>45</v>
      </c>
      <c r="D926" s="4">
        <v>62537.48</v>
      </c>
      <c r="E926" s="4">
        <v>2.73</v>
      </c>
      <c r="F926" s="4">
        <v>170727.37</v>
      </c>
      <c r="G926" s="4">
        <v>2.73</v>
      </c>
      <c r="H926" s="4">
        <v>170727.37</v>
      </c>
    </row>
    <row r="927" s="1" customFormat="1" ht="14" spans="1:8">
      <c r="A927" s="2">
        <v>3003012</v>
      </c>
      <c r="B927" s="2" t="s">
        <v>1597</v>
      </c>
      <c r="C927" s="3" t="s">
        <v>45</v>
      </c>
      <c r="D927" s="4">
        <v>2932.87</v>
      </c>
      <c r="E927" s="4">
        <v>8.17</v>
      </c>
      <c r="F927" s="4">
        <v>23961.67</v>
      </c>
      <c r="G927" s="4">
        <v>8.17</v>
      </c>
      <c r="H927" s="4">
        <v>23961.67</v>
      </c>
    </row>
    <row r="928" s="1" customFormat="1" ht="14" spans="1:8">
      <c r="A928" s="2">
        <v>3003014</v>
      </c>
      <c r="B928" s="2" t="s">
        <v>1598</v>
      </c>
      <c r="C928" s="3" t="s">
        <v>45</v>
      </c>
      <c r="D928" s="4">
        <v>828.61</v>
      </c>
      <c r="E928" s="4">
        <v>1.75</v>
      </c>
      <c r="F928" s="4">
        <v>1450.01</v>
      </c>
      <c r="G928" s="4">
        <v>1.75</v>
      </c>
      <c r="H928" s="4">
        <v>1450.01</v>
      </c>
    </row>
    <row r="929" s="1" customFormat="1" ht="14" spans="1:8">
      <c r="A929" s="2">
        <v>3003015</v>
      </c>
      <c r="B929" s="2" t="s">
        <v>1599</v>
      </c>
      <c r="C929" s="3" t="s">
        <v>52</v>
      </c>
      <c r="D929" s="4">
        <v>34945.21</v>
      </c>
      <c r="E929" s="4">
        <v>12.65</v>
      </c>
      <c r="F929" s="4">
        <v>442057.25</v>
      </c>
      <c r="G929" s="4">
        <v>12.65</v>
      </c>
      <c r="H929" s="4">
        <v>442057.25</v>
      </c>
    </row>
    <row r="930" s="1" customFormat="1" ht="14" spans="1:8">
      <c r="A930" s="2">
        <v>3004016</v>
      </c>
      <c r="B930" s="2" t="s">
        <v>1600</v>
      </c>
      <c r="C930" s="3" t="s">
        <v>52</v>
      </c>
      <c r="D930" s="4">
        <v>158.35</v>
      </c>
      <c r="E930" s="4">
        <v>6.43</v>
      </c>
      <c r="F930" s="4">
        <v>1018.21</v>
      </c>
      <c r="G930" s="4">
        <v>6.43</v>
      </c>
      <c r="H930" s="4">
        <v>1018.21</v>
      </c>
    </row>
    <row r="931" s="1" customFormat="1" ht="14" spans="1:8">
      <c r="A931" s="2">
        <v>3004017</v>
      </c>
      <c r="B931" s="2" t="s">
        <v>1601</v>
      </c>
      <c r="C931" s="3" t="s">
        <v>52</v>
      </c>
      <c r="D931" s="4">
        <v>593.73</v>
      </c>
      <c r="E931" s="4">
        <v>7.72</v>
      </c>
      <c r="F931" s="4">
        <v>4583.62</v>
      </c>
      <c r="G931" s="4">
        <v>7.72</v>
      </c>
      <c r="H931" s="4">
        <v>4583.62</v>
      </c>
    </row>
    <row r="932" s="1" customFormat="1" ht="14" spans="1:8">
      <c r="A932" s="2">
        <v>3004018</v>
      </c>
      <c r="B932" s="2" t="s">
        <v>1602</v>
      </c>
      <c r="C932" s="3" t="s">
        <v>52</v>
      </c>
      <c r="D932" s="4">
        <v>43.41</v>
      </c>
      <c r="E932" s="4">
        <v>6.17</v>
      </c>
      <c r="F932" s="4">
        <v>267.84</v>
      </c>
      <c r="G932" s="4">
        <v>6.17</v>
      </c>
      <c r="H932" s="4">
        <v>267.84</v>
      </c>
    </row>
    <row r="933" s="1" customFormat="1" ht="14" spans="1:8">
      <c r="A933" s="2">
        <v>3004021</v>
      </c>
      <c r="B933" s="2" t="s">
        <v>1603</v>
      </c>
      <c r="C933" s="3" t="s">
        <v>52</v>
      </c>
      <c r="D933" s="4">
        <v>37.36</v>
      </c>
      <c r="E933" s="4">
        <v>5.32</v>
      </c>
      <c r="F933" s="4">
        <v>198.76</v>
      </c>
      <c r="G933" s="4">
        <v>5.32</v>
      </c>
      <c r="H933" s="4">
        <v>198.76</v>
      </c>
    </row>
    <row r="934" s="1" customFormat="1" ht="14" spans="1:8">
      <c r="A934" s="2">
        <v>3004024</v>
      </c>
      <c r="B934" s="2" t="s">
        <v>1604</v>
      </c>
      <c r="C934" s="3" t="s">
        <v>52</v>
      </c>
      <c r="D934" s="4">
        <v>2216.14</v>
      </c>
      <c r="E934" s="4">
        <v>7.63</v>
      </c>
      <c r="F934" s="4">
        <v>16909.07</v>
      </c>
      <c r="G934" s="4">
        <v>7.63</v>
      </c>
      <c r="H934" s="4">
        <v>16909.07</v>
      </c>
    </row>
    <row r="935" s="1" customFormat="1" ht="14" spans="1:8">
      <c r="A935" s="2">
        <v>3004027</v>
      </c>
      <c r="B935" s="2" t="s">
        <v>1605</v>
      </c>
      <c r="C935" s="3" t="s">
        <v>52</v>
      </c>
      <c r="D935" s="4">
        <v>63.25</v>
      </c>
      <c r="E935" s="4">
        <v>16.21</v>
      </c>
      <c r="F935" s="4">
        <v>1025.25</v>
      </c>
      <c r="G935" s="4">
        <v>16.21</v>
      </c>
      <c r="H935" s="4">
        <v>1025.25</v>
      </c>
    </row>
    <row r="936" s="1" customFormat="1" ht="14" spans="1:8">
      <c r="A936" s="2">
        <v>3004029</v>
      </c>
      <c r="B936" s="2" t="s">
        <v>1606</v>
      </c>
      <c r="C936" s="3" t="s">
        <v>52</v>
      </c>
      <c r="D936" s="4">
        <v>4.46</v>
      </c>
      <c r="E936" s="4">
        <v>7.72</v>
      </c>
      <c r="F936" s="4">
        <v>34.43</v>
      </c>
      <c r="G936" s="4">
        <v>7.72</v>
      </c>
      <c r="H936" s="4">
        <v>34.43</v>
      </c>
    </row>
    <row r="937" s="1" customFormat="1" ht="14" spans="1:8">
      <c r="A937" s="2">
        <v>3004033</v>
      </c>
      <c r="B937" s="2" t="s">
        <v>1607</v>
      </c>
      <c r="C937" s="3" t="s">
        <v>52</v>
      </c>
      <c r="D937" s="4">
        <v>232.3</v>
      </c>
      <c r="E937" s="4">
        <v>0.56</v>
      </c>
      <c r="F937" s="4">
        <v>130.09</v>
      </c>
      <c r="G937" s="4">
        <v>0.56</v>
      </c>
      <c r="H937" s="4">
        <v>130.09</v>
      </c>
    </row>
    <row r="938" s="1" customFormat="1" ht="14" spans="1:8">
      <c r="A938" s="2">
        <v>3004034</v>
      </c>
      <c r="B938" s="2" t="s">
        <v>1608</v>
      </c>
      <c r="C938" s="3" t="s">
        <v>52</v>
      </c>
      <c r="D938" s="4">
        <v>1074.11</v>
      </c>
      <c r="E938" s="4">
        <v>11.44</v>
      </c>
      <c r="F938" s="4">
        <v>12287.61</v>
      </c>
      <c r="G938" s="4">
        <v>11.44</v>
      </c>
      <c r="H938" s="4">
        <v>12287.61</v>
      </c>
    </row>
    <row r="939" s="1" customFormat="1" ht="14" spans="1:8">
      <c r="A939" s="2">
        <v>3004035</v>
      </c>
      <c r="B939" s="2" t="s">
        <v>1609</v>
      </c>
      <c r="C939" s="3" t="s">
        <v>1610</v>
      </c>
      <c r="D939" s="4">
        <v>29.16</v>
      </c>
      <c r="E939" s="4">
        <v>15.25</v>
      </c>
      <c r="F939" s="4">
        <v>444.69</v>
      </c>
      <c r="G939" s="4">
        <v>15.25</v>
      </c>
      <c r="H939" s="4">
        <v>444.69</v>
      </c>
    </row>
    <row r="940" s="1" customFormat="1" ht="14" spans="1:8">
      <c r="A940" s="2">
        <v>3004036</v>
      </c>
      <c r="B940" s="2" t="s">
        <v>1611</v>
      </c>
      <c r="C940" s="3" t="s">
        <v>1610</v>
      </c>
      <c r="D940" s="4">
        <v>18.4</v>
      </c>
      <c r="E940" s="4">
        <v>9.26</v>
      </c>
      <c r="F940" s="4">
        <v>170.39</v>
      </c>
      <c r="G940" s="4">
        <v>9.26</v>
      </c>
      <c r="H940" s="4">
        <v>170.39</v>
      </c>
    </row>
    <row r="941" s="1" customFormat="1" ht="14" spans="1:8">
      <c r="A941" s="2">
        <v>3004046</v>
      </c>
      <c r="B941" s="2" t="s">
        <v>1612</v>
      </c>
      <c r="C941" s="3" t="s">
        <v>704</v>
      </c>
      <c r="D941" s="4">
        <v>38328</v>
      </c>
      <c r="E941" s="4">
        <v>0.16</v>
      </c>
      <c r="F941" s="4">
        <v>6132.48</v>
      </c>
      <c r="G941" s="4">
        <v>0.16</v>
      </c>
      <c r="H941" s="4">
        <v>6132.48</v>
      </c>
    </row>
    <row r="942" s="1" customFormat="1" ht="14" spans="1:8">
      <c r="A942" s="2">
        <v>3004047</v>
      </c>
      <c r="B942" s="2" t="s">
        <v>1613</v>
      </c>
      <c r="C942" s="3" t="s">
        <v>52</v>
      </c>
      <c r="D942" s="4">
        <v>40341.1</v>
      </c>
      <c r="E942" s="4">
        <v>27.35</v>
      </c>
      <c r="F942" s="4">
        <v>1103329.76</v>
      </c>
      <c r="G942" s="4">
        <v>27.35</v>
      </c>
      <c r="H942" s="4">
        <v>1103329.76</v>
      </c>
    </row>
    <row r="943" s="1" customFormat="1" ht="14" spans="1:8">
      <c r="A943" s="2">
        <v>3005006</v>
      </c>
      <c r="B943" s="2" t="s">
        <v>1614</v>
      </c>
      <c r="C943" s="3" t="s">
        <v>52</v>
      </c>
      <c r="D943" s="4">
        <v>780.27</v>
      </c>
      <c r="E943" s="4">
        <v>8.57</v>
      </c>
      <c r="F943" s="4">
        <v>6686.79</v>
      </c>
      <c r="G943" s="4">
        <v>8.57</v>
      </c>
      <c r="H943" s="4">
        <v>6686.79</v>
      </c>
    </row>
    <row r="944" s="1" customFormat="1" ht="14" spans="1:8">
      <c r="A944" s="2">
        <v>3005007</v>
      </c>
      <c r="B944" s="2" t="s">
        <v>1615</v>
      </c>
      <c r="C944" s="3" t="s">
        <v>29</v>
      </c>
      <c r="D944" s="4">
        <v>412.09</v>
      </c>
      <c r="E944" s="4">
        <v>2143.64</v>
      </c>
      <c r="F944" s="4">
        <v>883374.75</v>
      </c>
      <c r="G944" s="4">
        <v>2143.64</v>
      </c>
      <c r="H944" s="4">
        <v>883374.75</v>
      </c>
    </row>
    <row r="945" s="1" customFormat="1" ht="14" spans="1:8">
      <c r="A945" s="2">
        <v>3005008</v>
      </c>
      <c r="B945" s="2" t="s">
        <v>1616</v>
      </c>
      <c r="C945" s="3" t="s">
        <v>52</v>
      </c>
      <c r="D945" s="4">
        <v>752988.09</v>
      </c>
      <c r="E945" s="4">
        <v>2.32</v>
      </c>
      <c r="F945" s="4">
        <v>1746932.35</v>
      </c>
      <c r="G945" s="4">
        <v>2.32</v>
      </c>
      <c r="H945" s="4">
        <v>1746932.35</v>
      </c>
    </row>
    <row r="946" s="1" customFormat="1" ht="14" spans="1:8">
      <c r="A946" s="2">
        <v>3005009</v>
      </c>
      <c r="B946" s="2" t="s">
        <v>1617</v>
      </c>
      <c r="C946" s="3" t="s">
        <v>52</v>
      </c>
      <c r="D946" s="4">
        <v>3182073.49</v>
      </c>
      <c r="E946" s="4">
        <v>3.69</v>
      </c>
      <c r="F946" s="4">
        <v>11741851.01</v>
      </c>
      <c r="G946" s="4">
        <v>3.69</v>
      </c>
      <c r="H946" s="4">
        <v>11741851.01</v>
      </c>
    </row>
    <row r="947" s="1" customFormat="1" ht="14" spans="1:8">
      <c r="A947" s="2">
        <v>3005013</v>
      </c>
      <c r="B947" s="2" t="s">
        <v>1618</v>
      </c>
      <c r="C947" s="3" t="s">
        <v>29</v>
      </c>
      <c r="D947" s="4">
        <v>8.38</v>
      </c>
      <c r="E947" s="4">
        <v>1200.44</v>
      </c>
      <c r="F947" s="4">
        <v>10056.07</v>
      </c>
      <c r="G947" s="4">
        <v>1200.44</v>
      </c>
      <c r="H947" s="4">
        <v>10056.07</v>
      </c>
    </row>
    <row r="948" s="1" customFormat="1" ht="14" spans="1:8">
      <c r="A948" s="2">
        <v>3005014</v>
      </c>
      <c r="B948" s="2" t="s">
        <v>1619</v>
      </c>
      <c r="C948" s="3" t="s">
        <v>52</v>
      </c>
      <c r="D948" s="4">
        <v>30.38</v>
      </c>
      <c r="E948" s="4">
        <v>1.34</v>
      </c>
      <c r="F948" s="4">
        <v>40.71</v>
      </c>
      <c r="G948" s="4">
        <v>1.34</v>
      </c>
      <c r="H948" s="4">
        <v>40.71</v>
      </c>
    </row>
    <row r="949" s="1" customFormat="1" ht="14" spans="1:8">
      <c r="A949" s="2">
        <v>3005017</v>
      </c>
      <c r="B949" s="2" t="s">
        <v>1620</v>
      </c>
      <c r="C949" s="3" t="s">
        <v>725</v>
      </c>
      <c r="D949" s="4">
        <v>157.83</v>
      </c>
      <c r="E949" s="4">
        <v>2.54</v>
      </c>
      <c r="F949" s="4">
        <v>400.89</v>
      </c>
      <c r="G949" s="4">
        <v>2.54</v>
      </c>
      <c r="H949" s="4">
        <v>400.89</v>
      </c>
    </row>
    <row r="950" s="1" customFormat="1" ht="14" spans="1:8">
      <c r="A950" s="2">
        <v>3005025</v>
      </c>
      <c r="B950" s="2" t="s">
        <v>1621</v>
      </c>
      <c r="C950" s="3" t="s">
        <v>52</v>
      </c>
      <c r="D950" s="4">
        <v>97025</v>
      </c>
      <c r="E950" s="4">
        <v>1.29</v>
      </c>
      <c r="F950" s="4">
        <v>125162.25</v>
      </c>
      <c r="G950" s="4">
        <v>1.29</v>
      </c>
      <c r="H950" s="4">
        <v>125162.25</v>
      </c>
    </row>
    <row r="951" s="1" customFormat="1" ht="14" spans="1:8">
      <c r="A951" s="2">
        <v>3005029</v>
      </c>
      <c r="B951" s="2" t="s">
        <v>1622</v>
      </c>
      <c r="C951" s="3" t="s">
        <v>52</v>
      </c>
      <c r="D951" s="4">
        <v>584.2</v>
      </c>
      <c r="E951" s="4">
        <v>7.72</v>
      </c>
      <c r="F951" s="4">
        <v>4510.01</v>
      </c>
      <c r="G951" s="4">
        <v>7.72</v>
      </c>
      <c r="H951" s="4">
        <v>4510.01</v>
      </c>
    </row>
    <row r="952" s="1" customFormat="1" ht="14" spans="1:8">
      <c r="A952" s="2">
        <v>3005031</v>
      </c>
      <c r="B952" s="2" t="s">
        <v>1623</v>
      </c>
      <c r="C952" s="3" t="s">
        <v>52</v>
      </c>
      <c r="D952" s="4">
        <v>3.62</v>
      </c>
      <c r="E952" s="4">
        <v>12.86</v>
      </c>
      <c r="F952" s="4">
        <v>46.7</v>
      </c>
      <c r="G952" s="4">
        <v>12.86</v>
      </c>
      <c r="H952" s="4">
        <v>46.7</v>
      </c>
    </row>
    <row r="953" s="1" customFormat="1" ht="14" spans="1:8">
      <c r="A953" s="2">
        <v>3005036</v>
      </c>
      <c r="B953" s="2" t="s">
        <v>1624</v>
      </c>
      <c r="C953" s="3" t="s">
        <v>52</v>
      </c>
      <c r="D953" s="4">
        <v>115914.79</v>
      </c>
      <c r="E953" s="4">
        <v>7.03</v>
      </c>
      <c r="F953" s="4">
        <v>814880.99</v>
      </c>
      <c r="G953" s="4">
        <v>7.03</v>
      </c>
      <c r="H953" s="4">
        <v>814880.99</v>
      </c>
    </row>
    <row r="954" s="1" customFormat="1" ht="14" spans="1:8">
      <c r="A954" s="2">
        <v>3005037</v>
      </c>
      <c r="B954" s="2" t="s">
        <v>1625</v>
      </c>
      <c r="C954" s="3" t="s">
        <v>52</v>
      </c>
      <c r="D954" s="4">
        <v>376854.64</v>
      </c>
      <c r="E954" s="4">
        <v>8.57</v>
      </c>
      <c r="F954" s="4">
        <v>3229644.2</v>
      </c>
      <c r="G954" s="4">
        <v>8.57</v>
      </c>
      <c r="H954" s="4">
        <v>3229644.2</v>
      </c>
    </row>
    <row r="955" s="1" customFormat="1" ht="14" spans="1:8">
      <c r="A955" s="2">
        <v>3005039</v>
      </c>
      <c r="B955" s="2" t="s">
        <v>1626</v>
      </c>
      <c r="C955" s="3" t="s">
        <v>52</v>
      </c>
      <c r="D955" s="4">
        <v>1995.4</v>
      </c>
      <c r="E955" s="4">
        <v>15.82</v>
      </c>
      <c r="F955" s="4">
        <v>31567.23</v>
      </c>
      <c r="G955" s="4">
        <v>15.82</v>
      </c>
      <c r="H955" s="4">
        <v>31567.23</v>
      </c>
    </row>
    <row r="956" s="1" customFormat="1" ht="14" spans="1:8">
      <c r="A956" s="2">
        <v>3005040</v>
      </c>
      <c r="B956" s="2" t="s">
        <v>1627</v>
      </c>
      <c r="C956" s="3" t="s">
        <v>52</v>
      </c>
      <c r="D956" s="4">
        <v>9977</v>
      </c>
      <c r="E956" s="4">
        <v>0.56</v>
      </c>
      <c r="F956" s="4">
        <v>5587.12</v>
      </c>
      <c r="G956" s="4">
        <v>0.56</v>
      </c>
      <c r="H956" s="4">
        <v>5587.12</v>
      </c>
    </row>
    <row r="957" s="1" customFormat="1" ht="14" spans="1:8">
      <c r="A957" s="2">
        <v>3005043</v>
      </c>
      <c r="B957" s="2" t="s">
        <v>1628</v>
      </c>
      <c r="C957" s="3" t="s">
        <v>52</v>
      </c>
      <c r="D957" s="4">
        <v>4486.04</v>
      </c>
      <c r="E957" s="4">
        <v>13.72</v>
      </c>
      <c r="F957" s="4">
        <v>61548.38</v>
      </c>
      <c r="G957" s="4">
        <v>13.72</v>
      </c>
      <c r="H957" s="4">
        <v>61548.38</v>
      </c>
    </row>
    <row r="958" s="1" customFormat="1" ht="14" spans="1:8">
      <c r="A958" s="2">
        <v>3005044</v>
      </c>
      <c r="B958" s="2" t="s">
        <v>1629</v>
      </c>
      <c r="C958" s="3" t="s">
        <v>52</v>
      </c>
      <c r="D958" s="4">
        <v>11064.98</v>
      </c>
      <c r="E958" s="4">
        <v>6.86</v>
      </c>
      <c r="F958" s="4">
        <v>75905.73</v>
      </c>
      <c r="G958" s="4">
        <v>6.86</v>
      </c>
      <c r="H958" s="4">
        <v>75905.73</v>
      </c>
    </row>
    <row r="959" s="1" customFormat="1" ht="14" spans="1:8">
      <c r="A959" s="2">
        <v>3005046</v>
      </c>
      <c r="B959" s="2" t="s">
        <v>1630</v>
      </c>
      <c r="C959" s="3" t="s">
        <v>52</v>
      </c>
      <c r="D959" s="4">
        <v>1079.66</v>
      </c>
      <c r="E959" s="4">
        <v>10.29</v>
      </c>
      <c r="F959" s="4">
        <v>11109.69</v>
      </c>
      <c r="G959" s="4">
        <v>10.29</v>
      </c>
      <c r="H959" s="4">
        <v>11109.69</v>
      </c>
    </row>
    <row r="960" s="1" customFormat="1" ht="14" spans="1:8">
      <c r="A960" s="2">
        <v>3005047</v>
      </c>
      <c r="B960" s="2" t="s">
        <v>1631</v>
      </c>
      <c r="C960" s="3" t="s">
        <v>52</v>
      </c>
      <c r="D960" s="4">
        <v>130757.65</v>
      </c>
      <c r="E960" s="4">
        <v>2.57</v>
      </c>
      <c r="F960" s="4">
        <v>336047.13</v>
      </c>
      <c r="G960" s="4">
        <v>2.57</v>
      </c>
      <c r="H960" s="4">
        <v>336047.13</v>
      </c>
    </row>
    <row r="961" s="1" customFormat="1" ht="14" spans="1:8">
      <c r="A961" s="2">
        <v>3110024</v>
      </c>
      <c r="B961" s="2" t="s">
        <v>1632</v>
      </c>
      <c r="C961" s="3" t="s">
        <v>52</v>
      </c>
      <c r="D961" s="4">
        <v>50</v>
      </c>
      <c r="E961" s="4">
        <v>11.15</v>
      </c>
      <c r="F961" s="4">
        <v>557.55</v>
      </c>
      <c r="G961" s="4">
        <v>11.15</v>
      </c>
      <c r="H961" s="4">
        <v>557.55</v>
      </c>
    </row>
    <row r="962" s="1" customFormat="1" ht="14" spans="1:8">
      <c r="A962" s="2">
        <v>3110026</v>
      </c>
      <c r="B962" s="2" t="s">
        <v>1633</v>
      </c>
      <c r="C962" s="3" t="s">
        <v>52</v>
      </c>
      <c r="D962" s="4">
        <v>1345.64</v>
      </c>
      <c r="E962" s="4">
        <v>3.69</v>
      </c>
      <c r="F962" s="4">
        <v>4965.41</v>
      </c>
      <c r="G962" s="4">
        <v>3.69</v>
      </c>
      <c r="H962" s="4">
        <v>4965.41</v>
      </c>
    </row>
    <row r="963" s="1" customFormat="1" ht="14" spans="1:8">
      <c r="A963" s="2">
        <v>3110030</v>
      </c>
      <c r="B963" s="2" t="s">
        <v>1634</v>
      </c>
      <c r="C963" s="3" t="s">
        <v>52</v>
      </c>
      <c r="D963" s="4">
        <v>2188.49</v>
      </c>
      <c r="E963" s="4">
        <v>21.44</v>
      </c>
      <c r="F963" s="4">
        <v>46921.05</v>
      </c>
      <c r="G963" s="4">
        <v>21.44</v>
      </c>
      <c r="H963" s="4">
        <v>46921.05</v>
      </c>
    </row>
    <row r="964" s="1" customFormat="1" ht="14" spans="1:8">
      <c r="A964" s="2">
        <v>3110031</v>
      </c>
      <c r="B964" s="2" t="s">
        <v>1635</v>
      </c>
      <c r="C964" s="3" t="s">
        <v>52</v>
      </c>
      <c r="D964" s="4">
        <v>3419.7</v>
      </c>
      <c r="E964" s="4">
        <v>94.32</v>
      </c>
      <c r="F964" s="4">
        <v>322546.09</v>
      </c>
      <c r="G964" s="4">
        <v>94.32</v>
      </c>
      <c r="H964" s="4">
        <v>322546.09</v>
      </c>
    </row>
    <row r="965" s="1" customFormat="1" ht="14" spans="1:8">
      <c r="A965" s="2">
        <v>3110038</v>
      </c>
      <c r="B965" s="2" t="s">
        <v>1636</v>
      </c>
      <c r="C965" s="3" t="s">
        <v>52</v>
      </c>
      <c r="D965" s="4">
        <v>87924.98</v>
      </c>
      <c r="E965" s="4">
        <v>32.93</v>
      </c>
      <c r="F965" s="4">
        <v>2895369.4</v>
      </c>
      <c r="G965" s="4">
        <v>32.93</v>
      </c>
      <c r="H965" s="4">
        <v>2895369.4</v>
      </c>
    </row>
    <row r="966" s="1" customFormat="1" ht="14" spans="1:8">
      <c r="A966" s="2">
        <v>3110092</v>
      </c>
      <c r="B966" s="2" t="s">
        <v>1637</v>
      </c>
      <c r="C966" s="3" t="s">
        <v>52</v>
      </c>
      <c r="D966" s="4">
        <v>18032.57</v>
      </c>
      <c r="E966" s="4">
        <v>22.29</v>
      </c>
      <c r="F966" s="4">
        <v>401946.01</v>
      </c>
      <c r="G966" s="4">
        <v>22.29</v>
      </c>
      <c r="H966" s="4">
        <v>401946.01</v>
      </c>
    </row>
    <row r="967" s="1" customFormat="1" ht="14" spans="1:8">
      <c r="A967" s="2">
        <v>3110093</v>
      </c>
      <c r="B967" s="2" t="s">
        <v>1638</v>
      </c>
      <c r="C967" s="3" t="s">
        <v>52</v>
      </c>
      <c r="D967" s="4">
        <v>1522.75</v>
      </c>
      <c r="E967" s="4">
        <v>1.72</v>
      </c>
      <c r="F967" s="4">
        <v>2619.13</v>
      </c>
      <c r="G967" s="4">
        <v>1.72</v>
      </c>
      <c r="H967" s="4">
        <v>2619.13</v>
      </c>
    </row>
    <row r="968" s="1" customFormat="1" ht="14" spans="1:8">
      <c r="A968" s="2">
        <v>3110095</v>
      </c>
      <c r="B968" s="2" t="s">
        <v>1639</v>
      </c>
      <c r="C968" s="3" t="s">
        <v>52</v>
      </c>
      <c r="D968" s="4">
        <v>21364.13</v>
      </c>
      <c r="E968" s="4">
        <v>12.86</v>
      </c>
      <c r="F968" s="4">
        <v>274742.78</v>
      </c>
      <c r="G968" s="4">
        <v>12.86</v>
      </c>
      <c r="H968" s="4">
        <v>274742.78</v>
      </c>
    </row>
    <row r="969" s="1" customFormat="1" ht="14" spans="1:8">
      <c r="A969" s="2">
        <v>3110099</v>
      </c>
      <c r="B969" s="2" t="s">
        <v>1640</v>
      </c>
      <c r="C969" s="3" t="s">
        <v>52</v>
      </c>
      <c r="D969" s="4">
        <v>1305.99</v>
      </c>
      <c r="E969" s="4">
        <v>15.43</v>
      </c>
      <c r="F969" s="4">
        <v>20151.43</v>
      </c>
      <c r="G969" s="4">
        <v>15.43</v>
      </c>
      <c r="H969" s="4">
        <v>20151.43</v>
      </c>
    </row>
    <row r="970" s="1" customFormat="1" ht="14" spans="1:8">
      <c r="A970" s="2">
        <v>3110100</v>
      </c>
      <c r="B970" s="2" t="s">
        <v>1641</v>
      </c>
      <c r="C970" s="3" t="s">
        <v>52</v>
      </c>
      <c r="D970" s="4">
        <v>37.34</v>
      </c>
      <c r="E970" s="4">
        <v>22.64</v>
      </c>
      <c r="F970" s="4">
        <v>845.31</v>
      </c>
      <c r="G970" s="4">
        <v>22.64</v>
      </c>
      <c r="H970" s="4">
        <v>845.31</v>
      </c>
    </row>
    <row r="971" s="1" customFormat="1" ht="14" spans="1:8">
      <c r="A971" s="2">
        <v>3110101</v>
      </c>
      <c r="B971" s="2" t="s">
        <v>1642</v>
      </c>
      <c r="C971" s="3" t="s">
        <v>52</v>
      </c>
      <c r="D971" s="4">
        <v>34055.18</v>
      </c>
      <c r="E971" s="4">
        <v>6.43</v>
      </c>
      <c r="F971" s="4">
        <v>218974.82</v>
      </c>
      <c r="G971" s="4">
        <v>6.43</v>
      </c>
      <c r="H971" s="4">
        <v>218974.82</v>
      </c>
    </row>
    <row r="972" s="1" customFormat="1" ht="14" spans="1:8">
      <c r="A972" s="2">
        <v>3120102</v>
      </c>
      <c r="B972" s="2" t="s">
        <v>1643</v>
      </c>
      <c r="C972" s="3" t="s">
        <v>52</v>
      </c>
      <c r="D972" s="4">
        <v>58.14</v>
      </c>
      <c r="E972" s="4">
        <v>12.86</v>
      </c>
      <c r="F972" s="4">
        <v>747.68</v>
      </c>
      <c r="G972" s="4">
        <v>12.86</v>
      </c>
      <c r="H972" s="4">
        <v>747.68</v>
      </c>
    </row>
    <row r="973" s="1" customFormat="1" ht="14" spans="1:8">
      <c r="A973" s="2">
        <v>3120103</v>
      </c>
      <c r="B973" s="2" t="s">
        <v>1644</v>
      </c>
      <c r="C973" s="3" t="s">
        <v>52</v>
      </c>
      <c r="D973" s="4">
        <v>165.36</v>
      </c>
      <c r="E973" s="4">
        <v>10.89</v>
      </c>
      <c r="F973" s="4">
        <v>1800.77</v>
      </c>
      <c r="G973" s="4">
        <v>10.89</v>
      </c>
      <c r="H973" s="4">
        <v>1800.77</v>
      </c>
    </row>
    <row r="974" s="1" customFormat="1" ht="14" spans="1:8">
      <c r="A974" s="2">
        <v>3120108</v>
      </c>
      <c r="B974" s="2" t="s">
        <v>1645</v>
      </c>
      <c r="C974" s="3" t="s">
        <v>52</v>
      </c>
      <c r="D974" s="4">
        <v>1741.84</v>
      </c>
      <c r="E974" s="4">
        <v>12.86</v>
      </c>
      <c r="F974" s="4">
        <v>22399.97</v>
      </c>
      <c r="G974" s="4">
        <v>12.86</v>
      </c>
      <c r="H974" s="4">
        <v>22399.97</v>
      </c>
    </row>
    <row r="975" s="1" customFormat="1" ht="14" spans="1:8">
      <c r="A975" s="2">
        <v>3120201</v>
      </c>
      <c r="B975" s="2" t="s">
        <v>1646</v>
      </c>
      <c r="C975" s="3" t="s">
        <v>52</v>
      </c>
      <c r="D975" s="4">
        <v>9.71</v>
      </c>
      <c r="E975" s="4">
        <v>12.86</v>
      </c>
      <c r="F975" s="4">
        <v>124.96</v>
      </c>
      <c r="G975" s="4">
        <v>12.86</v>
      </c>
      <c r="H975" s="4">
        <v>124.96</v>
      </c>
    </row>
    <row r="976" s="1" customFormat="1" ht="14" spans="1:8">
      <c r="A976" s="2">
        <v>3120203</v>
      </c>
      <c r="B976" s="2" t="s">
        <v>1647</v>
      </c>
      <c r="C976" s="3" t="s">
        <v>52</v>
      </c>
      <c r="D976" s="4">
        <v>333.36</v>
      </c>
      <c r="E976" s="4">
        <v>6.69</v>
      </c>
      <c r="F976" s="4">
        <v>2230.05</v>
      </c>
      <c r="G976" s="4">
        <v>6.69</v>
      </c>
      <c r="H976" s="4">
        <v>2230.05</v>
      </c>
    </row>
    <row r="977" s="1" customFormat="1" ht="14" spans="1:8">
      <c r="A977" s="2">
        <v>3120204</v>
      </c>
      <c r="B977" s="2" t="s">
        <v>1648</v>
      </c>
      <c r="C977" s="3" t="s">
        <v>52</v>
      </c>
      <c r="D977" s="4">
        <v>3.78</v>
      </c>
      <c r="E977" s="4">
        <v>2.41</v>
      </c>
      <c r="F977" s="4">
        <v>9.11</v>
      </c>
      <c r="G977" s="4">
        <v>2.41</v>
      </c>
      <c r="H977" s="4">
        <v>9.11</v>
      </c>
    </row>
    <row r="978" s="1" customFormat="1" ht="14" spans="1:8">
      <c r="A978" s="2">
        <v>3120207</v>
      </c>
      <c r="B978" s="2" t="s">
        <v>1649</v>
      </c>
      <c r="C978" s="3" t="s">
        <v>52</v>
      </c>
      <c r="D978" s="4">
        <v>4911.74</v>
      </c>
      <c r="E978" s="4">
        <v>15.38</v>
      </c>
      <c r="F978" s="4">
        <v>75542.37</v>
      </c>
      <c r="G978" s="4">
        <v>15.38</v>
      </c>
      <c r="H978" s="4">
        <v>75542.37</v>
      </c>
    </row>
    <row r="979" s="1" customFormat="1" ht="14" spans="1:8">
      <c r="A979" s="2">
        <v>3120301</v>
      </c>
      <c r="B979" s="2" t="s">
        <v>1650</v>
      </c>
      <c r="C979" s="3" t="s">
        <v>52</v>
      </c>
      <c r="D979" s="4">
        <v>0.01</v>
      </c>
      <c r="E979" s="4">
        <v>17.15</v>
      </c>
      <c r="F979" s="4">
        <v>0.14</v>
      </c>
      <c r="G979" s="4">
        <v>17.15</v>
      </c>
      <c r="H979" s="4">
        <v>0.14</v>
      </c>
    </row>
    <row r="980" s="1" customFormat="1" ht="14" spans="1:8">
      <c r="A980" s="2">
        <v>3120302</v>
      </c>
      <c r="B980" s="2" t="s">
        <v>1651</v>
      </c>
      <c r="C980" s="3" t="s">
        <v>52</v>
      </c>
      <c r="D980" s="4">
        <v>314.6</v>
      </c>
      <c r="E980" s="4">
        <v>12.86</v>
      </c>
      <c r="F980" s="4">
        <v>4045.72</v>
      </c>
      <c r="G980" s="4">
        <v>12.86</v>
      </c>
      <c r="H980" s="4">
        <v>4045.72</v>
      </c>
    </row>
    <row r="981" s="1" customFormat="1" ht="14" spans="1:8">
      <c r="A981" s="2">
        <v>3120303</v>
      </c>
      <c r="B981" s="2" t="s">
        <v>1652</v>
      </c>
      <c r="C981" s="3" t="s">
        <v>52</v>
      </c>
      <c r="D981" s="4">
        <v>3664.63</v>
      </c>
      <c r="E981" s="4">
        <v>12.86</v>
      </c>
      <c r="F981" s="4">
        <v>47127.18</v>
      </c>
      <c r="G981" s="4">
        <v>12.86</v>
      </c>
      <c r="H981" s="4">
        <v>47127.18</v>
      </c>
    </row>
    <row r="982" s="1" customFormat="1" ht="14" spans="1:8">
      <c r="A982" s="2">
        <v>3120305</v>
      </c>
      <c r="B982" s="2" t="s">
        <v>1653</v>
      </c>
      <c r="C982" s="3" t="s">
        <v>52</v>
      </c>
      <c r="D982" s="4">
        <v>1508.96</v>
      </c>
      <c r="E982" s="4">
        <v>7.92</v>
      </c>
      <c r="F982" s="4">
        <v>11951.04</v>
      </c>
      <c r="G982" s="4">
        <v>7.92</v>
      </c>
      <c r="H982" s="4">
        <v>11951.04</v>
      </c>
    </row>
    <row r="983" s="1" customFormat="1" ht="14" spans="1:8">
      <c r="A983" s="2">
        <v>3120307</v>
      </c>
      <c r="B983" s="2" t="s">
        <v>1654</v>
      </c>
      <c r="C983" s="3" t="s">
        <v>52</v>
      </c>
      <c r="D983" s="4">
        <v>39148.04</v>
      </c>
      <c r="E983" s="4">
        <v>11.58</v>
      </c>
      <c r="F983" s="4">
        <v>453334.23</v>
      </c>
      <c r="G983" s="4">
        <v>11.58</v>
      </c>
      <c r="H983" s="4">
        <v>453334.23</v>
      </c>
    </row>
    <row r="984" s="1" customFormat="1" ht="14" spans="1:8">
      <c r="A984" s="2">
        <v>3120311</v>
      </c>
      <c r="B984" s="2" t="s">
        <v>1655</v>
      </c>
      <c r="C984" s="3" t="s">
        <v>52</v>
      </c>
      <c r="D984" s="4">
        <v>13.67</v>
      </c>
      <c r="E984" s="4">
        <v>11.58</v>
      </c>
      <c r="F984" s="4">
        <v>158.32</v>
      </c>
      <c r="G984" s="4">
        <v>11.58</v>
      </c>
      <c r="H984" s="4">
        <v>158.32</v>
      </c>
    </row>
    <row r="985" s="1" customFormat="1" ht="14" spans="1:8">
      <c r="A985" s="2">
        <v>3120401</v>
      </c>
      <c r="B985" s="2" t="s">
        <v>1656</v>
      </c>
      <c r="C985" s="3" t="s">
        <v>52</v>
      </c>
      <c r="D985" s="4">
        <v>59.58</v>
      </c>
      <c r="E985" s="4">
        <v>6.86</v>
      </c>
      <c r="F985" s="4">
        <v>408.72</v>
      </c>
      <c r="G985" s="4">
        <v>6.86</v>
      </c>
      <c r="H985" s="4">
        <v>408.72</v>
      </c>
    </row>
    <row r="986" s="1" customFormat="1" ht="14" spans="1:8">
      <c r="A986" s="2">
        <v>3120403</v>
      </c>
      <c r="B986" s="2" t="s">
        <v>1657</v>
      </c>
      <c r="C986" s="3" t="s">
        <v>52</v>
      </c>
      <c r="D986" s="4">
        <v>5310.73</v>
      </c>
      <c r="E986" s="4">
        <v>8.15</v>
      </c>
      <c r="F986" s="4">
        <v>43282.47</v>
      </c>
      <c r="G986" s="4">
        <v>8.15</v>
      </c>
      <c r="H986" s="4">
        <v>43282.47</v>
      </c>
    </row>
    <row r="987" s="1" customFormat="1" ht="14" spans="1:8">
      <c r="A987" s="2">
        <v>3120407</v>
      </c>
      <c r="B987" s="2" t="s">
        <v>1658</v>
      </c>
      <c r="C987" s="3" t="s">
        <v>52</v>
      </c>
      <c r="D987" s="4">
        <v>1186.12</v>
      </c>
      <c r="E987" s="4">
        <v>8.15</v>
      </c>
      <c r="F987" s="4">
        <v>9667</v>
      </c>
      <c r="G987" s="4">
        <v>8.15</v>
      </c>
      <c r="H987" s="4">
        <v>9667</v>
      </c>
    </row>
    <row r="988" s="1" customFormat="1" ht="14" spans="1:8">
      <c r="A988" s="2">
        <v>3120410</v>
      </c>
      <c r="B988" s="2" t="s">
        <v>1659</v>
      </c>
      <c r="C988" s="3" t="s">
        <v>52</v>
      </c>
      <c r="D988" s="4">
        <v>428.81</v>
      </c>
      <c r="E988" s="4">
        <v>34.3</v>
      </c>
      <c r="F988" s="4">
        <v>14708.2</v>
      </c>
      <c r="G988" s="4">
        <v>34.3</v>
      </c>
      <c r="H988" s="4">
        <v>14708.2</v>
      </c>
    </row>
    <row r="989" s="1" customFormat="1" ht="14" spans="1:8">
      <c r="A989" s="2">
        <v>3120502</v>
      </c>
      <c r="B989" s="2" t="s">
        <v>1660</v>
      </c>
      <c r="C989" s="3" t="s">
        <v>52</v>
      </c>
      <c r="D989" s="4">
        <v>455.45</v>
      </c>
      <c r="E989" s="4">
        <v>14.17</v>
      </c>
      <c r="F989" s="4">
        <v>6453.69</v>
      </c>
      <c r="G989" s="4">
        <v>14.17</v>
      </c>
      <c r="H989" s="4">
        <v>6453.69</v>
      </c>
    </row>
    <row r="990" s="1" customFormat="1" ht="14" spans="1:8">
      <c r="A990" s="2">
        <v>3120506</v>
      </c>
      <c r="B990" s="2" t="s">
        <v>1661</v>
      </c>
      <c r="C990" s="3" t="s">
        <v>52</v>
      </c>
      <c r="D990" s="4">
        <v>288.98</v>
      </c>
      <c r="E990" s="4">
        <v>12.06</v>
      </c>
      <c r="F990" s="4">
        <v>3485.1</v>
      </c>
      <c r="G990" s="4">
        <v>12.06</v>
      </c>
      <c r="H990" s="4">
        <v>3485.1</v>
      </c>
    </row>
    <row r="991" s="1" customFormat="1" ht="14" spans="1:8">
      <c r="A991" s="2">
        <v>3120508</v>
      </c>
      <c r="B991" s="2" t="s">
        <v>1662</v>
      </c>
      <c r="C991" s="3" t="s">
        <v>52</v>
      </c>
      <c r="D991" s="4">
        <v>25.77</v>
      </c>
      <c r="E991" s="4">
        <v>14.83</v>
      </c>
      <c r="F991" s="4">
        <v>382.2</v>
      </c>
      <c r="G991" s="4">
        <v>14.83</v>
      </c>
      <c r="H991" s="4">
        <v>382.2</v>
      </c>
    </row>
    <row r="992" s="1" customFormat="1" ht="14" spans="1:8">
      <c r="A992" s="2">
        <v>3120509</v>
      </c>
      <c r="B992" s="2" t="s">
        <v>1663</v>
      </c>
      <c r="C992" s="3" t="s">
        <v>52</v>
      </c>
      <c r="D992" s="4">
        <v>3634.34</v>
      </c>
      <c r="E992" s="4">
        <v>15.33</v>
      </c>
      <c r="F992" s="4">
        <v>55714.33</v>
      </c>
      <c r="G992" s="4">
        <v>15.33</v>
      </c>
      <c r="H992" s="4">
        <v>55714.33</v>
      </c>
    </row>
    <row r="993" s="1" customFormat="1" ht="14" spans="1:8">
      <c r="A993" s="2">
        <v>3120607</v>
      </c>
      <c r="B993" s="2" t="s">
        <v>1664</v>
      </c>
      <c r="C993" s="3" t="s">
        <v>52</v>
      </c>
      <c r="D993" s="4">
        <v>1817.02</v>
      </c>
      <c r="E993" s="4">
        <v>13.14</v>
      </c>
      <c r="F993" s="4">
        <v>23875.61</v>
      </c>
      <c r="G993" s="4">
        <v>13.14</v>
      </c>
      <c r="H993" s="4">
        <v>23875.61</v>
      </c>
    </row>
    <row r="994" s="1" customFormat="1" ht="14" spans="1:8">
      <c r="A994" s="2">
        <v>3120609</v>
      </c>
      <c r="B994" s="2" t="s">
        <v>1665</v>
      </c>
      <c r="C994" s="3" t="s">
        <v>52</v>
      </c>
      <c r="D994" s="4">
        <v>2052.28</v>
      </c>
      <c r="E994" s="4">
        <v>15.43</v>
      </c>
      <c r="F994" s="4">
        <v>31666.84</v>
      </c>
      <c r="G994" s="4">
        <v>15.43</v>
      </c>
      <c r="H994" s="4">
        <v>31666.84</v>
      </c>
    </row>
    <row r="995" s="1" customFormat="1" ht="14" spans="1:8">
      <c r="A995" s="2">
        <v>3120612</v>
      </c>
      <c r="B995" s="2" t="s">
        <v>1666</v>
      </c>
      <c r="C995" s="3" t="s">
        <v>52</v>
      </c>
      <c r="D995" s="4">
        <v>0.1</v>
      </c>
      <c r="E995" s="4">
        <v>30.01</v>
      </c>
      <c r="F995" s="4">
        <v>3</v>
      </c>
      <c r="G995" s="4">
        <v>30.01</v>
      </c>
      <c r="H995" s="4">
        <v>3</v>
      </c>
    </row>
    <row r="996" s="1" customFormat="1" ht="14" spans="1:8">
      <c r="A996" s="2">
        <v>3120613</v>
      </c>
      <c r="B996" s="2" t="s">
        <v>1667</v>
      </c>
      <c r="C996" s="3" t="s">
        <v>52</v>
      </c>
      <c r="D996" s="4">
        <v>0.05</v>
      </c>
      <c r="E996" s="4">
        <v>12</v>
      </c>
      <c r="F996" s="4">
        <v>0.56</v>
      </c>
      <c r="G996" s="4">
        <v>12</v>
      </c>
      <c r="H996" s="4">
        <v>0.56</v>
      </c>
    </row>
    <row r="997" s="1" customFormat="1" ht="14" spans="1:8">
      <c r="A997" s="2">
        <v>3120614</v>
      </c>
      <c r="B997" s="2" t="s">
        <v>1668</v>
      </c>
      <c r="C997" s="3" t="s">
        <v>52</v>
      </c>
      <c r="D997" s="4">
        <v>228.45</v>
      </c>
      <c r="E997" s="4">
        <v>1.46</v>
      </c>
      <c r="F997" s="4">
        <v>333.68</v>
      </c>
      <c r="G997" s="4">
        <v>1.46</v>
      </c>
      <c r="H997" s="4">
        <v>333.68</v>
      </c>
    </row>
    <row r="998" s="1" customFormat="1" ht="14" spans="1:8">
      <c r="A998" s="2">
        <v>3120615</v>
      </c>
      <c r="B998" s="2" t="s">
        <v>1669</v>
      </c>
      <c r="C998" s="3" t="s">
        <v>52</v>
      </c>
      <c r="D998" s="4">
        <v>10756.92</v>
      </c>
      <c r="E998" s="4">
        <v>12.86</v>
      </c>
      <c r="F998" s="4">
        <v>138333.91</v>
      </c>
      <c r="G998" s="4">
        <v>12.86</v>
      </c>
      <c r="H998" s="4">
        <v>138333.91</v>
      </c>
    </row>
    <row r="999" s="1" customFormat="1" ht="14" spans="1:8">
      <c r="A999" s="2">
        <v>3120616</v>
      </c>
      <c r="B999" s="2" t="s">
        <v>1670</v>
      </c>
      <c r="C999" s="3" t="s">
        <v>52</v>
      </c>
      <c r="D999" s="4">
        <v>32735.77</v>
      </c>
      <c r="E999" s="4">
        <v>15.43</v>
      </c>
      <c r="F999" s="4">
        <v>505113.02</v>
      </c>
      <c r="G999" s="4">
        <v>15.43</v>
      </c>
      <c r="H999" s="4">
        <v>505113.02</v>
      </c>
    </row>
    <row r="1000" s="1" customFormat="1" ht="14" spans="1:8">
      <c r="A1000" s="2">
        <v>3120622</v>
      </c>
      <c r="B1000" s="2" t="s">
        <v>1671</v>
      </c>
      <c r="C1000" s="3" t="s">
        <v>52</v>
      </c>
      <c r="D1000" s="4">
        <v>352973.25</v>
      </c>
      <c r="E1000" s="4">
        <v>1.63</v>
      </c>
      <c r="F1000" s="4">
        <v>575346.42</v>
      </c>
      <c r="G1000" s="4">
        <v>1.63</v>
      </c>
      <c r="H1000" s="4">
        <v>575346.42</v>
      </c>
    </row>
    <row r="1001" s="1" customFormat="1" ht="14" spans="1:8">
      <c r="A1001" s="2">
        <v>3120626</v>
      </c>
      <c r="B1001" s="2" t="s">
        <v>1672</v>
      </c>
      <c r="C1001" s="3" t="s">
        <v>52</v>
      </c>
      <c r="D1001" s="4">
        <v>12505.16</v>
      </c>
      <c r="E1001" s="4">
        <v>18.52</v>
      </c>
      <c r="F1001" s="4">
        <v>231595.77</v>
      </c>
      <c r="G1001" s="4">
        <v>18.52</v>
      </c>
      <c r="H1001" s="4">
        <v>231595.77</v>
      </c>
    </row>
    <row r="1002" s="1" customFormat="1" ht="14" spans="1:8">
      <c r="A1002" s="2">
        <v>3120629</v>
      </c>
      <c r="B1002" s="2" t="s">
        <v>1673</v>
      </c>
      <c r="C1002" s="3" t="s">
        <v>52</v>
      </c>
      <c r="D1002" s="4">
        <v>44858.15</v>
      </c>
      <c r="E1002" s="4">
        <v>21.44</v>
      </c>
      <c r="F1002" s="4">
        <v>961758.82</v>
      </c>
      <c r="G1002" s="4">
        <v>21.44</v>
      </c>
      <c r="H1002" s="4">
        <v>961758.82</v>
      </c>
    </row>
    <row r="1003" s="1" customFormat="1" ht="14" spans="1:8">
      <c r="A1003" s="2">
        <v>3120630</v>
      </c>
      <c r="B1003" s="2" t="s">
        <v>1674</v>
      </c>
      <c r="C1003" s="3" t="s">
        <v>52</v>
      </c>
      <c r="D1003" s="4">
        <v>25226.22</v>
      </c>
      <c r="E1003" s="4">
        <v>20.58</v>
      </c>
      <c r="F1003" s="4">
        <v>519155.98</v>
      </c>
      <c r="G1003" s="4">
        <v>20.58</v>
      </c>
      <c r="H1003" s="4">
        <v>519155.98</v>
      </c>
    </row>
    <row r="1004" s="1" customFormat="1" ht="14" spans="1:8">
      <c r="A1004" s="2">
        <v>3120650</v>
      </c>
      <c r="B1004" s="2" t="s">
        <v>1675</v>
      </c>
      <c r="C1004" s="3" t="s">
        <v>52</v>
      </c>
      <c r="D1004" s="4">
        <v>265.6</v>
      </c>
      <c r="E1004" s="4">
        <v>15.43</v>
      </c>
      <c r="F1004" s="4">
        <v>4098.21</v>
      </c>
      <c r="G1004" s="4">
        <v>15.43</v>
      </c>
      <c r="H1004" s="4">
        <v>4098.21</v>
      </c>
    </row>
    <row r="1005" s="1" customFormat="1" ht="14" spans="1:8">
      <c r="A1005" s="2">
        <v>3120706</v>
      </c>
      <c r="B1005" s="2" t="s">
        <v>1676</v>
      </c>
      <c r="C1005" s="3" t="s">
        <v>52</v>
      </c>
      <c r="D1005" s="4">
        <v>37601.6</v>
      </c>
      <c r="E1005" s="4">
        <v>19.72</v>
      </c>
      <c r="F1005" s="4">
        <v>741504.33</v>
      </c>
      <c r="G1005" s="4">
        <v>19.72</v>
      </c>
      <c r="H1005" s="4">
        <v>741504.33</v>
      </c>
    </row>
    <row r="1006" s="1" customFormat="1" ht="14" spans="1:8">
      <c r="A1006" s="2">
        <v>3120709</v>
      </c>
      <c r="B1006" s="2" t="s">
        <v>1677</v>
      </c>
      <c r="C1006" s="3" t="s">
        <v>52</v>
      </c>
      <c r="D1006" s="4">
        <v>28625.44</v>
      </c>
      <c r="E1006" s="4">
        <v>6.86</v>
      </c>
      <c r="F1006" s="4">
        <v>196370.56</v>
      </c>
      <c r="G1006" s="4">
        <v>6.86</v>
      </c>
      <c r="H1006" s="4">
        <v>196370.56</v>
      </c>
    </row>
    <row r="1007" s="1" customFormat="1" ht="14" spans="1:8">
      <c r="A1007" s="2">
        <v>3120714</v>
      </c>
      <c r="B1007" s="2" t="s">
        <v>1678</v>
      </c>
      <c r="C1007" s="3" t="s">
        <v>52</v>
      </c>
      <c r="D1007" s="4">
        <v>1634.83</v>
      </c>
      <c r="E1007" s="4">
        <v>18.69</v>
      </c>
      <c r="F1007" s="4">
        <v>30554.68</v>
      </c>
      <c r="G1007" s="4">
        <v>18.69</v>
      </c>
      <c r="H1007" s="4">
        <v>30554.68</v>
      </c>
    </row>
    <row r="1008" s="1" customFormat="1" ht="14" spans="1:8">
      <c r="A1008" s="2">
        <v>3120812</v>
      </c>
      <c r="B1008" s="2" t="s">
        <v>1679</v>
      </c>
      <c r="C1008" s="3" t="s">
        <v>52</v>
      </c>
      <c r="D1008" s="4">
        <v>1.5</v>
      </c>
      <c r="E1008" s="4">
        <v>9.43</v>
      </c>
      <c r="F1008" s="4">
        <v>14.15</v>
      </c>
      <c r="G1008" s="4">
        <v>9.43</v>
      </c>
      <c r="H1008" s="4">
        <v>14.15</v>
      </c>
    </row>
    <row r="1009" s="1" customFormat="1" ht="14" spans="1:8">
      <c r="A1009" s="2">
        <v>3120814</v>
      </c>
      <c r="B1009" s="2" t="s">
        <v>1680</v>
      </c>
      <c r="C1009" s="3" t="s">
        <v>52</v>
      </c>
      <c r="D1009" s="4">
        <v>7093.56</v>
      </c>
      <c r="E1009" s="4">
        <v>9.43</v>
      </c>
      <c r="F1009" s="4">
        <v>66892.23</v>
      </c>
      <c r="G1009" s="4">
        <v>9.43</v>
      </c>
      <c r="H1009" s="4">
        <v>66892.23</v>
      </c>
    </row>
    <row r="1010" s="1" customFormat="1" ht="14" spans="1:8">
      <c r="A1010" s="2">
        <v>3220012</v>
      </c>
      <c r="B1010" s="2" t="s">
        <v>1681</v>
      </c>
      <c r="C1010" s="3" t="s">
        <v>52</v>
      </c>
      <c r="D1010" s="4">
        <v>121173.27</v>
      </c>
      <c r="E1010" s="4">
        <v>9.45</v>
      </c>
      <c r="F1010" s="4">
        <v>1145087.4</v>
      </c>
      <c r="G1010" s="4">
        <v>9.63</v>
      </c>
      <c r="H1010" s="4">
        <v>1166898.6</v>
      </c>
    </row>
    <row r="1011" s="1" customFormat="1" ht="14" spans="1:8">
      <c r="A1011" s="2">
        <v>3220013</v>
      </c>
      <c r="B1011" s="2" t="s">
        <v>1682</v>
      </c>
      <c r="C1011" s="3" t="s">
        <v>52</v>
      </c>
      <c r="D1011" s="4">
        <v>59116.34</v>
      </c>
      <c r="E1011" s="4">
        <v>9.45</v>
      </c>
      <c r="F1011" s="4">
        <v>558649.41</v>
      </c>
      <c r="G1011" s="4">
        <v>9.63</v>
      </c>
      <c r="H1011" s="4">
        <v>569290.34</v>
      </c>
    </row>
    <row r="1012" s="1" customFormat="1" ht="14" spans="1:8">
      <c r="A1012" s="2">
        <v>3220110</v>
      </c>
      <c r="B1012" s="2" t="s">
        <v>1683</v>
      </c>
      <c r="C1012" s="3" t="s">
        <v>824</v>
      </c>
      <c r="D1012" s="4">
        <v>6991.86</v>
      </c>
      <c r="E1012" s="4">
        <v>1.72</v>
      </c>
      <c r="F1012" s="4">
        <v>12026</v>
      </c>
      <c r="G1012" s="4">
        <v>2.29</v>
      </c>
      <c r="H1012" s="4">
        <v>16011.36</v>
      </c>
    </row>
    <row r="1013" s="1" customFormat="1" ht="14" spans="1:8">
      <c r="A1013" s="2">
        <v>3220112</v>
      </c>
      <c r="B1013" s="2" t="s">
        <v>1684</v>
      </c>
      <c r="C1013" s="3" t="s">
        <v>824</v>
      </c>
      <c r="D1013" s="4">
        <v>4655.7</v>
      </c>
      <c r="E1013" s="4">
        <v>1.89</v>
      </c>
      <c r="F1013" s="4">
        <v>8799.27</v>
      </c>
      <c r="G1013" s="4">
        <v>1.89</v>
      </c>
      <c r="H1013" s="4">
        <v>8799.27</v>
      </c>
    </row>
    <row r="1014" s="1" customFormat="1" ht="14" spans="1:8">
      <c r="A1014" s="2">
        <v>3220113</v>
      </c>
      <c r="B1014" s="2" t="s">
        <v>1685</v>
      </c>
      <c r="C1014" s="3" t="s">
        <v>824</v>
      </c>
      <c r="D1014" s="4">
        <v>45309.63</v>
      </c>
      <c r="E1014" s="4">
        <v>1.89</v>
      </c>
      <c r="F1014" s="4">
        <v>85635.18</v>
      </c>
      <c r="G1014" s="4">
        <v>1.89</v>
      </c>
      <c r="H1014" s="4">
        <v>85635.18</v>
      </c>
    </row>
    <row r="1015" s="1" customFormat="1" ht="14" spans="1:8">
      <c r="A1015" s="2">
        <v>3220116</v>
      </c>
      <c r="B1015" s="2" t="s">
        <v>1686</v>
      </c>
      <c r="C1015" s="3" t="s">
        <v>1687</v>
      </c>
      <c r="D1015" s="4">
        <v>59281.74</v>
      </c>
      <c r="E1015" s="4">
        <v>3.71</v>
      </c>
      <c r="F1015" s="4">
        <v>219935.26</v>
      </c>
      <c r="G1015" s="4">
        <v>4.78</v>
      </c>
      <c r="H1015" s="4">
        <v>283366.72</v>
      </c>
    </row>
    <row r="1016" s="1" customFormat="1" ht="14" spans="1:8">
      <c r="A1016" s="2">
        <v>3220118</v>
      </c>
      <c r="B1016" s="2" t="s">
        <v>1688</v>
      </c>
      <c r="C1016" s="3" t="s">
        <v>1687</v>
      </c>
      <c r="D1016" s="4">
        <v>80956.51</v>
      </c>
      <c r="E1016" s="4">
        <v>4.67</v>
      </c>
      <c r="F1016" s="4">
        <v>378066.88</v>
      </c>
      <c r="G1016" s="4">
        <v>5.91</v>
      </c>
      <c r="H1016" s="4">
        <v>478452.95</v>
      </c>
    </row>
    <row r="1017" s="1" customFormat="1" ht="14" spans="1:8">
      <c r="A1017" s="2">
        <v>3220120</v>
      </c>
      <c r="B1017" s="2" t="s">
        <v>1689</v>
      </c>
      <c r="C1017" s="3" t="s">
        <v>472</v>
      </c>
      <c r="D1017" s="4">
        <v>138198.89</v>
      </c>
      <c r="E1017" s="4">
        <v>0.43</v>
      </c>
      <c r="F1017" s="4">
        <v>59425.53</v>
      </c>
      <c r="G1017" s="4">
        <v>0.52</v>
      </c>
      <c r="H1017" s="4">
        <v>71863.42</v>
      </c>
    </row>
    <row r="1018" s="1" customFormat="1" ht="14" spans="1:8">
      <c r="A1018" s="2">
        <v>3220121</v>
      </c>
      <c r="B1018" s="2" t="s">
        <v>1690</v>
      </c>
      <c r="C1018" s="3" t="s">
        <v>1687</v>
      </c>
      <c r="D1018" s="4">
        <v>1516.6</v>
      </c>
      <c r="E1018" s="4">
        <v>2.89</v>
      </c>
      <c r="F1018" s="4">
        <v>4382.97</v>
      </c>
      <c r="G1018" s="4">
        <v>2.89</v>
      </c>
      <c r="H1018" s="4">
        <v>4382.97</v>
      </c>
    </row>
    <row r="1019" s="1" customFormat="1" ht="14" spans="1:8">
      <c r="A1019" s="2">
        <v>3220210</v>
      </c>
      <c r="B1019" s="2" t="s">
        <v>1691</v>
      </c>
      <c r="C1019" s="3" t="s">
        <v>472</v>
      </c>
      <c r="D1019" s="4">
        <v>93939.03</v>
      </c>
      <c r="E1019" s="4">
        <v>1.29</v>
      </c>
      <c r="F1019" s="4">
        <v>121181.35</v>
      </c>
      <c r="G1019" s="4">
        <v>1.56</v>
      </c>
      <c r="H1019" s="4">
        <v>146544.89</v>
      </c>
    </row>
    <row r="1020" s="1" customFormat="1" ht="14" spans="1:8">
      <c r="A1020" s="2">
        <v>3220211</v>
      </c>
      <c r="B1020" s="2" t="s">
        <v>1692</v>
      </c>
      <c r="C1020" s="3" t="s">
        <v>472</v>
      </c>
      <c r="D1020" s="4">
        <v>90764.12</v>
      </c>
      <c r="E1020" s="4">
        <v>2.58</v>
      </c>
      <c r="F1020" s="4">
        <v>234171.42</v>
      </c>
      <c r="G1020" s="4">
        <v>3.52</v>
      </c>
      <c r="H1020" s="4">
        <v>319489.68</v>
      </c>
    </row>
    <row r="1021" s="1" customFormat="1" ht="14" spans="1:8">
      <c r="A1021" s="2">
        <v>3220213</v>
      </c>
      <c r="B1021" s="2" t="s">
        <v>1693</v>
      </c>
      <c r="C1021" s="3" t="s">
        <v>1019</v>
      </c>
      <c r="D1021" s="4">
        <v>3664.66</v>
      </c>
      <c r="E1021" s="4">
        <v>0.09</v>
      </c>
      <c r="F1021" s="4">
        <v>329.82</v>
      </c>
      <c r="G1021" s="4">
        <v>0.09</v>
      </c>
      <c r="H1021" s="4">
        <v>329.82</v>
      </c>
    </row>
    <row r="1022" s="1" customFormat="1" ht="14" spans="1:8">
      <c r="A1022" s="2">
        <v>3310011</v>
      </c>
      <c r="B1022" s="2" t="s">
        <v>1694</v>
      </c>
      <c r="C1022" s="3" t="s">
        <v>472</v>
      </c>
      <c r="D1022" s="4">
        <v>3483.42</v>
      </c>
      <c r="E1022" s="4">
        <v>84.31</v>
      </c>
      <c r="F1022" s="4">
        <v>293686.8</v>
      </c>
      <c r="G1022" s="4">
        <v>84.31</v>
      </c>
      <c r="H1022" s="4">
        <v>293686.8</v>
      </c>
    </row>
    <row r="1023" s="1" customFormat="1" ht="14" spans="1:8">
      <c r="A1023" s="2">
        <v>3310013</v>
      </c>
      <c r="B1023" s="2" t="s">
        <v>1695</v>
      </c>
      <c r="C1023" s="3" t="s">
        <v>824</v>
      </c>
      <c r="D1023" s="4">
        <v>770.68</v>
      </c>
      <c r="E1023" s="4">
        <v>2.07</v>
      </c>
      <c r="F1023" s="4">
        <v>1595.32</v>
      </c>
      <c r="G1023" s="4">
        <v>2.07</v>
      </c>
      <c r="H1023" s="4">
        <v>1595.32</v>
      </c>
    </row>
    <row r="1024" s="1" customFormat="1" ht="14" spans="1:8">
      <c r="A1024" s="2">
        <v>3310014</v>
      </c>
      <c r="B1024" s="2" t="s">
        <v>1696</v>
      </c>
      <c r="C1024" s="3" t="s">
        <v>472</v>
      </c>
      <c r="D1024" s="4">
        <v>496.93</v>
      </c>
      <c r="E1024" s="4">
        <v>80.09</v>
      </c>
      <c r="F1024" s="4">
        <v>39799.29</v>
      </c>
      <c r="G1024" s="4">
        <v>80.09</v>
      </c>
      <c r="H1024" s="4">
        <v>39799.29</v>
      </c>
    </row>
    <row r="1025" s="1" customFormat="1" ht="14" spans="1:8">
      <c r="A1025" s="2">
        <v>3310021</v>
      </c>
      <c r="B1025" s="2" t="s">
        <v>1697</v>
      </c>
      <c r="C1025" s="3" t="s">
        <v>472</v>
      </c>
      <c r="D1025" s="4">
        <v>4147.5</v>
      </c>
      <c r="E1025" s="4">
        <v>10.74</v>
      </c>
      <c r="F1025" s="4">
        <v>44544.15</v>
      </c>
      <c r="G1025" s="4">
        <v>10.74</v>
      </c>
      <c r="H1025" s="4">
        <v>44544.15</v>
      </c>
    </row>
    <row r="1026" s="1" customFormat="1" ht="14" spans="1:8">
      <c r="A1026" s="2">
        <v>3310114</v>
      </c>
      <c r="B1026" s="2" t="s">
        <v>1698</v>
      </c>
      <c r="C1026" s="3" t="s">
        <v>472</v>
      </c>
      <c r="D1026" s="4">
        <v>25.51</v>
      </c>
      <c r="E1026" s="4">
        <v>14.05</v>
      </c>
      <c r="F1026" s="4">
        <v>358.46</v>
      </c>
      <c r="G1026" s="4">
        <v>14.05</v>
      </c>
      <c r="H1026" s="4">
        <v>358.46</v>
      </c>
    </row>
    <row r="1027" s="1" customFormat="1" ht="14" spans="1:8">
      <c r="A1027" s="2">
        <v>3310211</v>
      </c>
      <c r="B1027" s="2" t="s">
        <v>1699</v>
      </c>
      <c r="C1027" s="3" t="s">
        <v>472</v>
      </c>
      <c r="D1027" s="4">
        <v>2238.69</v>
      </c>
      <c r="E1027" s="4">
        <v>135.47</v>
      </c>
      <c r="F1027" s="4">
        <v>303275.35</v>
      </c>
      <c r="G1027" s="4">
        <v>135.47</v>
      </c>
      <c r="H1027" s="4">
        <v>303275.35</v>
      </c>
    </row>
    <row r="1028" s="1" customFormat="1" ht="14" spans="1:8">
      <c r="A1028" s="2">
        <v>3310215</v>
      </c>
      <c r="B1028" s="2" t="s">
        <v>1700</v>
      </c>
      <c r="C1028" s="3" t="s">
        <v>472</v>
      </c>
      <c r="D1028" s="4">
        <v>477.28</v>
      </c>
      <c r="E1028" s="4">
        <v>22.52</v>
      </c>
      <c r="F1028" s="4">
        <v>10748.41</v>
      </c>
      <c r="G1028" s="4">
        <v>22.52</v>
      </c>
      <c r="H1028" s="4">
        <v>10748.41</v>
      </c>
    </row>
    <row r="1029" s="1" customFormat="1" ht="14" spans="1:8">
      <c r="A1029" s="2">
        <v>3310216</v>
      </c>
      <c r="B1029" s="2" t="s">
        <v>1701</v>
      </c>
      <c r="C1029" s="3" t="s">
        <v>472</v>
      </c>
      <c r="D1029" s="4">
        <v>2339.13</v>
      </c>
      <c r="E1029" s="4">
        <v>5.37</v>
      </c>
      <c r="F1029" s="4">
        <v>12561.09</v>
      </c>
      <c r="G1029" s="4">
        <v>5.37</v>
      </c>
      <c r="H1029" s="4">
        <v>12561.09</v>
      </c>
    </row>
    <row r="1030" s="1" customFormat="1" ht="14" spans="1:8">
      <c r="A1030" s="2">
        <v>3310217</v>
      </c>
      <c r="B1030" s="2" t="s">
        <v>1702</v>
      </c>
      <c r="C1030" s="3" t="s">
        <v>472</v>
      </c>
      <c r="D1030" s="4">
        <v>2303</v>
      </c>
      <c r="E1030" s="4">
        <v>47.09</v>
      </c>
      <c r="F1030" s="4">
        <v>108448.24</v>
      </c>
      <c r="G1030" s="4">
        <v>47.09</v>
      </c>
      <c r="H1030" s="4">
        <v>108448.24</v>
      </c>
    </row>
    <row r="1031" s="1" customFormat="1" ht="14" spans="1:8">
      <c r="A1031" s="2">
        <v>3310312</v>
      </c>
      <c r="B1031" s="2" t="s">
        <v>1703</v>
      </c>
      <c r="C1031" s="3" t="s">
        <v>472</v>
      </c>
      <c r="D1031" s="4">
        <v>332.75</v>
      </c>
      <c r="E1031" s="4">
        <v>2.75</v>
      </c>
      <c r="F1031" s="4">
        <v>915.06</v>
      </c>
      <c r="G1031" s="4">
        <v>2.75</v>
      </c>
      <c r="H1031" s="4">
        <v>915.06</v>
      </c>
    </row>
    <row r="1032" s="1" customFormat="1" ht="14" spans="1:8">
      <c r="A1032" s="2">
        <v>3310314</v>
      </c>
      <c r="B1032" s="2" t="s">
        <v>1704</v>
      </c>
      <c r="C1032" s="3" t="s">
        <v>472</v>
      </c>
      <c r="D1032" s="4">
        <v>7611.46</v>
      </c>
      <c r="E1032" s="4">
        <v>44.2</v>
      </c>
      <c r="F1032" s="4">
        <v>336426.08</v>
      </c>
      <c r="G1032" s="4">
        <v>44.2</v>
      </c>
      <c r="H1032" s="4">
        <v>336426.08</v>
      </c>
    </row>
    <row r="1033" s="1" customFormat="1" ht="14" spans="1:8">
      <c r="A1033" s="2">
        <v>3310315</v>
      </c>
      <c r="B1033" s="2" t="s">
        <v>1705</v>
      </c>
      <c r="C1033" s="3" t="s">
        <v>472</v>
      </c>
      <c r="D1033" s="4">
        <v>805.71</v>
      </c>
      <c r="E1033" s="4">
        <v>59.71</v>
      </c>
      <c r="F1033" s="4">
        <v>48108.7</v>
      </c>
      <c r="G1033" s="4">
        <v>59.71</v>
      </c>
      <c r="H1033" s="4">
        <v>48108.7</v>
      </c>
    </row>
    <row r="1034" s="1" customFormat="1" ht="14" spans="1:8">
      <c r="A1034" s="2">
        <v>3310316</v>
      </c>
      <c r="B1034" s="2" t="s">
        <v>1706</v>
      </c>
      <c r="C1034" s="3" t="s">
        <v>472</v>
      </c>
      <c r="D1034" s="4">
        <v>772.39</v>
      </c>
      <c r="E1034" s="4">
        <v>67.18</v>
      </c>
      <c r="F1034" s="4">
        <v>51888.95</v>
      </c>
      <c r="G1034" s="4">
        <v>67.18</v>
      </c>
      <c r="H1034" s="4">
        <v>51888.95</v>
      </c>
    </row>
    <row r="1035" s="1" customFormat="1" ht="14" spans="1:8">
      <c r="A1035" s="2">
        <v>3320012</v>
      </c>
      <c r="B1035" s="2" t="s">
        <v>1707</v>
      </c>
      <c r="C1035" s="3" t="s">
        <v>824</v>
      </c>
      <c r="D1035" s="4">
        <v>1248.37</v>
      </c>
      <c r="E1035" s="4">
        <v>3.9</v>
      </c>
      <c r="F1035" s="4">
        <v>4868.61</v>
      </c>
      <c r="G1035" s="4">
        <v>3.9</v>
      </c>
      <c r="H1035" s="4">
        <v>4868.61</v>
      </c>
    </row>
    <row r="1036" s="1" customFormat="1" ht="14" spans="1:8">
      <c r="A1036" s="2">
        <v>3320014</v>
      </c>
      <c r="B1036" s="2" t="s">
        <v>1708</v>
      </c>
      <c r="C1036" s="3" t="s">
        <v>824</v>
      </c>
      <c r="D1036" s="4">
        <v>2123.09</v>
      </c>
      <c r="E1036" s="4">
        <v>5.23</v>
      </c>
      <c r="F1036" s="4">
        <v>11103.76</v>
      </c>
      <c r="G1036" s="4">
        <v>5.23</v>
      </c>
      <c r="H1036" s="4">
        <v>11103.76</v>
      </c>
    </row>
    <row r="1037" s="1" customFormat="1" ht="14" spans="1:8">
      <c r="A1037" s="2">
        <v>3320016</v>
      </c>
      <c r="B1037" s="2" t="s">
        <v>1709</v>
      </c>
      <c r="C1037" s="3" t="s">
        <v>824</v>
      </c>
      <c r="D1037" s="4">
        <v>257.5</v>
      </c>
      <c r="E1037" s="4">
        <v>7.17</v>
      </c>
      <c r="F1037" s="4">
        <v>1846.28</v>
      </c>
      <c r="G1037" s="4">
        <v>7.17</v>
      </c>
      <c r="H1037" s="4">
        <v>1846.28</v>
      </c>
    </row>
    <row r="1038" s="1" customFormat="1" ht="28" spans="1:8">
      <c r="A1038" s="2">
        <v>3320125</v>
      </c>
      <c r="B1038" s="2" t="s">
        <v>1710</v>
      </c>
      <c r="C1038" s="3" t="s">
        <v>824</v>
      </c>
      <c r="D1038" s="4">
        <v>266.8</v>
      </c>
      <c r="E1038" s="4">
        <v>11.18</v>
      </c>
      <c r="F1038" s="4">
        <v>2982.82</v>
      </c>
      <c r="G1038" s="4">
        <v>11.18</v>
      </c>
      <c r="H1038" s="4">
        <v>2982.82</v>
      </c>
    </row>
    <row r="1039" s="1" customFormat="1" ht="28" spans="1:8">
      <c r="A1039" s="2">
        <v>3320127</v>
      </c>
      <c r="B1039" s="2" t="s">
        <v>1711</v>
      </c>
      <c r="C1039" s="3" t="s">
        <v>824</v>
      </c>
      <c r="D1039" s="4">
        <v>2805.08</v>
      </c>
      <c r="E1039" s="4">
        <v>16.27</v>
      </c>
      <c r="F1039" s="4">
        <v>45638.65</v>
      </c>
      <c r="G1039" s="4">
        <v>16.27</v>
      </c>
      <c r="H1039" s="4">
        <v>45638.65</v>
      </c>
    </row>
    <row r="1040" s="1" customFormat="1" ht="14" spans="1:8">
      <c r="A1040" s="2">
        <v>3320212</v>
      </c>
      <c r="B1040" s="2" t="s">
        <v>1712</v>
      </c>
      <c r="C1040" s="3" t="s">
        <v>824</v>
      </c>
      <c r="D1040" s="4">
        <v>7.14</v>
      </c>
      <c r="E1040" s="4">
        <v>11.56</v>
      </c>
      <c r="F1040" s="4">
        <v>82.54</v>
      </c>
      <c r="G1040" s="4">
        <v>11.56</v>
      </c>
      <c r="H1040" s="4">
        <v>82.54</v>
      </c>
    </row>
    <row r="1041" s="1" customFormat="1" ht="14" spans="1:8">
      <c r="A1041" s="2">
        <v>3320220</v>
      </c>
      <c r="B1041" s="2" t="s">
        <v>1713</v>
      </c>
      <c r="C1041" s="3" t="s">
        <v>824</v>
      </c>
      <c r="D1041" s="4">
        <v>8.24</v>
      </c>
      <c r="E1041" s="4">
        <v>12.36</v>
      </c>
      <c r="F1041" s="4">
        <v>101.84</v>
      </c>
      <c r="G1041" s="4">
        <v>12.36</v>
      </c>
      <c r="H1041" s="4">
        <v>101.84</v>
      </c>
    </row>
    <row r="1042" s="1" customFormat="1" ht="14" spans="1:8">
      <c r="A1042" s="2">
        <v>3320222</v>
      </c>
      <c r="B1042" s="2" t="s">
        <v>1714</v>
      </c>
      <c r="C1042" s="3" t="s">
        <v>824</v>
      </c>
      <c r="D1042" s="4">
        <v>2.06</v>
      </c>
      <c r="E1042" s="4">
        <v>20.75</v>
      </c>
      <c r="F1042" s="4">
        <v>42.75</v>
      </c>
      <c r="G1042" s="4">
        <v>20.75</v>
      </c>
      <c r="H1042" s="4">
        <v>42.75</v>
      </c>
    </row>
    <row r="1043" s="1" customFormat="1" ht="14" spans="1:8">
      <c r="A1043" s="2">
        <v>3320310</v>
      </c>
      <c r="B1043" s="2" t="s">
        <v>1715</v>
      </c>
      <c r="C1043" s="3" t="s">
        <v>472</v>
      </c>
      <c r="D1043" s="4">
        <v>45.62</v>
      </c>
      <c r="E1043" s="4">
        <v>0.97</v>
      </c>
      <c r="F1043" s="4">
        <v>44.25</v>
      </c>
      <c r="G1043" s="4">
        <v>0.97</v>
      </c>
      <c r="H1043" s="4">
        <v>44.25</v>
      </c>
    </row>
    <row r="1044" s="1" customFormat="1" ht="14" spans="1:8">
      <c r="A1044" s="2">
        <v>3320312</v>
      </c>
      <c r="B1044" s="2" t="s">
        <v>1716</v>
      </c>
      <c r="C1044" s="3" t="s">
        <v>824</v>
      </c>
      <c r="D1044" s="4">
        <v>4</v>
      </c>
      <c r="E1044" s="4">
        <v>1.96</v>
      </c>
      <c r="F1044" s="4">
        <v>7.84</v>
      </c>
      <c r="G1044" s="4">
        <v>1.96</v>
      </c>
      <c r="H1044" s="4">
        <v>7.84</v>
      </c>
    </row>
    <row r="1045" s="1" customFormat="1" ht="14" spans="1:8">
      <c r="A1045" s="2">
        <v>3320313</v>
      </c>
      <c r="B1045" s="2" t="s">
        <v>1717</v>
      </c>
      <c r="C1045" s="3" t="s">
        <v>824</v>
      </c>
      <c r="D1045" s="4">
        <v>206</v>
      </c>
      <c r="E1045" s="4">
        <v>0.99</v>
      </c>
      <c r="F1045" s="4">
        <v>203.94</v>
      </c>
      <c r="G1045" s="4">
        <v>0.99</v>
      </c>
      <c r="H1045" s="4">
        <v>203.94</v>
      </c>
    </row>
    <row r="1046" s="1" customFormat="1" ht="14" spans="1:8">
      <c r="A1046" s="2">
        <v>3320314</v>
      </c>
      <c r="B1046" s="2" t="s">
        <v>1718</v>
      </c>
      <c r="C1046" s="3" t="s">
        <v>824</v>
      </c>
      <c r="D1046" s="4">
        <v>257.08</v>
      </c>
      <c r="E1046" s="4">
        <v>0.04</v>
      </c>
      <c r="F1046" s="4">
        <v>10.28</v>
      </c>
      <c r="G1046" s="4">
        <v>0.04</v>
      </c>
      <c r="H1046" s="4">
        <v>10.28</v>
      </c>
    </row>
    <row r="1047" s="1" customFormat="1" ht="14" spans="1:8">
      <c r="A1047" s="2">
        <v>3330010</v>
      </c>
      <c r="B1047" s="2" t="s">
        <v>1719</v>
      </c>
      <c r="C1047" s="3" t="s">
        <v>52</v>
      </c>
      <c r="D1047" s="4">
        <v>13.79</v>
      </c>
      <c r="E1047" s="4">
        <v>7.13</v>
      </c>
      <c r="F1047" s="4">
        <v>98.39</v>
      </c>
      <c r="G1047" s="4">
        <v>7.13</v>
      </c>
      <c r="H1047" s="4">
        <v>98.39</v>
      </c>
    </row>
    <row r="1048" s="1" customFormat="1" ht="14" spans="1:8">
      <c r="A1048" s="2">
        <v>3330011</v>
      </c>
      <c r="B1048" s="2" t="s">
        <v>1720</v>
      </c>
      <c r="C1048" s="3" t="s">
        <v>52</v>
      </c>
      <c r="D1048" s="4">
        <v>25.51</v>
      </c>
      <c r="E1048" s="4">
        <v>6.87</v>
      </c>
      <c r="F1048" s="4">
        <v>175.19</v>
      </c>
      <c r="G1048" s="4">
        <v>6.87</v>
      </c>
      <c r="H1048" s="4">
        <v>175.19</v>
      </c>
    </row>
    <row r="1049" s="1" customFormat="1" ht="14" spans="1:8">
      <c r="A1049" s="2">
        <v>3330013</v>
      </c>
      <c r="B1049" s="2" t="s">
        <v>1721</v>
      </c>
      <c r="C1049" s="3" t="s">
        <v>52</v>
      </c>
      <c r="D1049" s="4">
        <v>269.38</v>
      </c>
      <c r="E1049" s="4">
        <v>6.44</v>
      </c>
      <c r="F1049" s="4">
        <v>1734.84</v>
      </c>
      <c r="G1049" s="4">
        <v>6.44</v>
      </c>
      <c r="H1049" s="4">
        <v>1734.84</v>
      </c>
    </row>
    <row r="1050" s="1" customFormat="1" ht="14" spans="1:8">
      <c r="A1050" s="2">
        <v>3330014</v>
      </c>
      <c r="B1050" s="2" t="s">
        <v>1722</v>
      </c>
      <c r="C1050" s="3" t="s">
        <v>52</v>
      </c>
      <c r="D1050" s="4">
        <v>10285.34</v>
      </c>
      <c r="E1050" s="4">
        <v>6.44</v>
      </c>
      <c r="F1050" s="4">
        <v>66237.59</v>
      </c>
      <c r="G1050" s="4">
        <v>6.44</v>
      </c>
      <c r="H1050" s="4">
        <v>66237.59</v>
      </c>
    </row>
    <row r="1051" s="1" customFormat="1" ht="14" spans="1:8">
      <c r="A1051" s="2">
        <v>3330019</v>
      </c>
      <c r="B1051" s="2" t="s">
        <v>1723</v>
      </c>
      <c r="C1051" s="3" t="s">
        <v>45</v>
      </c>
      <c r="D1051" s="4">
        <v>0.54</v>
      </c>
      <c r="E1051" s="4">
        <v>31211.39</v>
      </c>
      <c r="F1051" s="4">
        <v>16791.73</v>
      </c>
      <c r="G1051" s="4">
        <v>31211.39</v>
      </c>
      <c r="H1051" s="4">
        <v>16791.73</v>
      </c>
    </row>
    <row r="1052" s="1" customFormat="1" ht="14" spans="1:8">
      <c r="A1052" s="2">
        <v>3330113</v>
      </c>
      <c r="B1052" s="2" t="s">
        <v>1724</v>
      </c>
      <c r="C1052" s="3" t="s">
        <v>52</v>
      </c>
      <c r="D1052" s="4">
        <v>3177</v>
      </c>
      <c r="E1052" s="4">
        <v>7.43</v>
      </c>
      <c r="F1052" s="4">
        <v>23605.11</v>
      </c>
      <c r="G1052" s="4">
        <v>7.43</v>
      </c>
      <c r="H1052" s="4">
        <v>23605.11</v>
      </c>
    </row>
    <row r="1053" s="1" customFormat="1" ht="14" spans="1:8">
      <c r="A1053" s="2">
        <v>3330115</v>
      </c>
      <c r="B1053" s="2" t="s">
        <v>1725</v>
      </c>
      <c r="C1053" s="3" t="s">
        <v>679</v>
      </c>
      <c r="D1053" s="4">
        <v>14.58</v>
      </c>
      <c r="E1053" s="4">
        <v>95.75</v>
      </c>
      <c r="F1053" s="4">
        <v>1396.05</v>
      </c>
      <c r="G1053" s="4">
        <v>95.75</v>
      </c>
      <c r="H1053" s="4">
        <v>1396.05</v>
      </c>
    </row>
    <row r="1054" s="1" customFormat="1" ht="14" spans="1:8">
      <c r="A1054" s="2">
        <v>3330121</v>
      </c>
      <c r="B1054" s="2" t="s">
        <v>1726</v>
      </c>
      <c r="C1054" s="3" t="s">
        <v>61</v>
      </c>
      <c r="D1054" s="4">
        <v>1083.84</v>
      </c>
      <c r="E1054" s="4">
        <v>368.8</v>
      </c>
      <c r="F1054" s="4">
        <v>399718.36</v>
      </c>
      <c r="G1054" s="4">
        <v>368.8</v>
      </c>
      <c r="H1054" s="4">
        <v>399718.36</v>
      </c>
    </row>
    <row r="1055" s="1" customFormat="1" ht="14" spans="1:8">
      <c r="A1055" s="2">
        <v>3341030</v>
      </c>
      <c r="B1055" s="2" t="s">
        <v>1727</v>
      </c>
      <c r="C1055" s="3" t="s">
        <v>679</v>
      </c>
      <c r="D1055" s="4">
        <v>0</v>
      </c>
      <c r="E1055" s="4">
        <v>13.71</v>
      </c>
      <c r="F1055" s="4">
        <v>0</v>
      </c>
      <c r="G1055" s="4">
        <v>16.85</v>
      </c>
      <c r="H1055" s="4">
        <v>0</v>
      </c>
    </row>
    <row r="1056" s="1" customFormat="1" ht="14" spans="1:8">
      <c r="A1056" s="2">
        <v>3350110</v>
      </c>
      <c r="B1056" s="2" t="s">
        <v>1728</v>
      </c>
      <c r="C1056" s="3" t="s">
        <v>472</v>
      </c>
      <c r="D1056" s="4">
        <v>1378.93</v>
      </c>
      <c r="E1056" s="4">
        <v>5.81</v>
      </c>
      <c r="F1056" s="4">
        <v>8011.68</v>
      </c>
      <c r="G1056" s="4">
        <v>5.81</v>
      </c>
      <c r="H1056" s="4">
        <v>8011.68</v>
      </c>
    </row>
    <row r="1057" s="1" customFormat="1" ht="14" spans="1:8">
      <c r="A1057" s="2">
        <v>3350111</v>
      </c>
      <c r="B1057" s="2" t="s">
        <v>1729</v>
      </c>
      <c r="C1057" s="3" t="s">
        <v>472</v>
      </c>
      <c r="D1057" s="4">
        <v>541.23</v>
      </c>
      <c r="E1057" s="4">
        <v>8.27</v>
      </c>
      <c r="F1057" s="4">
        <v>4475.73</v>
      </c>
      <c r="G1057" s="4">
        <v>8.27</v>
      </c>
      <c r="H1057" s="4">
        <v>4475.73</v>
      </c>
    </row>
    <row r="1058" s="1" customFormat="1" ht="14" spans="1:8">
      <c r="A1058" s="2">
        <v>3350112</v>
      </c>
      <c r="B1058" s="2" t="s">
        <v>1730</v>
      </c>
      <c r="C1058" s="3" t="s">
        <v>472</v>
      </c>
      <c r="D1058" s="4">
        <v>9162.44</v>
      </c>
      <c r="E1058" s="4">
        <v>16.14</v>
      </c>
      <c r="F1058" s="4">
        <v>147881.69</v>
      </c>
      <c r="G1058" s="4">
        <v>16.14</v>
      </c>
      <c r="H1058" s="4">
        <v>147881.69</v>
      </c>
    </row>
    <row r="1059" s="1" customFormat="1" ht="14" spans="1:8">
      <c r="A1059" s="2">
        <v>3350113</v>
      </c>
      <c r="B1059" s="2" t="s">
        <v>1731</v>
      </c>
      <c r="C1059" s="3" t="s">
        <v>472</v>
      </c>
      <c r="D1059" s="4">
        <v>1732.08</v>
      </c>
      <c r="E1059" s="4">
        <v>29.41</v>
      </c>
      <c r="F1059" s="4">
        <v>50940.05</v>
      </c>
      <c r="G1059" s="4">
        <v>29.41</v>
      </c>
      <c r="H1059" s="4">
        <v>50940.05</v>
      </c>
    </row>
    <row r="1060" s="1" customFormat="1" ht="14" spans="1:8">
      <c r="A1060" s="2">
        <v>3350210</v>
      </c>
      <c r="B1060" s="2" t="s">
        <v>1732</v>
      </c>
      <c r="C1060" s="3" t="s">
        <v>52</v>
      </c>
      <c r="D1060" s="4">
        <v>24236.6</v>
      </c>
      <c r="E1060" s="4">
        <v>7.54</v>
      </c>
      <c r="F1060" s="4">
        <v>182743.97</v>
      </c>
      <c r="G1060" s="4">
        <v>7.54</v>
      </c>
      <c r="H1060" s="4">
        <v>182743.97</v>
      </c>
    </row>
    <row r="1061" s="1" customFormat="1" ht="14" spans="1:8">
      <c r="A1061" s="2">
        <v>3350211</v>
      </c>
      <c r="B1061" s="2" t="s">
        <v>1728</v>
      </c>
      <c r="C1061" s="3" t="s">
        <v>52</v>
      </c>
      <c r="D1061" s="4">
        <v>4606.5</v>
      </c>
      <c r="E1061" s="4">
        <v>7.46</v>
      </c>
      <c r="F1061" s="4">
        <v>34364.49</v>
      </c>
      <c r="G1061" s="4">
        <v>7.46</v>
      </c>
      <c r="H1061" s="4">
        <v>34364.49</v>
      </c>
    </row>
    <row r="1062" s="1" customFormat="1" ht="14" spans="1:8">
      <c r="A1062" s="2">
        <v>3351011</v>
      </c>
      <c r="B1062" s="2" t="s">
        <v>1733</v>
      </c>
      <c r="C1062" s="3" t="s">
        <v>472</v>
      </c>
      <c r="D1062" s="4">
        <v>45</v>
      </c>
      <c r="E1062" s="4">
        <v>1.11</v>
      </c>
      <c r="F1062" s="4">
        <v>49.95</v>
      </c>
      <c r="G1062" s="4">
        <v>1.11</v>
      </c>
      <c r="H1062" s="4">
        <v>49.95</v>
      </c>
    </row>
    <row r="1063" s="1" customFormat="1" ht="14" spans="1:8">
      <c r="A1063" s="2">
        <v>3351013</v>
      </c>
      <c r="B1063" s="2" t="s">
        <v>1734</v>
      </c>
      <c r="C1063" s="3" t="s">
        <v>472</v>
      </c>
      <c r="D1063" s="4">
        <v>206</v>
      </c>
      <c r="E1063" s="4">
        <v>1.42</v>
      </c>
      <c r="F1063" s="4">
        <v>292.52</v>
      </c>
      <c r="G1063" s="4">
        <v>1.42</v>
      </c>
      <c r="H1063" s="4">
        <v>292.52</v>
      </c>
    </row>
    <row r="1064" s="1" customFormat="1" ht="14" spans="1:8">
      <c r="A1064" s="2">
        <v>3351014</v>
      </c>
      <c r="B1064" s="2" t="s">
        <v>1735</v>
      </c>
      <c r="C1064" s="3" t="s">
        <v>472</v>
      </c>
      <c r="D1064" s="4">
        <v>2948</v>
      </c>
      <c r="E1064" s="4">
        <v>2.31</v>
      </c>
      <c r="F1064" s="4">
        <v>6809.88</v>
      </c>
      <c r="G1064" s="4">
        <v>2.31</v>
      </c>
      <c r="H1064" s="4">
        <v>6809.88</v>
      </c>
    </row>
    <row r="1065" s="1" customFormat="1" ht="14" spans="1:8">
      <c r="A1065" s="2">
        <v>3351015</v>
      </c>
      <c r="B1065" s="2" t="s">
        <v>1736</v>
      </c>
      <c r="C1065" s="3" t="s">
        <v>472</v>
      </c>
      <c r="D1065" s="4">
        <v>10</v>
      </c>
      <c r="E1065" s="4">
        <v>2.91</v>
      </c>
      <c r="F1065" s="4">
        <v>29.1</v>
      </c>
      <c r="G1065" s="4">
        <v>2.91</v>
      </c>
      <c r="H1065" s="4">
        <v>29.1</v>
      </c>
    </row>
    <row r="1066" s="1" customFormat="1" ht="14" spans="1:8">
      <c r="A1066" s="2">
        <v>3351016</v>
      </c>
      <c r="B1066" s="2" t="s">
        <v>1737</v>
      </c>
      <c r="C1066" s="3" t="s">
        <v>472</v>
      </c>
      <c r="D1066" s="4">
        <v>605.15</v>
      </c>
      <c r="E1066" s="4">
        <v>4.6</v>
      </c>
      <c r="F1066" s="4">
        <v>2783.69</v>
      </c>
      <c r="G1066" s="4">
        <v>4.6</v>
      </c>
      <c r="H1066" s="4">
        <v>2783.69</v>
      </c>
    </row>
    <row r="1067" s="1" customFormat="1" ht="14" spans="1:8">
      <c r="A1067" s="2">
        <v>3355016</v>
      </c>
      <c r="B1067" s="2" t="s">
        <v>1738</v>
      </c>
      <c r="C1067" s="3" t="s">
        <v>824</v>
      </c>
      <c r="D1067" s="4">
        <v>0.13</v>
      </c>
      <c r="E1067" s="4">
        <v>7.76</v>
      </c>
      <c r="F1067" s="4">
        <v>1.01</v>
      </c>
      <c r="G1067" s="4">
        <v>7.76</v>
      </c>
      <c r="H1067" s="4">
        <v>1.01</v>
      </c>
    </row>
    <row r="1068" s="1" customFormat="1" ht="14" spans="1:8">
      <c r="A1068" s="2">
        <v>3355019</v>
      </c>
      <c r="B1068" s="2" t="s">
        <v>1739</v>
      </c>
      <c r="C1068" s="3" t="s">
        <v>472</v>
      </c>
      <c r="D1068" s="4">
        <v>102.6</v>
      </c>
      <c r="E1068" s="4">
        <v>25.62</v>
      </c>
      <c r="F1068" s="4">
        <v>2628.62</v>
      </c>
      <c r="G1068" s="4">
        <v>25.62</v>
      </c>
      <c r="H1068" s="4">
        <v>2628.62</v>
      </c>
    </row>
    <row r="1069" s="1" customFormat="1" ht="14" spans="1:8">
      <c r="A1069" s="2">
        <v>3355020</v>
      </c>
      <c r="B1069" s="2" t="s">
        <v>1740</v>
      </c>
      <c r="C1069" s="3" t="s">
        <v>472</v>
      </c>
      <c r="D1069" s="4">
        <v>103.17</v>
      </c>
      <c r="E1069" s="4">
        <v>32.74</v>
      </c>
      <c r="F1069" s="4">
        <v>3377.79</v>
      </c>
      <c r="G1069" s="4">
        <v>32.74</v>
      </c>
      <c r="H1069" s="4">
        <v>3377.79</v>
      </c>
    </row>
    <row r="1070" s="1" customFormat="1" ht="14" spans="1:8">
      <c r="A1070" s="2">
        <v>3355021</v>
      </c>
      <c r="B1070" s="2" t="s">
        <v>1741</v>
      </c>
      <c r="C1070" s="3" t="s">
        <v>824</v>
      </c>
      <c r="D1070" s="4">
        <v>65489.81</v>
      </c>
      <c r="E1070" s="4">
        <v>0.07</v>
      </c>
      <c r="F1070" s="4">
        <v>4584.26</v>
      </c>
      <c r="G1070" s="4">
        <v>0.07</v>
      </c>
      <c r="H1070" s="4">
        <v>4584.26</v>
      </c>
    </row>
    <row r="1071" s="1" customFormat="1" ht="14" spans="1:8">
      <c r="A1071" s="2">
        <v>3355023</v>
      </c>
      <c r="B1071" s="2" t="s">
        <v>1742</v>
      </c>
      <c r="C1071" s="3" t="s">
        <v>824</v>
      </c>
      <c r="D1071" s="4">
        <v>22871.45</v>
      </c>
      <c r="E1071" s="4">
        <v>0.28</v>
      </c>
      <c r="F1071" s="4">
        <v>6404.01</v>
      </c>
      <c r="G1071" s="4">
        <v>0.28</v>
      </c>
      <c r="H1071" s="4">
        <v>6404.01</v>
      </c>
    </row>
    <row r="1072" s="1" customFormat="1" ht="14" spans="1:8">
      <c r="A1072" s="2">
        <v>3355024</v>
      </c>
      <c r="B1072" s="2" t="s">
        <v>1743</v>
      </c>
      <c r="C1072" s="3" t="s">
        <v>824</v>
      </c>
      <c r="D1072" s="4">
        <v>646.4</v>
      </c>
      <c r="E1072" s="4">
        <v>0.57</v>
      </c>
      <c r="F1072" s="4">
        <v>368.45</v>
      </c>
      <c r="G1072" s="4">
        <v>0.57</v>
      </c>
      <c r="H1072" s="4">
        <v>368.45</v>
      </c>
    </row>
    <row r="1073" s="1" customFormat="1" ht="14" spans="1:8">
      <c r="A1073" s="2">
        <v>3360010</v>
      </c>
      <c r="B1073" s="2" t="s">
        <v>1744</v>
      </c>
      <c r="C1073" s="3" t="s">
        <v>472</v>
      </c>
      <c r="D1073" s="4">
        <v>13158.41</v>
      </c>
      <c r="E1073" s="4">
        <v>0.3</v>
      </c>
      <c r="F1073" s="4">
        <v>3947.52</v>
      </c>
      <c r="G1073" s="4">
        <v>0.3</v>
      </c>
      <c r="H1073" s="4">
        <v>3947.52</v>
      </c>
    </row>
    <row r="1074" s="1" customFormat="1" ht="14" spans="1:8">
      <c r="A1074" s="2">
        <v>3360011</v>
      </c>
      <c r="B1074" s="2" t="s">
        <v>1745</v>
      </c>
      <c r="C1074" s="3" t="s">
        <v>472</v>
      </c>
      <c r="D1074" s="4">
        <v>48.44</v>
      </c>
      <c r="E1074" s="4">
        <v>0.18</v>
      </c>
      <c r="F1074" s="4">
        <v>8.72</v>
      </c>
      <c r="G1074" s="4">
        <v>0.18</v>
      </c>
      <c r="H1074" s="4">
        <v>8.72</v>
      </c>
    </row>
    <row r="1075" s="1" customFormat="1" ht="14" spans="1:8">
      <c r="A1075" s="2">
        <v>3360012</v>
      </c>
      <c r="B1075" s="2" t="s">
        <v>1746</v>
      </c>
      <c r="C1075" s="3" t="s">
        <v>472</v>
      </c>
      <c r="D1075" s="4">
        <v>2850.12</v>
      </c>
      <c r="E1075" s="4">
        <v>0.27</v>
      </c>
      <c r="F1075" s="4">
        <v>769.53</v>
      </c>
      <c r="G1075" s="4">
        <v>0.27</v>
      </c>
      <c r="H1075" s="4">
        <v>769.53</v>
      </c>
    </row>
    <row r="1076" s="1" customFormat="1" ht="14" spans="1:8">
      <c r="A1076" s="2">
        <v>3360019</v>
      </c>
      <c r="B1076" s="2" t="s">
        <v>1747</v>
      </c>
      <c r="C1076" s="3" t="s">
        <v>472</v>
      </c>
      <c r="D1076" s="4">
        <v>603.84</v>
      </c>
      <c r="E1076" s="4">
        <v>1.37</v>
      </c>
      <c r="F1076" s="4">
        <v>827.25</v>
      </c>
      <c r="G1076" s="4">
        <v>1.37</v>
      </c>
      <c r="H1076" s="4">
        <v>827.25</v>
      </c>
    </row>
    <row r="1077" s="1" customFormat="1" ht="14" spans="1:8">
      <c r="A1077" s="2">
        <v>3360024</v>
      </c>
      <c r="B1077" s="2" t="s">
        <v>1748</v>
      </c>
      <c r="C1077" s="3" t="s">
        <v>472</v>
      </c>
      <c r="D1077" s="4">
        <v>298.46</v>
      </c>
      <c r="E1077" s="4">
        <v>12.66</v>
      </c>
      <c r="F1077" s="4">
        <v>3778.38</v>
      </c>
      <c r="G1077" s="4">
        <v>12.66</v>
      </c>
      <c r="H1077" s="4">
        <v>3778.38</v>
      </c>
    </row>
    <row r="1078" s="1" customFormat="1" ht="14" spans="1:8">
      <c r="A1078" s="2">
        <v>3360025</v>
      </c>
      <c r="B1078" s="2" t="s">
        <v>1749</v>
      </c>
      <c r="C1078" s="3" t="s">
        <v>52</v>
      </c>
      <c r="D1078" s="4">
        <v>613.12</v>
      </c>
      <c r="E1078" s="4">
        <v>9.14</v>
      </c>
      <c r="F1078" s="4">
        <v>5603.91</v>
      </c>
      <c r="G1078" s="4">
        <v>9.14</v>
      </c>
      <c r="H1078" s="4">
        <v>5603.91</v>
      </c>
    </row>
    <row r="1079" s="1" customFormat="1" ht="14" spans="1:8">
      <c r="A1079" s="2">
        <v>3360031</v>
      </c>
      <c r="B1079" s="2" t="s">
        <v>1750</v>
      </c>
      <c r="C1079" s="3" t="s">
        <v>472</v>
      </c>
      <c r="D1079" s="4">
        <v>262.6</v>
      </c>
      <c r="E1079" s="4">
        <v>50.79</v>
      </c>
      <c r="F1079" s="4">
        <v>13337.45</v>
      </c>
      <c r="G1079" s="4">
        <v>50.79</v>
      </c>
      <c r="H1079" s="4">
        <v>13337.45</v>
      </c>
    </row>
    <row r="1080" s="1" customFormat="1" ht="14" spans="1:8">
      <c r="A1080" s="2">
        <v>3360037</v>
      </c>
      <c r="B1080" s="2" t="s">
        <v>1751</v>
      </c>
      <c r="C1080" s="3" t="s">
        <v>472</v>
      </c>
      <c r="D1080" s="4">
        <v>19904</v>
      </c>
      <c r="E1080" s="4">
        <v>4.8</v>
      </c>
      <c r="F1080" s="4">
        <v>95539.2</v>
      </c>
      <c r="G1080" s="4">
        <v>4.8</v>
      </c>
      <c r="H1080" s="4">
        <v>95539.2</v>
      </c>
    </row>
    <row r="1081" s="1" customFormat="1" ht="14" spans="1:8">
      <c r="A1081" s="2">
        <v>3360038</v>
      </c>
      <c r="B1081" s="2" t="s">
        <v>1752</v>
      </c>
      <c r="C1081" s="3" t="s">
        <v>472</v>
      </c>
      <c r="D1081" s="4">
        <v>906.4</v>
      </c>
      <c r="E1081" s="4">
        <v>6.76</v>
      </c>
      <c r="F1081" s="4">
        <v>6127.27</v>
      </c>
      <c r="G1081" s="4">
        <v>6.76</v>
      </c>
      <c r="H1081" s="4">
        <v>6127.27</v>
      </c>
    </row>
    <row r="1082" s="1" customFormat="1" ht="14" spans="1:8">
      <c r="A1082" s="2">
        <v>3360039</v>
      </c>
      <c r="B1082" s="2" t="s">
        <v>1753</v>
      </c>
      <c r="C1082" s="3" t="s">
        <v>472</v>
      </c>
      <c r="D1082" s="4">
        <v>226.91</v>
      </c>
      <c r="E1082" s="4">
        <v>10.51</v>
      </c>
      <c r="F1082" s="4">
        <v>2384.81</v>
      </c>
      <c r="G1082" s="4">
        <v>10.51</v>
      </c>
      <c r="H1082" s="4">
        <v>2384.81</v>
      </c>
    </row>
    <row r="1083" s="1" customFormat="1" ht="14" spans="1:8">
      <c r="A1083" s="2">
        <v>3372011</v>
      </c>
      <c r="B1083" s="2" t="s">
        <v>1754</v>
      </c>
      <c r="C1083" s="3" t="s">
        <v>472</v>
      </c>
      <c r="D1083" s="4">
        <v>8418.63</v>
      </c>
      <c r="E1083" s="4">
        <v>1.75</v>
      </c>
      <c r="F1083" s="4">
        <v>14732.62</v>
      </c>
      <c r="G1083" s="4">
        <v>2.05</v>
      </c>
      <c r="H1083" s="4">
        <v>17258.2</v>
      </c>
    </row>
    <row r="1084" s="1" customFormat="1" ht="14" spans="1:8">
      <c r="A1084" s="2">
        <v>3372012</v>
      </c>
      <c r="B1084" s="2" t="s">
        <v>1755</v>
      </c>
      <c r="C1084" s="3" t="s">
        <v>472</v>
      </c>
      <c r="D1084" s="4">
        <v>5377.41</v>
      </c>
      <c r="E1084" s="4">
        <v>1.85</v>
      </c>
      <c r="F1084" s="4">
        <v>9948.21</v>
      </c>
      <c r="G1084" s="4">
        <v>2.17</v>
      </c>
      <c r="H1084" s="4">
        <v>11668.98</v>
      </c>
    </row>
    <row r="1085" s="1" customFormat="1" ht="14" spans="1:8">
      <c r="A1085" s="2">
        <v>3372013</v>
      </c>
      <c r="B1085" s="2" t="s">
        <v>1756</v>
      </c>
      <c r="C1085" s="3" t="s">
        <v>472</v>
      </c>
      <c r="D1085" s="4">
        <v>3602.4</v>
      </c>
      <c r="E1085" s="4">
        <v>2.37</v>
      </c>
      <c r="F1085" s="4">
        <v>8537.69</v>
      </c>
      <c r="G1085" s="4">
        <v>2.78</v>
      </c>
      <c r="H1085" s="4">
        <v>10014.68</v>
      </c>
    </row>
    <row r="1086" s="1" customFormat="1" ht="14" spans="1:8">
      <c r="A1086" s="2">
        <v>3372015</v>
      </c>
      <c r="B1086" s="2" t="s">
        <v>1757</v>
      </c>
      <c r="C1086" s="3" t="s">
        <v>472</v>
      </c>
      <c r="D1086" s="4">
        <v>2177.09</v>
      </c>
      <c r="E1086" s="4">
        <v>4.1</v>
      </c>
      <c r="F1086" s="4">
        <v>8926.06</v>
      </c>
      <c r="G1086" s="4">
        <v>4.79</v>
      </c>
      <c r="H1086" s="4">
        <v>10428.28</v>
      </c>
    </row>
    <row r="1087" s="1" customFormat="1" ht="14" spans="1:8">
      <c r="A1087" s="2">
        <v>3372018</v>
      </c>
      <c r="B1087" s="2" t="s">
        <v>1758</v>
      </c>
      <c r="C1087" s="3" t="s">
        <v>472</v>
      </c>
      <c r="D1087" s="4">
        <v>16293.96</v>
      </c>
      <c r="E1087" s="4">
        <v>8.95</v>
      </c>
      <c r="F1087" s="4">
        <v>145830.95</v>
      </c>
      <c r="G1087" s="4">
        <v>10.47</v>
      </c>
      <c r="H1087" s="4">
        <v>170597.75</v>
      </c>
    </row>
    <row r="1088" s="1" customFormat="1" ht="28" spans="1:8">
      <c r="A1088" s="2">
        <v>3372019</v>
      </c>
      <c r="B1088" s="2" t="s">
        <v>1759</v>
      </c>
      <c r="C1088" s="3" t="s">
        <v>472</v>
      </c>
      <c r="D1088" s="4">
        <v>131472.16</v>
      </c>
      <c r="E1088" s="4">
        <v>11.54</v>
      </c>
      <c r="F1088" s="4">
        <v>1517188.71</v>
      </c>
      <c r="G1088" s="4">
        <v>13.39</v>
      </c>
      <c r="H1088" s="4">
        <v>1760412.14</v>
      </c>
    </row>
    <row r="1089" s="1" customFormat="1" ht="28" spans="1:8">
      <c r="A1089" s="2">
        <v>3372020</v>
      </c>
      <c r="B1089" s="2" t="s">
        <v>1760</v>
      </c>
      <c r="C1089" s="3" t="s">
        <v>472</v>
      </c>
      <c r="D1089" s="4">
        <v>90.74</v>
      </c>
      <c r="E1089" s="4">
        <v>13.86</v>
      </c>
      <c r="F1089" s="4">
        <v>1257.6</v>
      </c>
      <c r="G1089" s="4">
        <v>16.05</v>
      </c>
      <c r="H1089" s="4">
        <v>1456.31</v>
      </c>
    </row>
    <row r="1090" s="1" customFormat="1" ht="28" spans="1:8">
      <c r="A1090" s="2">
        <v>3372022</v>
      </c>
      <c r="B1090" s="2" t="s">
        <v>1761</v>
      </c>
      <c r="C1090" s="3" t="s">
        <v>472</v>
      </c>
      <c r="D1090" s="4">
        <v>527.31</v>
      </c>
      <c r="E1090" s="4">
        <v>24.21</v>
      </c>
      <c r="F1090" s="4">
        <v>12766.24</v>
      </c>
      <c r="G1090" s="4">
        <v>28.03</v>
      </c>
      <c r="H1090" s="4">
        <v>14780.56</v>
      </c>
    </row>
    <row r="1091" s="1" customFormat="1" ht="28" spans="1:8">
      <c r="A1091" s="2">
        <v>3372024</v>
      </c>
      <c r="B1091" s="2" t="s">
        <v>1762</v>
      </c>
      <c r="C1091" s="3" t="s">
        <v>472</v>
      </c>
      <c r="D1091" s="4">
        <v>541.01</v>
      </c>
      <c r="E1091" s="4">
        <v>41.43</v>
      </c>
      <c r="F1091" s="4">
        <v>22413.96</v>
      </c>
      <c r="G1091" s="4">
        <v>47.98</v>
      </c>
      <c r="H1091" s="4">
        <v>25957.57</v>
      </c>
    </row>
    <row r="1092" s="1" customFormat="1" ht="14" spans="1:8">
      <c r="A1092" s="2">
        <v>3372030</v>
      </c>
      <c r="B1092" s="2" t="s">
        <v>1763</v>
      </c>
      <c r="C1092" s="3" t="s">
        <v>472</v>
      </c>
      <c r="D1092" s="4">
        <v>4510.44</v>
      </c>
      <c r="E1092" s="4">
        <v>4.2</v>
      </c>
      <c r="F1092" s="4">
        <v>18943.92</v>
      </c>
      <c r="G1092" s="4">
        <v>4.2</v>
      </c>
      <c r="H1092" s="4">
        <v>18943.92</v>
      </c>
    </row>
    <row r="1093" s="1" customFormat="1" ht="14" spans="1:8">
      <c r="A1093" s="2">
        <v>3372031</v>
      </c>
      <c r="B1093" s="2" t="s">
        <v>1764</v>
      </c>
      <c r="C1093" s="3" t="s">
        <v>472</v>
      </c>
      <c r="D1093" s="4">
        <v>542.64</v>
      </c>
      <c r="E1093" s="4">
        <v>6.09</v>
      </c>
      <c r="F1093" s="4">
        <v>3304.68</v>
      </c>
      <c r="G1093" s="4">
        <v>6.09</v>
      </c>
      <c r="H1093" s="4">
        <v>3304.68</v>
      </c>
    </row>
    <row r="1094" s="1" customFormat="1" ht="14" spans="1:8">
      <c r="A1094" s="2">
        <v>3372032</v>
      </c>
      <c r="B1094" s="2" t="s">
        <v>1765</v>
      </c>
      <c r="C1094" s="3" t="s">
        <v>472</v>
      </c>
      <c r="D1094" s="4">
        <v>1138.32</v>
      </c>
      <c r="E1094" s="4">
        <v>9.85</v>
      </c>
      <c r="F1094" s="4">
        <v>11212.54</v>
      </c>
      <c r="G1094" s="4">
        <v>9.85</v>
      </c>
      <c r="H1094" s="4">
        <v>11212.54</v>
      </c>
    </row>
    <row r="1095" s="1" customFormat="1" ht="14" spans="1:8">
      <c r="A1095" s="2">
        <v>3372033</v>
      </c>
      <c r="B1095" s="2" t="s">
        <v>1766</v>
      </c>
      <c r="C1095" s="3" t="s">
        <v>472</v>
      </c>
      <c r="D1095" s="4">
        <v>360.06</v>
      </c>
      <c r="E1095" s="4">
        <v>15.67</v>
      </c>
      <c r="F1095" s="4">
        <v>5642.17</v>
      </c>
      <c r="G1095" s="4">
        <v>15.67</v>
      </c>
      <c r="H1095" s="4">
        <v>5642.17</v>
      </c>
    </row>
    <row r="1096" s="1" customFormat="1" ht="28" spans="1:8">
      <c r="A1096" s="2">
        <v>3372043</v>
      </c>
      <c r="B1096" s="2" t="s">
        <v>1767</v>
      </c>
      <c r="C1096" s="3" t="s">
        <v>824</v>
      </c>
      <c r="D1096" s="4">
        <v>7597.26</v>
      </c>
      <c r="E1096" s="4">
        <v>2.13</v>
      </c>
      <c r="F1096" s="4">
        <v>16182.15</v>
      </c>
      <c r="G1096" s="4">
        <v>2.13</v>
      </c>
      <c r="H1096" s="4">
        <v>16182.15</v>
      </c>
    </row>
    <row r="1097" s="1" customFormat="1" ht="28" spans="1:8">
      <c r="A1097" s="2">
        <v>3372044</v>
      </c>
      <c r="B1097" s="2" t="s">
        <v>1768</v>
      </c>
      <c r="C1097" s="3" t="s">
        <v>824</v>
      </c>
      <c r="D1097" s="4">
        <v>1914.62</v>
      </c>
      <c r="E1097" s="4">
        <v>2.67</v>
      </c>
      <c r="F1097" s="4">
        <v>5112.05</v>
      </c>
      <c r="G1097" s="4">
        <v>2.67</v>
      </c>
      <c r="H1097" s="4">
        <v>5112.05</v>
      </c>
    </row>
    <row r="1098" s="1" customFormat="1" ht="28" spans="1:8">
      <c r="A1098" s="2">
        <v>3372045</v>
      </c>
      <c r="B1098" s="2" t="s">
        <v>1769</v>
      </c>
      <c r="C1098" s="3" t="s">
        <v>824</v>
      </c>
      <c r="D1098" s="4">
        <v>1091.45</v>
      </c>
      <c r="E1098" s="4">
        <v>3.21</v>
      </c>
      <c r="F1098" s="4">
        <v>3503.67</v>
      </c>
      <c r="G1098" s="4">
        <v>3.21</v>
      </c>
      <c r="H1098" s="4">
        <v>3503.67</v>
      </c>
    </row>
    <row r="1099" s="1" customFormat="1" ht="28" spans="1:8">
      <c r="A1099" s="2">
        <v>3372046</v>
      </c>
      <c r="B1099" s="2" t="s">
        <v>1770</v>
      </c>
      <c r="C1099" s="3" t="s">
        <v>824</v>
      </c>
      <c r="D1099" s="4">
        <v>283.46</v>
      </c>
      <c r="E1099" s="4">
        <v>4.6</v>
      </c>
      <c r="F1099" s="4">
        <v>1303.98</v>
      </c>
      <c r="G1099" s="4">
        <v>4.6</v>
      </c>
      <c r="H1099" s="4">
        <v>1303.98</v>
      </c>
    </row>
    <row r="1100" s="1" customFormat="1" ht="14" spans="1:8">
      <c r="A1100" s="2">
        <v>3372154</v>
      </c>
      <c r="B1100" s="2" t="s">
        <v>1771</v>
      </c>
      <c r="C1100" s="3" t="s">
        <v>472</v>
      </c>
      <c r="D1100" s="4">
        <v>4260.31</v>
      </c>
      <c r="E1100" s="4">
        <v>9.91</v>
      </c>
      <c r="F1100" s="4">
        <v>42219.67</v>
      </c>
      <c r="G1100" s="4">
        <v>11</v>
      </c>
      <c r="H1100" s="4">
        <v>46863.43</v>
      </c>
    </row>
    <row r="1101" s="1" customFormat="1" ht="14" spans="1:8">
      <c r="A1101" s="2">
        <v>3372155</v>
      </c>
      <c r="B1101" s="2" t="s">
        <v>1772</v>
      </c>
      <c r="C1101" s="3" t="s">
        <v>472</v>
      </c>
      <c r="D1101" s="4">
        <v>960.35</v>
      </c>
      <c r="E1101" s="4">
        <v>12.8</v>
      </c>
      <c r="F1101" s="4">
        <v>12292.41</v>
      </c>
      <c r="G1101" s="4">
        <v>14.19</v>
      </c>
      <c r="H1101" s="4">
        <v>13627.3</v>
      </c>
    </row>
    <row r="1102" s="1" customFormat="1" ht="14" spans="1:8">
      <c r="A1102" s="2">
        <v>3372210</v>
      </c>
      <c r="B1102" s="2" t="s">
        <v>1773</v>
      </c>
      <c r="C1102" s="3" t="s">
        <v>472</v>
      </c>
      <c r="D1102" s="4">
        <v>2663.37</v>
      </c>
      <c r="E1102" s="4">
        <v>14.93</v>
      </c>
      <c r="F1102" s="4">
        <v>39763.98</v>
      </c>
      <c r="G1102" s="4">
        <v>16.41</v>
      </c>
      <c r="H1102" s="4">
        <v>43705.72</v>
      </c>
    </row>
    <row r="1103" s="1" customFormat="1" ht="28" spans="1:8">
      <c r="A1103" s="2">
        <v>3372211</v>
      </c>
      <c r="B1103" s="2" t="s">
        <v>1774</v>
      </c>
      <c r="C1103" s="3" t="s">
        <v>472</v>
      </c>
      <c r="D1103" s="4">
        <v>3798.34</v>
      </c>
      <c r="E1103" s="4">
        <v>24.89</v>
      </c>
      <c r="F1103" s="4">
        <v>94540.68</v>
      </c>
      <c r="G1103" s="4">
        <v>27.23</v>
      </c>
      <c r="H1103" s="4">
        <v>103428.8</v>
      </c>
    </row>
    <row r="1104" s="1" customFormat="1" ht="28" spans="1:8">
      <c r="A1104" s="2">
        <v>3372212</v>
      </c>
      <c r="B1104" s="2" t="s">
        <v>1775</v>
      </c>
      <c r="C1104" s="3" t="s">
        <v>472</v>
      </c>
      <c r="D1104" s="4">
        <v>2384.24</v>
      </c>
      <c r="E1104" s="4">
        <v>47.08</v>
      </c>
      <c r="F1104" s="4">
        <v>112249.78</v>
      </c>
      <c r="G1104" s="4">
        <v>51.17</v>
      </c>
      <c r="H1104" s="4">
        <v>122001.3</v>
      </c>
    </row>
    <row r="1105" s="1" customFormat="1" ht="28" spans="1:8">
      <c r="A1105" s="2">
        <v>3372214</v>
      </c>
      <c r="B1105" s="2" t="s">
        <v>1776</v>
      </c>
      <c r="C1105" s="3" t="s">
        <v>472</v>
      </c>
      <c r="D1105" s="4">
        <v>5511.45</v>
      </c>
      <c r="E1105" s="4">
        <v>111.07</v>
      </c>
      <c r="F1105" s="4">
        <v>612156.76</v>
      </c>
      <c r="G1105" s="4">
        <v>117.07</v>
      </c>
      <c r="H1105" s="4">
        <v>645225.46</v>
      </c>
    </row>
    <row r="1106" s="1" customFormat="1" ht="28" spans="1:8">
      <c r="A1106" s="2">
        <v>3372251</v>
      </c>
      <c r="B1106" s="2" t="s">
        <v>1777</v>
      </c>
      <c r="C1106" s="3" t="s">
        <v>472</v>
      </c>
      <c r="D1106" s="4">
        <v>2000</v>
      </c>
      <c r="E1106" s="4">
        <v>35.65</v>
      </c>
      <c r="F1106" s="4">
        <v>71300</v>
      </c>
      <c r="G1106" s="4">
        <v>37.6</v>
      </c>
      <c r="H1106" s="4">
        <v>75200</v>
      </c>
    </row>
    <row r="1107" s="1" customFormat="1" ht="14" spans="1:8">
      <c r="A1107" s="2">
        <v>3372261</v>
      </c>
      <c r="B1107" s="2" t="s">
        <v>1778</v>
      </c>
      <c r="C1107" s="3" t="s">
        <v>472</v>
      </c>
      <c r="D1107" s="4">
        <v>2068.5</v>
      </c>
      <c r="E1107" s="4">
        <v>31.4</v>
      </c>
      <c r="F1107" s="4">
        <v>64950.9</v>
      </c>
      <c r="G1107" s="4">
        <v>31.4</v>
      </c>
      <c r="H1107" s="4">
        <v>64950.9</v>
      </c>
    </row>
    <row r="1108" s="1" customFormat="1" ht="14" spans="1:8">
      <c r="A1108" s="2">
        <v>3372263</v>
      </c>
      <c r="B1108" s="2" t="s">
        <v>1779</v>
      </c>
      <c r="C1108" s="3" t="s">
        <v>472</v>
      </c>
      <c r="D1108" s="4">
        <v>370.8</v>
      </c>
      <c r="E1108" s="4">
        <v>42.67</v>
      </c>
      <c r="F1108" s="4">
        <v>15822.04</v>
      </c>
      <c r="G1108" s="4">
        <v>42.67</v>
      </c>
      <c r="H1108" s="4">
        <v>15822.04</v>
      </c>
    </row>
    <row r="1109" s="1" customFormat="1" ht="14" spans="1:8">
      <c r="A1109" s="2">
        <v>3372265</v>
      </c>
      <c r="B1109" s="2" t="s">
        <v>1780</v>
      </c>
      <c r="C1109" s="3" t="s">
        <v>472</v>
      </c>
      <c r="D1109" s="4">
        <v>915.4</v>
      </c>
      <c r="E1109" s="4">
        <v>87.05</v>
      </c>
      <c r="F1109" s="4">
        <v>79685.57</v>
      </c>
      <c r="G1109" s="4">
        <v>87.05</v>
      </c>
      <c r="H1109" s="4">
        <v>79685.57</v>
      </c>
    </row>
    <row r="1110" s="1" customFormat="1" ht="14" spans="1:8">
      <c r="A1110" s="2">
        <v>3372267</v>
      </c>
      <c r="B1110" s="2" t="s">
        <v>1781</v>
      </c>
      <c r="C1110" s="3" t="s">
        <v>472</v>
      </c>
      <c r="D1110" s="4">
        <v>4.08</v>
      </c>
      <c r="E1110" s="4">
        <v>138.25</v>
      </c>
      <c r="F1110" s="4">
        <v>564.06</v>
      </c>
      <c r="G1110" s="4">
        <v>138.25</v>
      </c>
      <c r="H1110" s="4">
        <v>564.06</v>
      </c>
    </row>
    <row r="1111" s="1" customFormat="1" ht="14" spans="1:8">
      <c r="A1111" s="2">
        <v>3372390</v>
      </c>
      <c r="B1111" s="2" t="s">
        <v>1782</v>
      </c>
      <c r="C1111" s="3" t="s">
        <v>472</v>
      </c>
      <c r="D1111" s="4">
        <v>760</v>
      </c>
      <c r="E1111" s="4">
        <v>30.08</v>
      </c>
      <c r="F1111" s="4">
        <v>22860.8</v>
      </c>
      <c r="G1111" s="4">
        <v>34.59</v>
      </c>
      <c r="H1111" s="4">
        <v>26288.4</v>
      </c>
    </row>
    <row r="1112" s="1" customFormat="1" ht="14" spans="1:8">
      <c r="A1112" s="2">
        <v>3372392</v>
      </c>
      <c r="B1112" s="2" t="s">
        <v>1783</v>
      </c>
      <c r="C1112" s="3" t="s">
        <v>472</v>
      </c>
      <c r="D1112" s="4">
        <v>4288.5</v>
      </c>
      <c r="E1112" s="4">
        <v>49.4</v>
      </c>
      <c r="F1112" s="4">
        <v>211851.9</v>
      </c>
      <c r="G1112" s="4">
        <v>56.85</v>
      </c>
      <c r="H1112" s="4">
        <v>243801.23</v>
      </c>
    </row>
    <row r="1113" s="1" customFormat="1" ht="14" spans="1:8">
      <c r="A1113" s="2">
        <v>3372510</v>
      </c>
      <c r="B1113" s="2" t="s">
        <v>1784</v>
      </c>
      <c r="C1113" s="3" t="s">
        <v>472</v>
      </c>
      <c r="D1113" s="4">
        <v>515.62</v>
      </c>
      <c r="E1113" s="4">
        <v>48.17</v>
      </c>
      <c r="F1113" s="4">
        <v>24837.42</v>
      </c>
      <c r="G1113" s="4">
        <v>48.17</v>
      </c>
      <c r="H1113" s="4">
        <v>24837.42</v>
      </c>
    </row>
    <row r="1114" s="1" customFormat="1" ht="14" spans="1:8">
      <c r="A1114" s="2">
        <v>3372511</v>
      </c>
      <c r="B1114" s="2" t="s">
        <v>1785</v>
      </c>
      <c r="C1114" s="3" t="s">
        <v>472</v>
      </c>
      <c r="D1114" s="4">
        <v>6135.68</v>
      </c>
      <c r="E1114" s="4">
        <v>89.33</v>
      </c>
      <c r="F1114" s="4">
        <v>548100.32</v>
      </c>
      <c r="G1114" s="4">
        <v>89.33</v>
      </c>
      <c r="H1114" s="4">
        <v>548100.32</v>
      </c>
    </row>
    <row r="1115" s="1" customFormat="1" ht="14" spans="1:8">
      <c r="A1115" s="2">
        <v>3373011</v>
      </c>
      <c r="B1115" s="2" t="s">
        <v>1786</v>
      </c>
      <c r="C1115" s="3" t="s">
        <v>824</v>
      </c>
      <c r="D1115" s="4">
        <v>253.74</v>
      </c>
      <c r="E1115" s="4">
        <v>0.84</v>
      </c>
      <c r="F1115" s="4">
        <v>213.14</v>
      </c>
      <c r="G1115" s="4">
        <v>0.84</v>
      </c>
      <c r="H1115" s="4">
        <v>213.14</v>
      </c>
    </row>
    <row r="1116" s="1" customFormat="1" ht="14" spans="1:8">
      <c r="A1116" s="2">
        <v>3373012</v>
      </c>
      <c r="B1116" s="2" t="s">
        <v>1787</v>
      </c>
      <c r="C1116" s="3" t="s">
        <v>824</v>
      </c>
      <c r="D1116" s="4">
        <v>17.28</v>
      </c>
      <c r="E1116" s="4">
        <v>1.38</v>
      </c>
      <c r="F1116" s="4">
        <v>23.85</v>
      </c>
      <c r="G1116" s="4">
        <v>1.38</v>
      </c>
      <c r="H1116" s="4">
        <v>23.85</v>
      </c>
    </row>
    <row r="1117" s="1" customFormat="1" ht="14" spans="1:8">
      <c r="A1117" s="2">
        <v>3373013</v>
      </c>
      <c r="B1117" s="2" t="s">
        <v>1788</v>
      </c>
      <c r="C1117" s="3" t="s">
        <v>824</v>
      </c>
      <c r="D1117" s="4">
        <v>107.58</v>
      </c>
      <c r="E1117" s="4">
        <v>1.92</v>
      </c>
      <c r="F1117" s="4">
        <v>206.55</v>
      </c>
      <c r="G1117" s="4">
        <v>1.92</v>
      </c>
      <c r="H1117" s="4">
        <v>206.55</v>
      </c>
    </row>
    <row r="1118" s="1" customFormat="1" ht="14" spans="1:8">
      <c r="A1118" s="2">
        <v>3373015</v>
      </c>
      <c r="B1118" s="2" t="s">
        <v>1789</v>
      </c>
      <c r="C1118" s="3" t="s">
        <v>824</v>
      </c>
      <c r="D1118" s="4">
        <v>100.24</v>
      </c>
      <c r="E1118" s="4">
        <v>4.25</v>
      </c>
      <c r="F1118" s="4">
        <v>426.02</v>
      </c>
      <c r="G1118" s="4">
        <v>4.25</v>
      </c>
      <c r="H1118" s="4">
        <v>426.02</v>
      </c>
    </row>
    <row r="1119" s="1" customFormat="1" ht="14" spans="1:8">
      <c r="A1119" s="2">
        <v>3373105</v>
      </c>
      <c r="B1119" s="2" t="s">
        <v>1790</v>
      </c>
      <c r="C1119" s="3" t="s">
        <v>824</v>
      </c>
      <c r="D1119" s="4">
        <v>286.24</v>
      </c>
      <c r="E1119" s="4">
        <v>7.25</v>
      </c>
      <c r="F1119" s="4">
        <v>2075.24</v>
      </c>
      <c r="G1119" s="4">
        <v>7.25</v>
      </c>
      <c r="H1119" s="4">
        <v>2075.24</v>
      </c>
    </row>
    <row r="1120" s="1" customFormat="1" ht="14" spans="1:8">
      <c r="A1120" s="2">
        <v>3373106</v>
      </c>
      <c r="B1120" s="2" t="s">
        <v>1791</v>
      </c>
      <c r="C1120" s="3" t="s">
        <v>824</v>
      </c>
      <c r="D1120" s="4">
        <v>59.66</v>
      </c>
      <c r="E1120" s="4">
        <v>13.06</v>
      </c>
      <c r="F1120" s="4">
        <v>779.17</v>
      </c>
      <c r="G1120" s="4">
        <v>13.06</v>
      </c>
      <c r="H1120" s="4">
        <v>779.17</v>
      </c>
    </row>
    <row r="1121" s="1" customFormat="1" ht="14" spans="1:8">
      <c r="A1121" s="2">
        <v>3373201</v>
      </c>
      <c r="B1121" s="2" t="s">
        <v>1792</v>
      </c>
      <c r="C1121" s="3" t="s">
        <v>824</v>
      </c>
      <c r="D1121" s="4">
        <v>119.07</v>
      </c>
      <c r="E1121" s="4">
        <v>21.11</v>
      </c>
      <c r="F1121" s="4">
        <v>2513.71</v>
      </c>
      <c r="G1121" s="4">
        <v>21.11</v>
      </c>
      <c r="H1121" s="4">
        <v>2513.71</v>
      </c>
    </row>
    <row r="1122" s="1" customFormat="1" ht="14" spans="1:8">
      <c r="A1122" s="2">
        <v>3373202</v>
      </c>
      <c r="B1122" s="2" t="s">
        <v>1793</v>
      </c>
      <c r="C1122" s="3" t="s">
        <v>824</v>
      </c>
      <c r="D1122" s="4">
        <v>142.37</v>
      </c>
      <c r="E1122" s="4">
        <v>29.32</v>
      </c>
      <c r="F1122" s="4">
        <v>4174.22</v>
      </c>
      <c r="G1122" s="4">
        <v>29.32</v>
      </c>
      <c r="H1122" s="4">
        <v>4174.22</v>
      </c>
    </row>
    <row r="1123" s="1" customFormat="1" ht="14" spans="1:8">
      <c r="A1123" s="2">
        <v>3373203</v>
      </c>
      <c r="B1123" s="2" t="s">
        <v>1794</v>
      </c>
      <c r="C1123" s="3" t="s">
        <v>824</v>
      </c>
      <c r="D1123" s="4">
        <v>71.65</v>
      </c>
      <c r="E1123" s="4">
        <v>72.91</v>
      </c>
      <c r="F1123" s="4">
        <v>5223.64</v>
      </c>
      <c r="G1123" s="4">
        <v>72.91</v>
      </c>
      <c r="H1123" s="4">
        <v>5223.64</v>
      </c>
    </row>
    <row r="1124" s="1" customFormat="1" ht="14" spans="1:8">
      <c r="A1124" s="2">
        <v>3373205</v>
      </c>
      <c r="B1124" s="2" t="s">
        <v>1795</v>
      </c>
      <c r="C1124" s="3" t="s">
        <v>824</v>
      </c>
      <c r="D1124" s="4">
        <v>165.61</v>
      </c>
      <c r="E1124" s="4">
        <v>217.73</v>
      </c>
      <c r="F1124" s="4">
        <v>36059.35</v>
      </c>
      <c r="G1124" s="4">
        <v>217.73</v>
      </c>
      <c r="H1124" s="4">
        <v>36059.35</v>
      </c>
    </row>
    <row r="1125" s="1" customFormat="1" ht="14" spans="1:8">
      <c r="A1125" s="2">
        <v>3373257</v>
      </c>
      <c r="B1125" s="2" t="s">
        <v>1796</v>
      </c>
      <c r="C1125" s="3" t="s">
        <v>824</v>
      </c>
      <c r="D1125" s="4">
        <v>2</v>
      </c>
      <c r="E1125" s="4">
        <v>115.76</v>
      </c>
      <c r="F1125" s="4">
        <v>231.52</v>
      </c>
      <c r="G1125" s="4">
        <v>115.76</v>
      </c>
      <c r="H1125" s="4">
        <v>231.52</v>
      </c>
    </row>
    <row r="1126" s="1" customFormat="1" ht="14" spans="1:8">
      <c r="A1126" s="2">
        <v>3373506</v>
      </c>
      <c r="B1126" s="2" t="s">
        <v>1797</v>
      </c>
      <c r="C1126" s="3" t="s">
        <v>824</v>
      </c>
      <c r="D1126" s="4">
        <v>12</v>
      </c>
      <c r="E1126" s="4">
        <v>27.72</v>
      </c>
      <c r="F1126" s="4">
        <v>332.64</v>
      </c>
      <c r="G1126" s="4">
        <v>27.72</v>
      </c>
      <c r="H1126" s="4">
        <v>332.64</v>
      </c>
    </row>
    <row r="1127" s="1" customFormat="1" ht="14" spans="1:8">
      <c r="A1127" s="2">
        <v>3373660</v>
      </c>
      <c r="B1127" s="2" t="s">
        <v>1798</v>
      </c>
      <c r="C1127" s="3" t="s">
        <v>824</v>
      </c>
      <c r="D1127" s="4">
        <v>28</v>
      </c>
      <c r="E1127" s="4">
        <v>124.94</v>
      </c>
      <c r="F1127" s="4">
        <v>3498.32</v>
      </c>
      <c r="G1127" s="4">
        <v>124.94</v>
      </c>
      <c r="H1127" s="4">
        <v>3498.32</v>
      </c>
    </row>
    <row r="1128" s="1" customFormat="1" ht="14" spans="1:8">
      <c r="A1128" s="2">
        <v>3373662</v>
      </c>
      <c r="B1128" s="2" t="s">
        <v>1799</v>
      </c>
      <c r="C1128" s="3" t="s">
        <v>824</v>
      </c>
      <c r="D1128" s="4">
        <v>4</v>
      </c>
      <c r="E1128" s="4">
        <v>448.81</v>
      </c>
      <c r="F1128" s="4">
        <v>1795.24</v>
      </c>
      <c r="G1128" s="4">
        <v>448.81</v>
      </c>
      <c r="H1128" s="4">
        <v>1795.24</v>
      </c>
    </row>
    <row r="1129" s="1" customFormat="1" ht="14" spans="1:8">
      <c r="A1129" s="2">
        <v>3374010</v>
      </c>
      <c r="B1129" s="2" t="s">
        <v>1800</v>
      </c>
      <c r="C1129" s="3" t="s">
        <v>824</v>
      </c>
      <c r="D1129" s="4">
        <v>1351.18</v>
      </c>
      <c r="E1129" s="4">
        <v>5.13</v>
      </c>
      <c r="F1129" s="4">
        <v>6931.58</v>
      </c>
      <c r="G1129" s="4">
        <v>5.13</v>
      </c>
      <c r="H1129" s="4">
        <v>6931.58</v>
      </c>
    </row>
    <row r="1130" s="1" customFormat="1" ht="14" spans="1:8">
      <c r="A1130" s="2">
        <v>3374011</v>
      </c>
      <c r="B1130" s="2" t="s">
        <v>1801</v>
      </c>
      <c r="C1130" s="3" t="s">
        <v>824</v>
      </c>
      <c r="D1130" s="4">
        <v>604.73</v>
      </c>
      <c r="E1130" s="4">
        <v>5.58</v>
      </c>
      <c r="F1130" s="4">
        <v>3374.25</v>
      </c>
      <c r="G1130" s="4">
        <v>5.58</v>
      </c>
      <c r="H1130" s="4">
        <v>3374.25</v>
      </c>
    </row>
    <row r="1131" s="1" customFormat="1" ht="14" spans="1:8">
      <c r="A1131" s="2">
        <v>3374012</v>
      </c>
      <c r="B1131" s="2" t="s">
        <v>1802</v>
      </c>
      <c r="C1131" s="3" t="s">
        <v>824</v>
      </c>
      <c r="D1131" s="4">
        <v>5025.4</v>
      </c>
      <c r="E1131" s="4">
        <v>9.63</v>
      </c>
      <c r="F1131" s="4">
        <v>48394.71</v>
      </c>
      <c r="G1131" s="4">
        <v>9.63</v>
      </c>
      <c r="H1131" s="4">
        <v>48394.71</v>
      </c>
    </row>
    <row r="1132" s="1" customFormat="1" ht="14" spans="1:8">
      <c r="A1132" s="2">
        <v>3374013</v>
      </c>
      <c r="B1132" s="2" t="s">
        <v>1803</v>
      </c>
      <c r="C1132" s="3" t="s">
        <v>824</v>
      </c>
      <c r="D1132" s="4">
        <v>1389.02</v>
      </c>
      <c r="E1132" s="4">
        <v>12.43</v>
      </c>
      <c r="F1132" s="4">
        <v>17265.41</v>
      </c>
      <c r="G1132" s="4">
        <v>12.43</v>
      </c>
      <c r="H1132" s="4">
        <v>17265.41</v>
      </c>
    </row>
    <row r="1133" s="1" customFormat="1" ht="14" spans="1:8">
      <c r="A1133" s="2">
        <v>3375012</v>
      </c>
      <c r="B1133" s="2" t="s">
        <v>1804</v>
      </c>
      <c r="C1133" s="3" t="s">
        <v>472</v>
      </c>
      <c r="D1133" s="4">
        <v>3495.01</v>
      </c>
      <c r="E1133" s="4">
        <v>6.4</v>
      </c>
      <c r="F1133" s="4">
        <v>22368.05</v>
      </c>
      <c r="G1133" s="4">
        <v>6.4</v>
      </c>
      <c r="H1133" s="4">
        <v>22368.05</v>
      </c>
    </row>
    <row r="1134" s="1" customFormat="1" ht="14" spans="1:8">
      <c r="A1134" s="2">
        <v>3378009</v>
      </c>
      <c r="B1134" s="2" t="s">
        <v>1805</v>
      </c>
      <c r="C1134" s="3" t="s">
        <v>876</v>
      </c>
      <c r="D1134" s="4">
        <v>3129.23</v>
      </c>
      <c r="E1134" s="4">
        <v>27.99</v>
      </c>
      <c r="F1134" s="4">
        <v>87587.21</v>
      </c>
      <c r="G1134" s="4">
        <v>27.99</v>
      </c>
      <c r="H1134" s="4">
        <v>87587.21</v>
      </c>
    </row>
    <row r="1135" s="1" customFormat="1" ht="14" spans="1:8">
      <c r="A1135" s="2">
        <v>3378010</v>
      </c>
      <c r="B1135" s="2" t="s">
        <v>1806</v>
      </c>
      <c r="C1135" s="3" t="s">
        <v>824</v>
      </c>
      <c r="D1135" s="4">
        <v>5490.08</v>
      </c>
      <c r="E1135" s="4">
        <v>5.6</v>
      </c>
      <c r="F1135" s="4">
        <v>30744.43</v>
      </c>
      <c r="G1135" s="4">
        <v>5.6</v>
      </c>
      <c r="H1135" s="4">
        <v>30744.43</v>
      </c>
    </row>
    <row r="1136" s="1" customFormat="1" ht="14" spans="1:8">
      <c r="A1136" s="2">
        <v>3378011</v>
      </c>
      <c r="B1136" s="2" t="s">
        <v>1807</v>
      </c>
      <c r="C1136" s="3" t="s">
        <v>876</v>
      </c>
      <c r="D1136" s="4">
        <v>5615.44</v>
      </c>
      <c r="E1136" s="4">
        <v>33.59</v>
      </c>
      <c r="F1136" s="4">
        <v>188622.65</v>
      </c>
      <c r="G1136" s="4">
        <v>33.59</v>
      </c>
      <c r="H1136" s="4">
        <v>188622.65</v>
      </c>
    </row>
    <row r="1137" s="1" customFormat="1" ht="14" spans="1:8">
      <c r="A1137" s="2">
        <v>3378012</v>
      </c>
      <c r="B1137" s="2" t="s">
        <v>1808</v>
      </c>
      <c r="C1137" s="3" t="s">
        <v>472</v>
      </c>
      <c r="D1137" s="4">
        <v>6426.16</v>
      </c>
      <c r="E1137" s="4">
        <v>4.37</v>
      </c>
      <c r="F1137" s="4">
        <v>28082.36</v>
      </c>
      <c r="G1137" s="4">
        <v>4.37</v>
      </c>
      <c r="H1137" s="4">
        <v>28082.36</v>
      </c>
    </row>
    <row r="1138" s="1" customFormat="1" ht="14" spans="1:8">
      <c r="A1138" s="2">
        <v>3378014</v>
      </c>
      <c r="B1138" s="2" t="s">
        <v>1809</v>
      </c>
      <c r="C1138" s="3" t="s">
        <v>824</v>
      </c>
      <c r="D1138" s="4">
        <v>1.84</v>
      </c>
      <c r="E1138" s="4">
        <v>16.73</v>
      </c>
      <c r="F1138" s="4">
        <v>30.77</v>
      </c>
      <c r="G1138" s="4">
        <v>16.73</v>
      </c>
      <c r="H1138" s="4">
        <v>30.77</v>
      </c>
    </row>
    <row r="1139" s="1" customFormat="1" ht="14" spans="1:8">
      <c r="A1139" s="2">
        <v>3378015</v>
      </c>
      <c r="B1139" s="2" t="s">
        <v>1810</v>
      </c>
      <c r="C1139" s="3" t="s">
        <v>472</v>
      </c>
      <c r="D1139" s="4">
        <v>134.92</v>
      </c>
      <c r="E1139" s="4">
        <v>12.1</v>
      </c>
      <c r="F1139" s="4">
        <v>1632.44</v>
      </c>
      <c r="G1139" s="4">
        <v>12.1</v>
      </c>
      <c r="H1139" s="4">
        <v>1632.44</v>
      </c>
    </row>
    <row r="1140" s="1" customFormat="1" ht="14" spans="1:8">
      <c r="A1140" s="2">
        <v>3378017</v>
      </c>
      <c r="B1140" s="2" t="s">
        <v>1811</v>
      </c>
      <c r="C1140" s="3" t="s">
        <v>824</v>
      </c>
      <c r="D1140" s="4">
        <v>36.36</v>
      </c>
      <c r="E1140" s="4">
        <v>12.81</v>
      </c>
      <c r="F1140" s="4">
        <v>465.75</v>
      </c>
      <c r="G1140" s="4">
        <v>12.81</v>
      </c>
      <c r="H1140" s="4">
        <v>465.75</v>
      </c>
    </row>
    <row r="1141" s="1" customFormat="1" ht="14" spans="1:8">
      <c r="A1141" s="2">
        <v>3378018</v>
      </c>
      <c r="B1141" s="2" t="s">
        <v>1812</v>
      </c>
      <c r="C1141" s="3" t="s">
        <v>824</v>
      </c>
      <c r="D1141" s="4">
        <v>136.35</v>
      </c>
      <c r="E1141" s="4">
        <v>24.91</v>
      </c>
      <c r="F1141" s="4">
        <v>3396.45</v>
      </c>
      <c r="G1141" s="4">
        <v>24.91</v>
      </c>
      <c r="H1141" s="4">
        <v>3396.45</v>
      </c>
    </row>
    <row r="1142" s="1" customFormat="1" ht="14" spans="1:8">
      <c r="A1142" s="2">
        <v>3378021</v>
      </c>
      <c r="B1142" s="2" t="s">
        <v>1813</v>
      </c>
      <c r="C1142" s="3" t="s">
        <v>876</v>
      </c>
      <c r="D1142" s="4">
        <v>36.36</v>
      </c>
      <c r="E1142" s="4">
        <v>24.74</v>
      </c>
      <c r="F1142" s="4">
        <v>899.55</v>
      </c>
      <c r="G1142" s="4">
        <v>24.74</v>
      </c>
      <c r="H1142" s="4">
        <v>899.55</v>
      </c>
    </row>
    <row r="1143" s="1" customFormat="1" ht="14" spans="1:8">
      <c r="A1143" s="2">
        <v>3378022</v>
      </c>
      <c r="B1143" s="2" t="s">
        <v>1814</v>
      </c>
      <c r="C1143" s="3" t="s">
        <v>876</v>
      </c>
      <c r="D1143" s="4">
        <v>136.35</v>
      </c>
      <c r="E1143" s="4">
        <v>38.94</v>
      </c>
      <c r="F1143" s="4">
        <v>5309.49</v>
      </c>
      <c r="G1143" s="4">
        <v>38.94</v>
      </c>
      <c r="H1143" s="4">
        <v>5309.49</v>
      </c>
    </row>
    <row r="1144" s="1" customFormat="1" ht="14" spans="1:8">
      <c r="A1144" s="2">
        <v>3378025</v>
      </c>
      <c r="B1144" s="2" t="s">
        <v>1815</v>
      </c>
      <c r="C1144" s="3" t="s">
        <v>824</v>
      </c>
      <c r="D1144" s="4">
        <v>76</v>
      </c>
      <c r="E1144" s="4">
        <v>3.84</v>
      </c>
      <c r="F1144" s="4">
        <v>291.84</v>
      </c>
      <c r="G1144" s="4">
        <v>3.84</v>
      </c>
      <c r="H1144" s="4">
        <v>291.84</v>
      </c>
    </row>
    <row r="1145" s="1" customFormat="1" ht="14" spans="1:8">
      <c r="A1145" s="2">
        <v>3378026</v>
      </c>
      <c r="B1145" s="2" t="s">
        <v>1816</v>
      </c>
      <c r="C1145" s="3" t="s">
        <v>824</v>
      </c>
      <c r="D1145" s="4">
        <v>128</v>
      </c>
      <c r="E1145" s="4">
        <v>5.55</v>
      </c>
      <c r="F1145" s="4">
        <v>710.4</v>
      </c>
      <c r="G1145" s="4">
        <v>5.55</v>
      </c>
      <c r="H1145" s="4">
        <v>710.4</v>
      </c>
    </row>
    <row r="1146" s="1" customFormat="1" ht="14" spans="1:8">
      <c r="A1146" s="2">
        <v>3378027</v>
      </c>
      <c r="B1146" s="2" t="s">
        <v>1817</v>
      </c>
      <c r="C1146" s="3" t="s">
        <v>824</v>
      </c>
      <c r="D1146" s="4">
        <v>480.73</v>
      </c>
      <c r="E1146" s="4">
        <v>37.01</v>
      </c>
      <c r="F1146" s="4">
        <v>17791.82</v>
      </c>
      <c r="G1146" s="4">
        <v>37.01</v>
      </c>
      <c r="H1146" s="4">
        <v>17791.82</v>
      </c>
    </row>
    <row r="1147" s="1" customFormat="1" ht="14" spans="1:8">
      <c r="A1147" s="2">
        <v>3378028</v>
      </c>
      <c r="B1147" s="2" t="s">
        <v>1818</v>
      </c>
      <c r="C1147" s="3" t="s">
        <v>824</v>
      </c>
      <c r="D1147" s="4">
        <v>2665.51</v>
      </c>
      <c r="E1147" s="4">
        <v>32.03</v>
      </c>
      <c r="F1147" s="4">
        <v>85376.25</v>
      </c>
      <c r="G1147" s="4">
        <v>32.03</v>
      </c>
      <c r="H1147" s="4">
        <v>85376.25</v>
      </c>
    </row>
    <row r="1148" s="1" customFormat="1" ht="14" spans="1:8">
      <c r="A1148" s="2">
        <v>3378029</v>
      </c>
      <c r="B1148" s="2" t="s">
        <v>1819</v>
      </c>
      <c r="C1148" s="3" t="s">
        <v>472</v>
      </c>
      <c r="D1148" s="4">
        <v>1343.73</v>
      </c>
      <c r="E1148" s="4">
        <v>31.31</v>
      </c>
      <c r="F1148" s="4">
        <v>42072.24</v>
      </c>
      <c r="G1148" s="4">
        <v>31.31</v>
      </c>
      <c r="H1148" s="4">
        <v>42072.24</v>
      </c>
    </row>
    <row r="1149" s="1" customFormat="1" ht="14" spans="1:8">
      <c r="A1149" s="2">
        <v>3378032</v>
      </c>
      <c r="B1149" s="2" t="s">
        <v>1820</v>
      </c>
      <c r="C1149" s="3" t="s">
        <v>824</v>
      </c>
      <c r="D1149" s="4">
        <v>4</v>
      </c>
      <c r="E1149" s="4">
        <v>188.64</v>
      </c>
      <c r="F1149" s="4">
        <v>754.56</v>
      </c>
      <c r="G1149" s="4">
        <v>188.64</v>
      </c>
      <c r="H1149" s="4">
        <v>754.56</v>
      </c>
    </row>
    <row r="1150" s="1" customFormat="1" ht="14" spans="1:8">
      <c r="A1150" s="2">
        <v>3378041</v>
      </c>
      <c r="B1150" s="2" t="s">
        <v>1821</v>
      </c>
      <c r="C1150" s="3" t="s">
        <v>472</v>
      </c>
      <c r="D1150" s="4">
        <v>247.66</v>
      </c>
      <c r="E1150" s="4">
        <v>5.57</v>
      </c>
      <c r="F1150" s="4">
        <v>1379.44</v>
      </c>
      <c r="G1150" s="4">
        <v>5.57</v>
      </c>
      <c r="H1150" s="4">
        <v>1379.44</v>
      </c>
    </row>
    <row r="1151" s="1" customFormat="1" ht="14" spans="1:8">
      <c r="A1151" s="2">
        <v>3378042</v>
      </c>
      <c r="B1151" s="2" t="s">
        <v>1822</v>
      </c>
      <c r="C1151" s="3" t="s">
        <v>52</v>
      </c>
      <c r="D1151" s="4">
        <v>66432.51</v>
      </c>
      <c r="E1151" s="4">
        <v>18.86</v>
      </c>
      <c r="F1151" s="4">
        <v>1252917.02</v>
      </c>
      <c r="G1151" s="4">
        <v>18.86</v>
      </c>
      <c r="H1151" s="4">
        <v>1252917.02</v>
      </c>
    </row>
    <row r="1152" s="1" customFormat="1" ht="14" spans="1:8">
      <c r="A1152" s="2">
        <v>3378044</v>
      </c>
      <c r="B1152" s="2" t="s">
        <v>1823</v>
      </c>
      <c r="C1152" s="3" t="s">
        <v>472</v>
      </c>
      <c r="D1152" s="4">
        <v>14532.05</v>
      </c>
      <c r="E1152" s="4">
        <v>10.72</v>
      </c>
      <c r="F1152" s="4">
        <v>155783.55</v>
      </c>
      <c r="G1152" s="4">
        <v>10.72</v>
      </c>
      <c r="H1152" s="4">
        <v>155783.55</v>
      </c>
    </row>
    <row r="1153" s="1" customFormat="1" ht="14" spans="1:8">
      <c r="A1153" s="2">
        <v>3378102</v>
      </c>
      <c r="B1153" s="2" t="s">
        <v>1824</v>
      </c>
      <c r="C1153" s="3" t="s">
        <v>45</v>
      </c>
      <c r="D1153" s="4">
        <v>4.12</v>
      </c>
      <c r="E1153" s="4">
        <v>3523.11</v>
      </c>
      <c r="F1153" s="4">
        <v>14515.21</v>
      </c>
      <c r="G1153" s="4">
        <v>3523.11</v>
      </c>
      <c r="H1153" s="4">
        <v>14515.21</v>
      </c>
    </row>
    <row r="1154" s="1" customFormat="1" ht="14" spans="1:8">
      <c r="A1154" s="2">
        <v>3380010</v>
      </c>
      <c r="B1154" s="2" t="s">
        <v>1825</v>
      </c>
      <c r="C1154" s="3" t="s">
        <v>45</v>
      </c>
      <c r="D1154" s="4">
        <v>731.84</v>
      </c>
      <c r="E1154" s="4">
        <v>385.86</v>
      </c>
      <c r="F1154" s="4">
        <v>282387.79</v>
      </c>
      <c r="G1154" s="4">
        <v>385.86</v>
      </c>
      <c r="H1154" s="4">
        <v>282387.79</v>
      </c>
    </row>
    <row r="1155" s="1" customFormat="1" ht="14" spans="1:8">
      <c r="A1155" s="2">
        <v>3380011</v>
      </c>
      <c r="B1155" s="2" t="s">
        <v>1826</v>
      </c>
      <c r="C1155" s="3" t="s">
        <v>45</v>
      </c>
      <c r="D1155" s="4">
        <v>298.6</v>
      </c>
      <c r="E1155" s="4">
        <v>385.86</v>
      </c>
      <c r="F1155" s="4">
        <v>115218.56</v>
      </c>
      <c r="G1155" s="4">
        <v>385.86</v>
      </c>
      <c r="H1155" s="4">
        <v>115218.56</v>
      </c>
    </row>
    <row r="1156" s="1" customFormat="1" ht="14" spans="1:8">
      <c r="A1156" s="2">
        <v>3380013</v>
      </c>
      <c r="B1156" s="2" t="s">
        <v>1827</v>
      </c>
      <c r="C1156" s="3" t="s">
        <v>45</v>
      </c>
      <c r="D1156" s="4">
        <v>5.59</v>
      </c>
      <c r="E1156" s="4">
        <v>687.1</v>
      </c>
      <c r="F1156" s="4">
        <v>3825.83</v>
      </c>
      <c r="G1156" s="4">
        <v>687.1</v>
      </c>
      <c r="H1156" s="4">
        <v>3825.83</v>
      </c>
    </row>
    <row r="1157" s="1" customFormat="1" ht="14" spans="1:8">
      <c r="A1157" s="2">
        <v>3380019</v>
      </c>
      <c r="B1157" s="2" t="s">
        <v>1828</v>
      </c>
      <c r="C1157" s="3" t="s">
        <v>52</v>
      </c>
      <c r="D1157" s="4">
        <v>1593.83</v>
      </c>
      <c r="E1157" s="4">
        <v>18.61</v>
      </c>
      <c r="F1157" s="4">
        <v>29661.19</v>
      </c>
      <c r="G1157" s="4">
        <v>18.61</v>
      </c>
      <c r="H1157" s="4">
        <v>29661.19</v>
      </c>
    </row>
    <row r="1158" s="1" customFormat="1" ht="14" spans="1:8">
      <c r="A1158" s="2">
        <v>3380020</v>
      </c>
      <c r="B1158" s="2" t="s">
        <v>1829</v>
      </c>
      <c r="C1158" s="3" t="s">
        <v>45</v>
      </c>
      <c r="D1158" s="4">
        <v>116.9</v>
      </c>
      <c r="E1158" s="4">
        <v>290.21</v>
      </c>
      <c r="F1158" s="4">
        <v>33928.46</v>
      </c>
      <c r="G1158" s="4">
        <v>290.21</v>
      </c>
      <c r="H1158" s="4">
        <v>33928.46</v>
      </c>
    </row>
    <row r="1159" s="1" customFormat="1" ht="14" spans="1:8">
      <c r="A1159" s="2">
        <v>3380021</v>
      </c>
      <c r="B1159" s="2" t="s">
        <v>1830</v>
      </c>
      <c r="C1159" s="3" t="s">
        <v>45</v>
      </c>
      <c r="D1159" s="4">
        <v>5412.8</v>
      </c>
      <c r="E1159" s="4">
        <v>255.04</v>
      </c>
      <c r="F1159" s="4">
        <v>1380485.41</v>
      </c>
      <c r="G1159" s="4">
        <v>255.04</v>
      </c>
      <c r="H1159" s="4">
        <v>1380485.41</v>
      </c>
    </row>
    <row r="1160" s="1" customFormat="1" ht="14" spans="1:8">
      <c r="A1160" s="2">
        <v>3380024</v>
      </c>
      <c r="B1160" s="2" t="s">
        <v>1831</v>
      </c>
      <c r="C1160" s="3" t="s">
        <v>45</v>
      </c>
      <c r="D1160" s="4">
        <v>405.36</v>
      </c>
      <c r="E1160" s="4">
        <v>514.47</v>
      </c>
      <c r="F1160" s="4">
        <v>208539.9</v>
      </c>
      <c r="G1160" s="4">
        <v>514.47</v>
      </c>
      <c r="H1160" s="4">
        <v>208539.9</v>
      </c>
    </row>
    <row r="1161" s="1" customFormat="1" ht="14" spans="1:8">
      <c r="A1161" s="2">
        <v>3380153</v>
      </c>
      <c r="B1161" s="2" t="s">
        <v>1832</v>
      </c>
      <c r="C1161" s="3" t="s">
        <v>472</v>
      </c>
      <c r="D1161" s="4">
        <v>8514.04</v>
      </c>
      <c r="E1161" s="4">
        <v>0.73</v>
      </c>
      <c r="F1161" s="4">
        <v>6215.21</v>
      </c>
      <c r="G1161" s="4">
        <v>0.73</v>
      </c>
      <c r="H1161" s="4">
        <v>6215.21</v>
      </c>
    </row>
    <row r="1162" s="1" customFormat="1" ht="14" spans="1:8">
      <c r="A1162" s="2">
        <v>3390144</v>
      </c>
      <c r="B1162" s="2" t="s">
        <v>1833</v>
      </c>
      <c r="C1162" s="3" t="s">
        <v>472</v>
      </c>
      <c r="D1162" s="4">
        <v>28416.19</v>
      </c>
      <c r="E1162" s="4">
        <v>0.33</v>
      </c>
      <c r="F1162" s="4">
        <v>9377.36</v>
      </c>
      <c r="G1162" s="4">
        <v>0.33</v>
      </c>
      <c r="H1162" s="4">
        <v>9377.36</v>
      </c>
    </row>
    <row r="1163" s="1" customFormat="1" ht="14" spans="1:8">
      <c r="A1163" s="2">
        <v>3390155</v>
      </c>
      <c r="B1163" s="2" t="s">
        <v>1834</v>
      </c>
      <c r="C1163" s="3" t="s">
        <v>704</v>
      </c>
      <c r="D1163" s="4">
        <v>952.82</v>
      </c>
      <c r="E1163" s="4">
        <v>0.96</v>
      </c>
      <c r="F1163" s="4">
        <v>914.71</v>
      </c>
      <c r="G1163" s="4">
        <v>0.96</v>
      </c>
      <c r="H1163" s="4">
        <v>914.71</v>
      </c>
    </row>
    <row r="1164" s="1" customFormat="1" ht="14" spans="1:8">
      <c r="A1164" s="2">
        <v>3391011</v>
      </c>
      <c r="B1164" s="2" t="s">
        <v>1835</v>
      </c>
      <c r="C1164" s="3" t="s">
        <v>52</v>
      </c>
      <c r="D1164" s="4">
        <v>106.33</v>
      </c>
      <c r="E1164" s="4">
        <v>6.2</v>
      </c>
      <c r="F1164" s="4">
        <v>659.22</v>
      </c>
      <c r="G1164" s="4">
        <v>6.2</v>
      </c>
      <c r="H1164" s="4">
        <v>659.22</v>
      </c>
    </row>
    <row r="1165" s="1" customFormat="1" ht="14" spans="1:8">
      <c r="A1165" s="2">
        <v>3391013</v>
      </c>
      <c r="B1165" s="2" t="s">
        <v>1836</v>
      </c>
      <c r="C1165" s="3" t="s">
        <v>679</v>
      </c>
      <c r="D1165" s="4">
        <v>5322.41</v>
      </c>
      <c r="E1165" s="4">
        <v>9.55</v>
      </c>
      <c r="F1165" s="4">
        <v>50829.04</v>
      </c>
      <c r="G1165" s="4">
        <v>9.55</v>
      </c>
      <c r="H1165" s="4">
        <v>50829.04</v>
      </c>
    </row>
    <row r="1166" s="1" customFormat="1" ht="14" spans="1:8">
      <c r="A1166" s="2">
        <v>3391018</v>
      </c>
      <c r="B1166" s="2" t="s">
        <v>1837</v>
      </c>
      <c r="C1166" s="3" t="s">
        <v>472</v>
      </c>
      <c r="D1166" s="4">
        <v>165.72</v>
      </c>
      <c r="E1166" s="4">
        <v>6.59</v>
      </c>
      <c r="F1166" s="4">
        <v>1092.08</v>
      </c>
      <c r="G1166" s="4">
        <v>6.59</v>
      </c>
      <c r="H1166" s="4">
        <v>1092.08</v>
      </c>
    </row>
    <row r="1167" s="1" customFormat="1" ht="14" spans="1:8">
      <c r="A1167" s="2">
        <v>3391020</v>
      </c>
      <c r="B1167" s="2" t="s">
        <v>1838</v>
      </c>
      <c r="C1167" s="3" t="s">
        <v>52</v>
      </c>
      <c r="D1167" s="4">
        <v>20102.28</v>
      </c>
      <c r="E1167" s="4">
        <v>27.31</v>
      </c>
      <c r="F1167" s="4">
        <v>548992.98</v>
      </c>
      <c r="G1167" s="4">
        <v>27.31</v>
      </c>
      <c r="H1167" s="4">
        <v>548992.98</v>
      </c>
    </row>
    <row r="1168" s="1" customFormat="1" ht="14" spans="1:8">
      <c r="A1168" s="2">
        <v>3391024</v>
      </c>
      <c r="B1168" s="2" t="s">
        <v>1839</v>
      </c>
      <c r="C1168" s="3" t="s">
        <v>52</v>
      </c>
      <c r="D1168" s="4">
        <v>5775.92</v>
      </c>
      <c r="E1168" s="4">
        <v>11.02</v>
      </c>
      <c r="F1168" s="4">
        <v>63650.64</v>
      </c>
      <c r="G1168" s="4">
        <v>11.02</v>
      </c>
      <c r="H1168" s="4">
        <v>63650.64</v>
      </c>
    </row>
    <row r="1169" s="1" customFormat="1" ht="14" spans="1:8">
      <c r="A1169" s="2">
        <v>3391025</v>
      </c>
      <c r="B1169" s="2" t="s">
        <v>1840</v>
      </c>
      <c r="C1169" s="3" t="s">
        <v>52</v>
      </c>
      <c r="D1169" s="4">
        <v>4319.92</v>
      </c>
      <c r="E1169" s="4">
        <v>25.66</v>
      </c>
      <c r="F1169" s="4">
        <v>110848.95</v>
      </c>
      <c r="G1169" s="4">
        <v>25.66</v>
      </c>
      <c r="H1169" s="4">
        <v>110848.95</v>
      </c>
    </row>
    <row r="1170" s="1" customFormat="1" ht="14" spans="1:8">
      <c r="A1170" s="2">
        <v>3391029</v>
      </c>
      <c r="B1170" s="2" t="s">
        <v>1841</v>
      </c>
      <c r="C1170" s="3" t="s">
        <v>472</v>
      </c>
      <c r="D1170" s="4">
        <v>126.1</v>
      </c>
      <c r="E1170" s="4">
        <v>27.44</v>
      </c>
      <c r="F1170" s="4">
        <v>3460.19</v>
      </c>
      <c r="G1170" s="4">
        <v>32.9</v>
      </c>
      <c r="H1170" s="4">
        <v>4148.69</v>
      </c>
    </row>
    <row r="1171" s="1" customFormat="1" ht="14" spans="1:8">
      <c r="A1171" s="2">
        <v>3391030</v>
      </c>
      <c r="B1171" s="2" t="s">
        <v>1842</v>
      </c>
      <c r="C1171" s="3" t="s">
        <v>472</v>
      </c>
      <c r="D1171" s="4">
        <v>896.7</v>
      </c>
      <c r="E1171" s="4">
        <v>30.25</v>
      </c>
      <c r="F1171" s="4">
        <v>27125.2</v>
      </c>
      <c r="G1171" s="4">
        <v>30.25</v>
      </c>
      <c r="H1171" s="4">
        <v>27125.2</v>
      </c>
    </row>
    <row r="1172" s="1" customFormat="1" ht="14" spans="1:8">
      <c r="A1172" s="2">
        <v>3391032</v>
      </c>
      <c r="B1172" s="2" t="s">
        <v>1843</v>
      </c>
      <c r="C1172" s="3" t="s">
        <v>472</v>
      </c>
      <c r="D1172" s="4">
        <v>72274.49</v>
      </c>
      <c r="E1172" s="4">
        <v>6.32</v>
      </c>
      <c r="F1172" s="4">
        <v>456774.93</v>
      </c>
      <c r="G1172" s="4">
        <v>6.32</v>
      </c>
      <c r="H1172" s="4">
        <v>456774.93</v>
      </c>
    </row>
    <row r="1173" s="1" customFormat="1" ht="14" spans="1:8">
      <c r="A1173" s="2">
        <v>3391035</v>
      </c>
      <c r="B1173" s="2" t="s">
        <v>1844</v>
      </c>
      <c r="C1173" s="3" t="s">
        <v>472</v>
      </c>
      <c r="D1173" s="4">
        <v>230.2</v>
      </c>
      <c r="E1173" s="4">
        <v>5.48</v>
      </c>
      <c r="F1173" s="4">
        <v>1261.5</v>
      </c>
      <c r="G1173" s="4">
        <v>5.48</v>
      </c>
      <c r="H1173" s="4">
        <v>1261.5</v>
      </c>
    </row>
    <row r="1174" s="1" customFormat="1" ht="14" spans="1:8">
      <c r="A1174" s="2">
        <v>3391037</v>
      </c>
      <c r="B1174" s="2" t="s">
        <v>1845</v>
      </c>
      <c r="C1174" s="3" t="s">
        <v>52</v>
      </c>
      <c r="D1174" s="4">
        <v>9.4</v>
      </c>
      <c r="E1174" s="4">
        <v>14.83</v>
      </c>
      <c r="F1174" s="4">
        <v>139.39</v>
      </c>
      <c r="G1174" s="4">
        <v>14.83</v>
      </c>
      <c r="H1174" s="4">
        <v>139.39</v>
      </c>
    </row>
    <row r="1175" s="1" customFormat="1" ht="14" spans="1:8">
      <c r="A1175" s="2">
        <v>3392042</v>
      </c>
      <c r="B1175" s="2" t="s">
        <v>1846</v>
      </c>
      <c r="C1175" s="3" t="s">
        <v>472</v>
      </c>
      <c r="D1175" s="4">
        <v>9124.86</v>
      </c>
      <c r="E1175" s="4">
        <v>0.44</v>
      </c>
      <c r="F1175" s="4">
        <v>4014.96</v>
      </c>
      <c r="G1175" s="4">
        <v>0.44</v>
      </c>
      <c r="H1175" s="4">
        <v>4014.96</v>
      </c>
    </row>
    <row r="1176" s="1" customFormat="1" ht="14" spans="1:8">
      <c r="A1176" s="2">
        <v>3392043</v>
      </c>
      <c r="B1176" s="2" t="s">
        <v>1847</v>
      </c>
      <c r="C1176" s="3" t="s">
        <v>824</v>
      </c>
      <c r="D1176" s="4">
        <v>0.07</v>
      </c>
      <c r="E1176" s="4">
        <v>31.5</v>
      </c>
      <c r="F1176" s="4">
        <v>2.05</v>
      </c>
      <c r="G1176" s="4">
        <v>31.5</v>
      </c>
      <c r="H1176" s="4">
        <v>2.05</v>
      </c>
    </row>
    <row r="1177" s="1" customFormat="1" ht="14" spans="1:8">
      <c r="A1177" s="2">
        <v>3392044</v>
      </c>
      <c r="B1177" s="2" t="s">
        <v>1848</v>
      </c>
      <c r="C1177" s="3" t="s">
        <v>824</v>
      </c>
      <c r="D1177" s="4">
        <v>1065846.72</v>
      </c>
      <c r="E1177" s="4">
        <v>0.09</v>
      </c>
      <c r="F1177" s="4">
        <v>95926.23</v>
      </c>
      <c r="G1177" s="4">
        <v>0.09</v>
      </c>
      <c r="H1177" s="4">
        <v>95926.23</v>
      </c>
    </row>
    <row r="1178" s="1" customFormat="1" ht="14" spans="1:8">
      <c r="A1178" s="2">
        <v>3392054</v>
      </c>
      <c r="B1178" s="2" t="s">
        <v>1849</v>
      </c>
      <c r="C1178" s="3" t="s">
        <v>52</v>
      </c>
      <c r="D1178" s="4">
        <v>2149.42</v>
      </c>
      <c r="E1178" s="4">
        <v>11.15</v>
      </c>
      <c r="F1178" s="4">
        <v>23966.05</v>
      </c>
      <c r="G1178" s="4">
        <v>11.15</v>
      </c>
      <c r="H1178" s="4">
        <v>23966.05</v>
      </c>
    </row>
    <row r="1179" s="1" customFormat="1" ht="14" spans="1:8">
      <c r="A1179" s="2">
        <v>3392065</v>
      </c>
      <c r="B1179" s="2" t="s">
        <v>1850</v>
      </c>
      <c r="C1179" s="3" t="s">
        <v>52</v>
      </c>
      <c r="D1179" s="4">
        <v>19692.95</v>
      </c>
      <c r="E1179" s="4">
        <v>6.9</v>
      </c>
      <c r="F1179" s="4">
        <v>135881.32</v>
      </c>
      <c r="G1179" s="4">
        <v>6.9</v>
      </c>
      <c r="H1179" s="4">
        <v>135881.32</v>
      </c>
    </row>
    <row r="1180" s="1" customFormat="1" ht="14" spans="1:8">
      <c r="A1180" s="2">
        <v>3392068</v>
      </c>
      <c r="B1180" s="2" t="s">
        <v>1851</v>
      </c>
      <c r="C1180" s="3" t="s">
        <v>52</v>
      </c>
      <c r="D1180" s="4">
        <v>6316.88</v>
      </c>
      <c r="E1180" s="4">
        <v>4.52</v>
      </c>
      <c r="F1180" s="4">
        <v>28552.2</v>
      </c>
      <c r="G1180" s="4">
        <v>4.52</v>
      </c>
      <c r="H1180" s="4">
        <v>28552.2</v>
      </c>
    </row>
    <row r="1181" s="1" customFormat="1" ht="14" spans="1:8">
      <c r="A1181" s="2">
        <v>3392090</v>
      </c>
      <c r="B1181" s="2" t="s">
        <v>1852</v>
      </c>
      <c r="C1181" s="3" t="s">
        <v>472</v>
      </c>
      <c r="D1181" s="4">
        <v>5070.06</v>
      </c>
      <c r="E1181" s="4">
        <v>2.57</v>
      </c>
      <c r="F1181" s="4">
        <v>13030.05</v>
      </c>
      <c r="G1181" s="4">
        <v>2.57</v>
      </c>
      <c r="H1181" s="4">
        <v>13030.05</v>
      </c>
    </row>
    <row r="1182" s="1" customFormat="1" ht="14" spans="1:8">
      <c r="A1182" s="2">
        <v>3392091</v>
      </c>
      <c r="B1182" s="2" t="s">
        <v>1853</v>
      </c>
      <c r="C1182" s="3" t="s">
        <v>679</v>
      </c>
      <c r="D1182" s="4">
        <v>1600.21</v>
      </c>
      <c r="E1182" s="4">
        <v>15.86</v>
      </c>
      <c r="F1182" s="4">
        <v>25379.31</v>
      </c>
      <c r="G1182" s="4">
        <v>15.86</v>
      </c>
      <c r="H1182" s="4">
        <v>25379.31</v>
      </c>
    </row>
    <row r="1183" s="1" customFormat="1" ht="14" spans="1:8">
      <c r="A1183" s="2">
        <v>3392092</v>
      </c>
      <c r="B1183" s="2" t="s">
        <v>1854</v>
      </c>
      <c r="C1183" s="3" t="s">
        <v>679</v>
      </c>
      <c r="D1183" s="4">
        <v>1600.21</v>
      </c>
      <c r="E1183" s="4">
        <v>13.29</v>
      </c>
      <c r="F1183" s="4">
        <v>21266.78</v>
      </c>
      <c r="G1183" s="4">
        <v>13.29</v>
      </c>
      <c r="H1183" s="4">
        <v>21266.78</v>
      </c>
    </row>
    <row r="1184" s="1" customFormat="1" ht="14" spans="1:8">
      <c r="A1184" s="2">
        <v>3392093</v>
      </c>
      <c r="B1184" s="2" t="s">
        <v>1855</v>
      </c>
      <c r="C1184" s="3" t="s">
        <v>876</v>
      </c>
      <c r="D1184" s="4">
        <v>92573.87</v>
      </c>
      <c r="E1184" s="4">
        <v>0.33</v>
      </c>
      <c r="F1184" s="4">
        <v>30549.4</v>
      </c>
      <c r="G1184" s="4">
        <v>0.33</v>
      </c>
      <c r="H1184" s="4">
        <v>30549.4</v>
      </c>
    </row>
    <row r="1185" s="1" customFormat="1" ht="14" spans="1:8">
      <c r="A1185" s="2">
        <v>3393088</v>
      </c>
      <c r="B1185" s="2" t="s">
        <v>1856</v>
      </c>
      <c r="C1185" s="3" t="s">
        <v>472</v>
      </c>
      <c r="D1185" s="4">
        <v>317.6</v>
      </c>
      <c r="E1185" s="4">
        <v>3.56</v>
      </c>
      <c r="F1185" s="4">
        <v>1130.66</v>
      </c>
      <c r="G1185" s="4">
        <v>3.56</v>
      </c>
      <c r="H1185" s="4">
        <v>1130.66</v>
      </c>
    </row>
    <row r="1186" s="1" customFormat="1" ht="14" spans="1:8">
      <c r="A1186" s="2">
        <v>3393091</v>
      </c>
      <c r="B1186" s="2" t="s">
        <v>1857</v>
      </c>
      <c r="C1186" s="3" t="s">
        <v>824</v>
      </c>
      <c r="D1186" s="4">
        <v>0.26</v>
      </c>
      <c r="E1186" s="4">
        <v>31.31</v>
      </c>
      <c r="F1186" s="4">
        <v>8.14</v>
      </c>
      <c r="G1186" s="4">
        <v>31.31</v>
      </c>
      <c r="H1186" s="4">
        <v>8.14</v>
      </c>
    </row>
    <row r="1187" s="1" customFormat="1" ht="14" spans="1:8">
      <c r="A1187" s="2">
        <v>3394101</v>
      </c>
      <c r="B1187" s="2" t="s">
        <v>1858</v>
      </c>
      <c r="C1187" s="3" t="s">
        <v>824</v>
      </c>
      <c r="D1187" s="4">
        <v>124</v>
      </c>
      <c r="E1187" s="4">
        <v>48</v>
      </c>
      <c r="F1187" s="4">
        <v>5952</v>
      </c>
      <c r="G1187" s="4">
        <v>48</v>
      </c>
      <c r="H1187" s="4">
        <v>5952</v>
      </c>
    </row>
    <row r="1188" s="1" customFormat="1" ht="14" spans="1:8">
      <c r="A1188" s="2">
        <v>3394110</v>
      </c>
      <c r="B1188" s="2" t="s">
        <v>1859</v>
      </c>
      <c r="C1188" s="3" t="s">
        <v>679</v>
      </c>
      <c r="D1188" s="4">
        <v>69.09</v>
      </c>
      <c r="E1188" s="4">
        <v>469.03</v>
      </c>
      <c r="F1188" s="4">
        <v>32408.13</v>
      </c>
      <c r="G1188" s="4">
        <v>469.03</v>
      </c>
      <c r="H1188" s="4">
        <v>32408.13</v>
      </c>
    </row>
    <row r="1189" s="1" customFormat="1" ht="28" spans="1:8">
      <c r="A1189" s="2">
        <v>3394111</v>
      </c>
      <c r="B1189" s="2" t="s">
        <v>1860</v>
      </c>
      <c r="C1189" s="3" t="s">
        <v>679</v>
      </c>
      <c r="D1189" s="4">
        <v>1205.57</v>
      </c>
      <c r="E1189" s="4">
        <v>541.05</v>
      </c>
      <c r="F1189" s="4">
        <v>652274.74</v>
      </c>
      <c r="G1189" s="4">
        <v>541.05</v>
      </c>
      <c r="H1189" s="4">
        <v>652274.74</v>
      </c>
    </row>
    <row r="1190" s="1" customFormat="1" ht="14" spans="1:8">
      <c r="A1190" s="2">
        <v>3394112</v>
      </c>
      <c r="B1190" s="2" t="s">
        <v>1861</v>
      </c>
      <c r="C1190" s="3" t="s">
        <v>52</v>
      </c>
      <c r="D1190" s="4">
        <v>296.4</v>
      </c>
      <c r="E1190" s="4">
        <v>7.83</v>
      </c>
      <c r="F1190" s="4">
        <v>2320.82</v>
      </c>
      <c r="G1190" s="4">
        <v>7.83</v>
      </c>
      <c r="H1190" s="4">
        <v>2320.82</v>
      </c>
    </row>
    <row r="1191" s="1" customFormat="1" ht="14" spans="1:8">
      <c r="A1191" s="2">
        <v>3394114</v>
      </c>
      <c r="B1191" s="2" t="s">
        <v>1862</v>
      </c>
      <c r="C1191" s="3" t="s">
        <v>52</v>
      </c>
      <c r="D1191" s="4">
        <v>60</v>
      </c>
      <c r="E1191" s="4">
        <v>86.98</v>
      </c>
      <c r="F1191" s="4">
        <v>5218.8</v>
      </c>
      <c r="G1191" s="4">
        <v>86.98</v>
      </c>
      <c r="H1191" s="4">
        <v>5218.8</v>
      </c>
    </row>
    <row r="1192" s="1" customFormat="1" ht="14" spans="1:8">
      <c r="A1192" s="2">
        <v>3394115</v>
      </c>
      <c r="B1192" s="2" t="s">
        <v>1863</v>
      </c>
      <c r="C1192" s="3" t="s">
        <v>923</v>
      </c>
      <c r="D1192" s="4">
        <v>235.8</v>
      </c>
      <c r="E1192" s="4">
        <v>2.95</v>
      </c>
      <c r="F1192" s="4">
        <v>695.62</v>
      </c>
      <c r="G1192" s="4">
        <v>2.95</v>
      </c>
      <c r="H1192" s="4">
        <v>695.62</v>
      </c>
    </row>
    <row r="1193" s="1" customFormat="1" ht="14" spans="1:8">
      <c r="A1193" s="2">
        <v>3394116</v>
      </c>
      <c r="B1193" s="2" t="s">
        <v>1864</v>
      </c>
      <c r="C1193" s="3" t="s">
        <v>923</v>
      </c>
      <c r="D1193" s="4">
        <v>0.9</v>
      </c>
      <c r="E1193" s="4">
        <v>2.28</v>
      </c>
      <c r="F1193" s="4">
        <v>2.05</v>
      </c>
      <c r="G1193" s="4">
        <v>2.28</v>
      </c>
      <c r="H1193" s="4">
        <v>2.05</v>
      </c>
    </row>
    <row r="1194" s="1" customFormat="1" ht="14" spans="1:8">
      <c r="A1194" s="2">
        <v>3394117</v>
      </c>
      <c r="B1194" s="2" t="s">
        <v>1864</v>
      </c>
      <c r="C1194" s="3" t="s">
        <v>52</v>
      </c>
      <c r="D1194" s="4">
        <v>924.64</v>
      </c>
      <c r="E1194" s="4">
        <v>8.63</v>
      </c>
      <c r="F1194" s="4">
        <v>7979.67</v>
      </c>
      <c r="G1194" s="4">
        <v>8.63</v>
      </c>
      <c r="H1194" s="4">
        <v>7979.67</v>
      </c>
    </row>
    <row r="1195" s="1" customFormat="1" ht="14" spans="1:8">
      <c r="A1195" s="2">
        <v>3394119</v>
      </c>
      <c r="B1195" s="2" t="s">
        <v>1865</v>
      </c>
      <c r="C1195" s="3" t="s">
        <v>1866</v>
      </c>
      <c r="D1195" s="4">
        <v>362</v>
      </c>
      <c r="E1195" s="4">
        <v>3.15</v>
      </c>
      <c r="F1195" s="4">
        <v>1140.3</v>
      </c>
      <c r="G1195" s="4">
        <v>3.15</v>
      </c>
      <c r="H1195" s="4">
        <v>1140.3</v>
      </c>
    </row>
    <row r="1196" s="1" customFormat="1" ht="14" spans="1:8">
      <c r="A1196" s="2">
        <v>3394120</v>
      </c>
      <c r="B1196" s="2" t="s">
        <v>1867</v>
      </c>
      <c r="C1196" s="3" t="s">
        <v>923</v>
      </c>
      <c r="D1196" s="4">
        <v>3390.09</v>
      </c>
      <c r="E1196" s="4">
        <v>3.36</v>
      </c>
      <c r="F1196" s="4">
        <v>11390.72</v>
      </c>
      <c r="G1196" s="4">
        <v>3.36</v>
      </c>
      <c r="H1196" s="4">
        <v>11390.72</v>
      </c>
    </row>
    <row r="1197" s="1" customFormat="1" ht="14" spans="1:8">
      <c r="A1197" s="2">
        <v>3394122</v>
      </c>
      <c r="B1197" s="2" t="s">
        <v>1868</v>
      </c>
      <c r="C1197" s="3" t="s">
        <v>472</v>
      </c>
      <c r="D1197" s="4">
        <v>340.66</v>
      </c>
      <c r="E1197" s="4">
        <v>4.22</v>
      </c>
      <c r="F1197" s="4">
        <v>1437.57</v>
      </c>
      <c r="G1197" s="4">
        <v>4.22</v>
      </c>
      <c r="H1197" s="4">
        <v>1437.57</v>
      </c>
    </row>
    <row r="1198" s="1" customFormat="1" ht="14" spans="1:8">
      <c r="A1198" s="2">
        <v>3394123</v>
      </c>
      <c r="B1198" s="2" t="s">
        <v>1869</v>
      </c>
      <c r="C1198" s="3" t="s">
        <v>472</v>
      </c>
      <c r="D1198" s="4">
        <v>31456.46</v>
      </c>
      <c r="E1198" s="4">
        <v>7.23</v>
      </c>
      <c r="F1198" s="4">
        <v>227430.14</v>
      </c>
      <c r="G1198" s="4">
        <v>7.23</v>
      </c>
      <c r="H1198" s="4">
        <v>227430.14</v>
      </c>
    </row>
    <row r="1199" s="1" customFormat="1" ht="14" spans="1:8">
      <c r="A1199" s="2">
        <v>3394126</v>
      </c>
      <c r="B1199" s="2" t="s">
        <v>1870</v>
      </c>
      <c r="C1199" s="3" t="s">
        <v>1866</v>
      </c>
      <c r="D1199" s="4">
        <v>1739</v>
      </c>
      <c r="E1199" s="4">
        <v>4.66</v>
      </c>
      <c r="F1199" s="4">
        <v>8103.74</v>
      </c>
      <c r="G1199" s="4">
        <v>4.66</v>
      </c>
      <c r="H1199" s="4">
        <v>8103.74</v>
      </c>
    </row>
    <row r="1200" s="1" customFormat="1" ht="14" spans="1:8">
      <c r="A1200" s="2">
        <v>3394129</v>
      </c>
      <c r="B1200" s="2" t="s">
        <v>1871</v>
      </c>
      <c r="C1200" s="3" t="s">
        <v>472</v>
      </c>
      <c r="D1200" s="4">
        <v>8400.92</v>
      </c>
      <c r="E1200" s="4">
        <v>1.14</v>
      </c>
      <c r="F1200" s="4">
        <v>9577.02</v>
      </c>
      <c r="G1200" s="4">
        <v>1.14</v>
      </c>
      <c r="H1200" s="4">
        <v>9577.02</v>
      </c>
    </row>
    <row r="1201" s="1" customFormat="1" ht="14" spans="1:8">
      <c r="A1201" s="2">
        <v>3394133</v>
      </c>
      <c r="B1201" s="2" t="s">
        <v>1872</v>
      </c>
      <c r="C1201" s="3" t="s">
        <v>52</v>
      </c>
      <c r="D1201" s="4">
        <v>325.88</v>
      </c>
      <c r="E1201" s="4">
        <v>17.24</v>
      </c>
      <c r="F1201" s="4">
        <v>5618.17</v>
      </c>
      <c r="G1201" s="4">
        <v>17.24</v>
      </c>
      <c r="H1201" s="4">
        <v>5618.17</v>
      </c>
    </row>
    <row r="1202" s="1" customFormat="1" ht="14" spans="1:8">
      <c r="A1202" s="2">
        <v>3394134</v>
      </c>
      <c r="B1202" s="2" t="s">
        <v>1873</v>
      </c>
      <c r="C1202" s="3" t="s">
        <v>824</v>
      </c>
      <c r="D1202" s="4">
        <v>36978.4</v>
      </c>
      <c r="E1202" s="4">
        <v>0.36</v>
      </c>
      <c r="F1202" s="4">
        <v>13312.18</v>
      </c>
      <c r="G1202" s="4">
        <v>0.36</v>
      </c>
      <c r="H1202" s="4">
        <v>13312.18</v>
      </c>
    </row>
    <row r="1203" s="1" customFormat="1" ht="14" spans="1:8">
      <c r="A1203" s="2">
        <v>3394136</v>
      </c>
      <c r="B1203" s="2" t="s">
        <v>1874</v>
      </c>
      <c r="C1203" s="3" t="s">
        <v>923</v>
      </c>
      <c r="D1203" s="4">
        <v>27.09</v>
      </c>
      <c r="E1203" s="4">
        <v>9.61</v>
      </c>
      <c r="F1203" s="4">
        <v>260.32</v>
      </c>
      <c r="G1203" s="4">
        <v>9.61</v>
      </c>
      <c r="H1203" s="4">
        <v>260.32</v>
      </c>
    </row>
    <row r="1204" s="1" customFormat="1" ht="14" spans="1:8">
      <c r="A1204" s="2">
        <v>3410010</v>
      </c>
      <c r="B1204" s="2" t="s">
        <v>1875</v>
      </c>
      <c r="C1204" s="3" t="s">
        <v>679</v>
      </c>
      <c r="D1204" s="4">
        <v>370534.8</v>
      </c>
      <c r="E1204" s="4">
        <v>2.87</v>
      </c>
      <c r="F1204" s="4">
        <v>1063434.93</v>
      </c>
      <c r="G1204" s="4">
        <v>3.25</v>
      </c>
      <c r="H1204" s="4">
        <v>1204238.31</v>
      </c>
    </row>
    <row r="1205" s="1" customFormat="1" ht="14" spans="1:8">
      <c r="A1205" s="2">
        <v>3410012</v>
      </c>
      <c r="B1205" s="2" t="s">
        <v>1876</v>
      </c>
      <c r="C1205" s="3" t="s">
        <v>679</v>
      </c>
      <c r="D1205" s="4">
        <v>90524.78</v>
      </c>
      <c r="E1205" s="4">
        <v>4.32</v>
      </c>
      <c r="F1205" s="4">
        <v>391067.06</v>
      </c>
      <c r="G1205" s="4">
        <v>4.9</v>
      </c>
      <c r="H1205" s="4">
        <v>443571.44</v>
      </c>
    </row>
    <row r="1206" s="1" customFormat="1" ht="14" spans="1:8">
      <c r="A1206" s="2">
        <v>3410412</v>
      </c>
      <c r="B1206" s="2" t="s">
        <v>1877</v>
      </c>
      <c r="C1206" s="3" t="s">
        <v>29</v>
      </c>
      <c r="D1206" s="4">
        <v>607.04</v>
      </c>
      <c r="E1206" s="4">
        <v>7522.12</v>
      </c>
      <c r="F1206" s="4">
        <v>4566182.59</v>
      </c>
      <c r="G1206" s="4">
        <v>7522.12</v>
      </c>
      <c r="H1206" s="4">
        <v>4566182.59</v>
      </c>
    </row>
    <row r="1207" s="1" customFormat="1" ht="14" spans="1:8">
      <c r="A1207" s="2">
        <v>3411010</v>
      </c>
      <c r="B1207" s="2" t="s">
        <v>1878</v>
      </c>
      <c r="C1207" s="3" t="s">
        <v>679</v>
      </c>
      <c r="D1207" s="4">
        <v>2556.47</v>
      </c>
      <c r="E1207" s="4">
        <v>2.47</v>
      </c>
      <c r="F1207" s="4">
        <v>6314.49</v>
      </c>
      <c r="G1207" s="4">
        <v>2.87</v>
      </c>
      <c r="H1207" s="4">
        <v>7337.09</v>
      </c>
    </row>
    <row r="1208" s="1" customFormat="1" ht="14" spans="1:8">
      <c r="A1208" s="2">
        <v>3411012</v>
      </c>
      <c r="B1208" s="2" t="s">
        <v>1879</v>
      </c>
      <c r="C1208" s="3" t="s">
        <v>679</v>
      </c>
      <c r="D1208" s="4">
        <v>41260.28</v>
      </c>
      <c r="E1208" s="4">
        <v>3.26</v>
      </c>
      <c r="F1208" s="4">
        <v>134508.5</v>
      </c>
      <c r="G1208" s="4">
        <v>3.79</v>
      </c>
      <c r="H1208" s="4">
        <v>156376.44</v>
      </c>
    </row>
    <row r="1209" s="1" customFormat="1" ht="14" spans="1:8">
      <c r="A1209" s="2">
        <v>3411017</v>
      </c>
      <c r="B1209" s="2" t="s">
        <v>1880</v>
      </c>
      <c r="C1209" s="3" t="s">
        <v>679</v>
      </c>
      <c r="D1209" s="4">
        <v>370967.64</v>
      </c>
      <c r="E1209" s="4">
        <v>4.49</v>
      </c>
      <c r="F1209" s="4">
        <v>1665644.69</v>
      </c>
      <c r="G1209" s="4">
        <v>5.06</v>
      </c>
      <c r="H1209" s="4">
        <v>1877096.22</v>
      </c>
    </row>
    <row r="1210" s="1" customFormat="1" ht="14" spans="1:8">
      <c r="A1210" s="2">
        <v>3411080</v>
      </c>
      <c r="B1210" s="2" t="s">
        <v>1881</v>
      </c>
      <c r="C1210" s="3" t="s">
        <v>679</v>
      </c>
      <c r="D1210" s="4">
        <v>8371.16</v>
      </c>
      <c r="E1210" s="4">
        <v>5.15</v>
      </c>
      <c r="F1210" s="4">
        <v>43111.42</v>
      </c>
      <c r="G1210" s="4">
        <v>6.36</v>
      </c>
      <c r="H1210" s="4">
        <v>53240.52</v>
      </c>
    </row>
    <row r="1211" s="1" customFormat="1" ht="14" spans="1:8">
      <c r="A1211" s="2">
        <v>3412012</v>
      </c>
      <c r="B1211" s="2" t="s">
        <v>1882</v>
      </c>
      <c r="C1211" s="3" t="s">
        <v>679</v>
      </c>
      <c r="D1211" s="4">
        <v>11191.96</v>
      </c>
      <c r="E1211" s="4">
        <v>3.86</v>
      </c>
      <c r="F1211" s="4">
        <v>43200.99</v>
      </c>
      <c r="G1211" s="4">
        <v>4.55</v>
      </c>
      <c r="H1211" s="4">
        <v>50923.44</v>
      </c>
    </row>
    <row r="1212" s="1" customFormat="1" ht="14" spans="1:8">
      <c r="A1212" s="2">
        <v>3413050</v>
      </c>
      <c r="B1212" s="2" t="s">
        <v>1883</v>
      </c>
      <c r="C1212" s="3" t="s">
        <v>472</v>
      </c>
      <c r="D1212" s="4">
        <v>8712.48</v>
      </c>
      <c r="E1212" s="4">
        <v>6.41</v>
      </c>
      <c r="F1212" s="4">
        <v>55846.97</v>
      </c>
      <c r="G1212" s="4">
        <v>6.41</v>
      </c>
      <c r="H1212" s="4">
        <v>55846.97</v>
      </c>
    </row>
    <row r="1213" s="1" customFormat="1" ht="14" spans="1:8">
      <c r="A1213" s="2">
        <v>3420010</v>
      </c>
      <c r="B1213" s="2" t="s">
        <v>1884</v>
      </c>
      <c r="C1213" s="3" t="s">
        <v>52</v>
      </c>
      <c r="D1213" s="4">
        <v>37.4</v>
      </c>
      <c r="E1213" s="4">
        <v>8.57</v>
      </c>
      <c r="F1213" s="4">
        <v>320.27</v>
      </c>
      <c r="G1213" s="4">
        <v>8.57</v>
      </c>
      <c r="H1213" s="4">
        <v>320.27</v>
      </c>
    </row>
    <row r="1214" s="1" customFormat="1" ht="14" spans="1:8">
      <c r="A1214" s="2">
        <v>3420011</v>
      </c>
      <c r="B1214" s="2" t="s">
        <v>1885</v>
      </c>
      <c r="C1214" s="3" t="s">
        <v>52</v>
      </c>
      <c r="D1214" s="4">
        <v>264464.92</v>
      </c>
      <c r="E1214" s="4">
        <v>10.29</v>
      </c>
      <c r="F1214" s="4">
        <v>2721343.94</v>
      </c>
      <c r="G1214" s="4">
        <v>10.29</v>
      </c>
      <c r="H1214" s="4">
        <v>2721343.94</v>
      </c>
    </row>
    <row r="1215" s="1" customFormat="1" ht="14" spans="1:8">
      <c r="A1215" s="2">
        <v>3420013</v>
      </c>
      <c r="B1215" s="2" t="s">
        <v>1886</v>
      </c>
      <c r="C1215" s="3" t="s">
        <v>52</v>
      </c>
      <c r="D1215" s="4">
        <v>4249.05</v>
      </c>
      <c r="E1215" s="4">
        <v>8.57</v>
      </c>
      <c r="F1215" s="4">
        <v>36414.54</v>
      </c>
      <c r="G1215" s="4">
        <v>8.57</v>
      </c>
      <c r="H1215" s="4">
        <v>36414.54</v>
      </c>
    </row>
    <row r="1216" s="1" customFormat="1" ht="14" spans="1:8">
      <c r="A1216" s="2">
        <v>3420016</v>
      </c>
      <c r="B1216" s="2" t="s">
        <v>1887</v>
      </c>
      <c r="C1216" s="3" t="s">
        <v>472</v>
      </c>
      <c r="D1216" s="4">
        <v>14.7</v>
      </c>
      <c r="E1216" s="4">
        <v>2.57</v>
      </c>
      <c r="F1216" s="4">
        <v>37.76</v>
      </c>
      <c r="G1216" s="4">
        <v>2.57</v>
      </c>
      <c r="H1216" s="4">
        <v>37.76</v>
      </c>
    </row>
    <row r="1217" s="1" customFormat="1" ht="14" spans="1:8">
      <c r="A1217" s="2">
        <v>3420019</v>
      </c>
      <c r="B1217" s="2" t="s">
        <v>1888</v>
      </c>
      <c r="C1217" s="3" t="s">
        <v>679</v>
      </c>
      <c r="D1217" s="4">
        <v>4965.39</v>
      </c>
      <c r="E1217" s="4">
        <v>17.15</v>
      </c>
      <c r="F1217" s="4">
        <v>85156.42</v>
      </c>
      <c r="G1217" s="4">
        <v>17.15</v>
      </c>
      <c r="H1217" s="4">
        <v>85156.42</v>
      </c>
    </row>
    <row r="1218" s="1" customFormat="1" ht="14" spans="1:8">
      <c r="A1218" s="2">
        <v>3420022</v>
      </c>
      <c r="B1218" s="2" t="s">
        <v>1889</v>
      </c>
      <c r="C1218" s="3" t="s">
        <v>679</v>
      </c>
      <c r="D1218" s="4">
        <v>815.62</v>
      </c>
      <c r="E1218" s="4">
        <v>12.86</v>
      </c>
      <c r="F1218" s="4">
        <v>10488.72</v>
      </c>
      <c r="G1218" s="4">
        <v>12.86</v>
      </c>
      <c r="H1218" s="4">
        <v>10488.72</v>
      </c>
    </row>
    <row r="1219" s="1" customFormat="1" ht="14" spans="1:8">
      <c r="A1219" s="2">
        <v>3420023</v>
      </c>
      <c r="B1219" s="2" t="s">
        <v>1890</v>
      </c>
      <c r="C1219" s="3" t="s">
        <v>679</v>
      </c>
      <c r="D1219" s="4">
        <v>289.64</v>
      </c>
      <c r="E1219" s="4">
        <v>3.43</v>
      </c>
      <c r="F1219" s="4">
        <v>993.46</v>
      </c>
      <c r="G1219" s="4">
        <v>3.43</v>
      </c>
      <c r="H1219" s="4">
        <v>993.46</v>
      </c>
    </row>
    <row r="1220" s="1" customFormat="1" ht="14" spans="1:8">
      <c r="A1220" s="2">
        <v>3420128</v>
      </c>
      <c r="B1220" s="2" t="s">
        <v>1891</v>
      </c>
      <c r="C1220" s="3" t="s">
        <v>679</v>
      </c>
      <c r="D1220" s="4">
        <v>2269.5</v>
      </c>
      <c r="E1220" s="4">
        <v>7.89</v>
      </c>
      <c r="F1220" s="4">
        <v>17906.31</v>
      </c>
      <c r="G1220" s="4">
        <v>7.89</v>
      </c>
      <c r="H1220" s="4">
        <v>17906.31</v>
      </c>
    </row>
    <row r="1221" s="1" customFormat="1" ht="14" spans="1:8">
      <c r="A1221" s="2">
        <v>3420132</v>
      </c>
      <c r="B1221" s="2" t="s">
        <v>1892</v>
      </c>
      <c r="C1221" s="3" t="s">
        <v>824</v>
      </c>
      <c r="D1221" s="4">
        <v>796701.79</v>
      </c>
      <c r="E1221" s="4">
        <v>1.07</v>
      </c>
      <c r="F1221" s="4">
        <v>852470.91</v>
      </c>
      <c r="G1221" s="4">
        <v>1.07</v>
      </c>
      <c r="H1221" s="4">
        <v>852470.91</v>
      </c>
    </row>
    <row r="1222" s="1" customFormat="1" ht="14" spans="1:8">
      <c r="A1222" s="2">
        <v>3420133</v>
      </c>
      <c r="B1222" s="2" t="s">
        <v>1893</v>
      </c>
      <c r="C1222" s="3" t="s">
        <v>824</v>
      </c>
      <c r="D1222" s="4">
        <v>77318.27</v>
      </c>
      <c r="E1222" s="4">
        <v>1.03</v>
      </c>
      <c r="F1222" s="4">
        <v>79637.81</v>
      </c>
      <c r="G1222" s="4">
        <v>1.03</v>
      </c>
      <c r="H1222" s="4">
        <v>79637.81</v>
      </c>
    </row>
    <row r="1223" s="1" customFormat="1" ht="14" spans="1:8">
      <c r="A1223" s="2">
        <v>3420136</v>
      </c>
      <c r="B1223" s="2" t="s">
        <v>1894</v>
      </c>
      <c r="C1223" s="3" t="s">
        <v>679</v>
      </c>
      <c r="D1223" s="4">
        <v>158047.58</v>
      </c>
      <c r="E1223" s="4">
        <v>1.14</v>
      </c>
      <c r="F1223" s="4">
        <v>180174.25</v>
      </c>
      <c r="G1223" s="4">
        <v>1.14</v>
      </c>
      <c r="H1223" s="4">
        <v>180174.25</v>
      </c>
    </row>
    <row r="1224" s="1" customFormat="1" ht="14" spans="1:8">
      <c r="A1224" s="2">
        <v>3420152</v>
      </c>
      <c r="B1224" s="2" t="s">
        <v>1895</v>
      </c>
      <c r="C1224" s="3" t="s">
        <v>472</v>
      </c>
      <c r="D1224" s="4">
        <v>5592.9</v>
      </c>
      <c r="E1224" s="4">
        <v>8.57</v>
      </c>
      <c r="F1224" s="4">
        <v>47931.16</v>
      </c>
      <c r="G1224" s="4">
        <v>8.57</v>
      </c>
      <c r="H1224" s="4">
        <v>47931.16</v>
      </c>
    </row>
    <row r="1225" s="1" customFormat="1" ht="14" spans="1:8">
      <c r="A1225" s="2">
        <v>3421010</v>
      </c>
      <c r="B1225" s="2" t="s">
        <v>1896</v>
      </c>
      <c r="C1225" s="3" t="s">
        <v>52</v>
      </c>
      <c r="D1225" s="4">
        <v>24685.84</v>
      </c>
      <c r="E1225" s="4">
        <v>19.72</v>
      </c>
      <c r="F1225" s="4">
        <v>486804.93</v>
      </c>
      <c r="G1225" s="4">
        <v>19.72</v>
      </c>
      <c r="H1225" s="4">
        <v>486804.93</v>
      </c>
    </row>
    <row r="1226" s="1" customFormat="1" ht="14" spans="1:8">
      <c r="A1226" s="2">
        <v>3421011</v>
      </c>
      <c r="B1226" s="2" t="s">
        <v>1897</v>
      </c>
      <c r="C1226" s="3" t="s">
        <v>52</v>
      </c>
      <c r="D1226" s="4">
        <v>1673.26</v>
      </c>
      <c r="E1226" s="4">
        <v>12.86</v>
      </c>
      <c r="F1226" s="4">
        <v>21518.15</v>
      </c>
      <c r="G1226" s="4">
        <v>12.86</v>
      </c>
      <c r="H1226" s="4">
        <v>21518.15</v>
      </c>
    </row>
    <row r="1227" s="1" customFormat="1" ht="14" spans="1:8">
      <c r="A1227" s="2">
        <v>3421013</v>
      </c>
      <c r="B1227" s="2" t="s">
        <v>1898</v>
      </c>
      <c r="C1227" s="3" t="s">
        <v>52</v>
      </c>
      <c r="D1227" s="4">
        <v>15.02</v>
      </c>
      <c r="E1227" s="4">
        <v>21.35</v>
      </c>
      <c r="F1227" s="4">
        <v>320.71</v>
      </c>
      <c r="G1227" s="4">
        <v>21.35</v>
      </c>
      <c r="H1227" s="4">
        <v>320.71</v>
      </c>
    </row>
    <row r="1228" s="1" customFormat="1" ht="14" spans="1:8">
      <c r="A1228" s="2">
        <v>3421023</v>
      </c>
      <c r="B1228" s="2" t="s">
        <v>1899</v>
      </c>
      <c r="C1228" s="3" t="s">
        <v>52</v>
      </c>
      <c r="D1228" s="4">
        <v>3576.62</v>
      </c>
      <c r="E1228" s="4">
        <v>32.03</v>
      </c>
      <c r="F1228" s="4">
        <v>114559.72</v>
      </c>
      <c r="G1228" s="4">
        <v>32.03</v>
      </c>
      <c r="H1228" s="4">
        <v>114559.72</v>
      </c>
    </row>
    <row r="1229" s="1" customFormat="1" ht="14" spans="1:8">
      <c r="A1229" s="2">
        <v>3430011</v>
      </c>
      <c r="B1229" s="2" t="s">
        <v>1900</v>
      </c>
      <c r="C1229" s="3" t="s">
        <v>52</v>
      </c>
      <c r="D1229" s="4">
        <v>1709.78</v>
      </c>
      <c r="E1229" s="4">
        <v>6.81</v>
      </c>
      <c r="F1229" s="4">
        <v>11643.61</v>
      </c>
      <c r="G1229" s="4">
        <v>6.81</v>
      </c>
      <c r="H1229" s="4">
        <v>11643.61</v>
      </c>
    </row>
    <row r="1230" s="1" customFormat="1" ht="14" spans="1:8">
      <c r="A1230" s="2">
        <v>3430015</v>
      </c>
      <c r="B1230" s="2" t="s">
        <v>1901</v>
      </c>
      <c r="C1230" s="3" t="s">
        <v>52</v>
      </c>
      <c r="D1230" s="4">
        <v>18</v>
      </c>
      <c r="E1230" s="4">
        <v>8.17</v>
      </c>
      <c r="F1230" s="4">
        <v>147.06</v>
      </c>
      <c r="G1230" s="4">
        <v>8.17</v>
      </c>
      <c r="H1230" s="4">
        <v>147.06</v>
      </c>
    </row>
    <row r="1231" s="1" customFormat="1" ht="14" spans="1:8">
      <c r="A1231" s="2">
        <v>3431012</v>
      </c>
      <c r="B1231" s="2" t="s">
        <v>1902</v>
      </c>
      <c r="C1231" s="3" t="s">
        <v>1903</v>
      </c>
      <c r="D1231" s="4">
        <v>10.5</v>
      </c>
      <c r="E1231" s="4">
        <v>108.92</v>
      </c>
      <c r="F1231" s="4">
        <v>1143.66</v>
      </c>
      <c r="G1231" s="4">
        <v>108.92</v>
      </c>
      <c r="H1231" s="4">
        <v>1143.66</v>
      </c>
    </row>
    <row r="1232" s="1" customFormat="1" ht="14" spans="1:8">
      <c r="A1232" s="2">
        <v>3440016</v>
      </c>
      <c r="B1232" s="2" t="s">
        <v>1904</v>
      </c>
      <c r="C1232" s="3" t="s">
        <v>679</v>
      </c>
      <c r="D1232" s="4">
        <v>28173.79</v>
      </c>
      <c r="E1232" s="4">
        <v>12.72</v>
      </c>
      <c r="F1232" s="4">
        <v>358370.4</v>
      </c>
      <c r="G1232" s="4">
        <v>12.72</v>
      </c>
      <c r="H1232" s="4">
        <v>358370.4</v>
      </c>
    </row>
    <row r="1233" s="1" customFormat="1" ht="14" spans="1:8">
      <c r="A1233" s="2">
        <v>3440500</v>
      </c>
      <c r="B1233" s="2" t="s">
        <v>1905</v>
      </c>
      <c r="C1233" s="3" t="s">
        <v>52</v>
      </c>
      <c r="D1233" s="4">
        <v>36.17</v>
      </c>
      <c r="E1233" s="4">
        <v>9.88</v>
      </c>
      <c r="F1233" s="4">
        <v>357.35</v>
      </c>
      <c r="G1233" s="4">
        <v>9.88</v>
      </c>
      <c r="H1233" s="4">
        <v>357.35</v>
      </c>
    </row>
    <row r="1234" s="1" customFormat="1" ht="28" spans="1:8">
      <c r="A1234" s="2">
        <v>3500010</v>
      </c>
      <c r="B1234" s="2" t="s">
        <v>1906</v>
      </c>
      <c r="C1234" s="3" t="s">
        <v>824</v>
      </c>
      <c r="D1234" s="4">
        <v>2.02</v>
      </c>
      <c r="E1234" s="4">
        <v>11.58</v>
      </c>
      <c r="F1234" s="4">
        <v>23.39</v>
      </c>
      <c r="G1234" s="4">
        <v>11.58</v>
      </c>
      <c r="H1234" s="4">
        <v>23.39</v>
      </c>
    </row>
    <row r="1235" s="1" customFormat="1" ht="28" spans="1:8">
      <c r="A1235" s="2">
        <v>3500012</v>
      </c>
      <c r="B1235" s="2" t="s">
        <v>1907</v>
      </c>
      <c r="C1235" s="3" t="s">
        <v>824</v>
      </c>
      <c r="D1235" s="4">
        <v>456.28</v>
      </c>
      <c r="E1235" s="4">
        <v>17.75</v>
      </c>
      <c r="F1235" s="4">
        <v>8099.04</v>
      </c>
      <c r="G1235" s="4">
        <v>17.75</v>
      </c>
      <c r="H1235" s="4">
        <v>8099.04</v>
      </c>
    </row>
    <row r="1236" s="1" customFormat="1" ht="28" spans="1:8">
      <c r="A1236" s="2">
        <v>3500014</v>
      </c>
      <c r="B1236" s="2" t="s">
        <v>1908</v>
      </c>
      <c r="C1236" s="3" t="s">
        <v>824</v>
      </c>
      <c r="D1236" s="4">
        <v>9.09</v>
      </c>
      <c r="E1236" s="4">
        <v>35.5</v>
      </c>
      <c r="F1236" s="4">
        <v>322.7</v>
      </c>
      <c r="G1236" s="4">
        <v>35.5</v>
      </c>
      <c r="H1236" s="4">
        <v>322.7</v>
      </c>
    </row>
    <row r="1237" s="1" customFormat="1" ht="28" spans="1:8">
      <c r="A1237" s="2">
        <v>3500015</v>
      </c>
      <c r="B1237" s="2" t="s">
        <v>1909</v>
      </c>
      <c r="C1237" s="3" t="s">
        <v>824</v>
      </c>
      <c r="D1237" s="4">
        <v>29.29</v>
      </c>
      <c r="E1237" s="4">
        <v>42.45</v>
      </c>
      <c r="F1237" s="4">
        <v>1243.36</v>
      </c>
      <c r="G1237" s="4">
        <v>42.45</v>
      </c>
      <c r="H1237" s="4">
        <v>1243.36</v>
      </c>
    </row>
    <row r="1238" s="1" customFormat="1" ht="14" spans="1:8">
      <c r="A1238" s="2">
        <v>3501010</v>
      </c>
      <c r="B1238" s="2" t="s">
        <v>1910</v>
      </c>
      <c r="C1238" s="3" t="s">
        <v>824</v>
      </c>
      <c r="D1238" s="4">
        <v>68</v>
      </c>
      <c r="E1238" s="4">
        <v>116.53</v>
      </c>
      <c r="F1238" s="4">
        <v>7924.04</v>
      </c>
      <c r="G1238" s="4">
        <v>116.53</v>
      </c>
      <c r="H1238" s="4">
        <v>7924.04</v>
      </c>
    </row>
    <row r="1239" s="1" customFormat="1" ht="14" spans="1:8">
      <c r="A1239" s="2">
        <v>3501011</v>
      </c>
      <c r="B1239" s="2" t="s">
        <v>1911</v>
      </c>
      <c r="C1239" s="3" t="s">
        <v>824</v>
      </c>
      <c r="D1239" s="4">
        <v>9</v>
      </c>
      <c r="E1239" s="4">
        <v>138.14</v>
      </c>
      <c r="F1239" s="4">
        <v>1243.26</v>
      </c>
      <c r="G1239" s="4">
        <v>138.14</v>
      </c>
      <c r="H1239" s="4">
        <v>1243.26</v>
      </c>
    </row>
    <row r="1240" s="1" customFormat="1" ht="14" spans="1:8">
      <c r="A1240" s="2">
        <v>3501014</v>
      </c>
      <c r="B1240" s="2" t="s">
        <v>1912</v>
      </c>
      <c r="C1240" s="3" t="s">
        <v>824</v>
      </c>
      <c r="D1240" s="4">
        <v>405</v>
      </c>
      <c r="E1240" s="4">
        <v>204.51</v>
      </c>
      <c r="F1240" s="4">
        <v>82826.55</v>
      </c>
      <c r="G1240" s="4">
        <v>204.51</v>
      </c>
      <c r="H1240" s="4">
        <v>82826.55</v>
      </c>
    </row>
    <row r="1241" s="1" customFormat="1" ht="14" spans="1:8">
      <c r="A1241" s="2">
        <v>3501015</v>
      </c>
      <c r="B1241" s="2" t="s">
        <v>1913</v>
      </c>
      <c r="C1241" s="3" t="s">
        <v>824</v>
      </c>
      <c r="D1241" s="4">
        <v>48</v>
      </c>
      <c r="E1241" s="4">
        <v>413.66</v>
      </c>
      <c r="F1241" s="4">
        <v>19855.68</v>
      </c>
      <c r="G1241" s="4">
        <v>413.66</v>
      </c>
      <c r="H1241" s="4">
        <v>19855.68</v>
      </c>
    </row>
    <row r="1242" s="1" customFormat="1" ht="14" spans="1:8">
      <c r="A1242" s="2">
        <v>3501016</v>
      </c>
      <c r="B1242" s="2" t="s">
        <v>1914</v>
      </c>
      <c r="C1242" s="3" t="s">
        <v>824</v>
      </c>
      <c r="D1242" s="4">
        <v>20</v>
      </c>
      <c r="E1242" s="4">
        <v>696.89</v>
      </c>
      <c r="F1242" s="4">
        <v>13937.8</v>
      </c>
      <c r="G1242" s="4">
        <v>696.89</v>
      </c>
      <c r="H1242" s="4">
        <v>13937.8</v>
      </c>
    </row>
    <row r="1243" s="1" customFormat="1" ht="14" spans="1:8">
      <c r="A1243" s="2">
        <v>3504010</v>
      </c>
      <c r="B1243" s="2" t="s">
        <v>1915</v>
      </c>
      <c r="C1243" s="3" t="s">
        <v>824</v>
      </c>
      <c r="D1243" s="4">
        <v>202</v>
      </c>
      <c r="E1243" s="4">
        <v>5.32</v>
      </c>
      <c r="F1243" s="4">
        <v>1074.64</v>
      </c>
      <c r="G1243" s="4">
        <v>5.32</v>
      </c>
      <c r="H1243" s="4">
        <v>1074.64</v>
      </c>
    </row>
    <row r="1244" s="1" customFormat="1" ht="14" spans="1:8">
      <c r="A1244" s="2">
        <v>3504011</v>
      </c>
      <c r="B1244" s="2" t="s">
        <v>1916</v>
      </c>
      <c r="C1244" s="3" t="s">
        <v>824</v>
      </c>
      <c r="D1244" s="4">
        <v>32</v>
      </c>
      <c r="E1244" s="4">
        <v>7.16</v>
      </c>
      <c r="F1244" s="4">
        <v>229.12</v>
      </c>
      <c r="G1244" s="4">
        <v>7.16</v>
      </c>
      <c r="H1244" s="4">
        <v>229.12</v>
      </c>
    </row>
    <row r="1245" s="1" customFormat="1" ht="14" spans="1:8">
      <c r="A1245" s="2">
        <v>3504012</v>
      </c>
      <c r="B1245" s="2" t="s">
        <v>1917</v>
      </c>
      <c r="C1245" s="3" t="s">
        <v>824</v>
      </c>
      <c r="D1245" s="4">
        <v>1079.27</v>
      </c>
      <c r="E1245" s="4">
        <v>9.41</v>
      </c>
      <c r="F1245" s="4">
        <v>10155.92</v>
      </c>
      <c r="G1245" s="4">
        <v>9.41</v>
      </c>
      <c r="H1245" s="4">
        <v>10155.92</v>
      </c>
    </row>
    <row r="1246" s="1" customFormat="1" ht="14" spans="1:8">
      <c r="A1246" s="2">
        <v>3504013</v>
      </c>
      <c r="B1246" s="2" t="s">
        <v>1918</v>
      </c>
      <c r="C1246" s="3" t="s">
        <v>824</v>
      </c>
      <c r="D1246" s="4">
        <v>214.54</v>
      </c>
      <c r="E1246" s="4">
        <v>12.78</v>
      </c>
      <c r="F1246" s="4">
        <v>2741.87</v>
      </c>
      <c r="G1246" s="4">
        <v>12.78</v>
      </c>
      <c r="H1246" s="4">
        <v>2741.87</v>
      </c>
    </row>
    <row r="1247" s="1" customFormat="1" ht="14" spans="1:8">
      <c r="A1247" s="2">
        <v>3504014</v>
      </c>
      <c r="B1247" s="2" t="s">
        <v>1919</v>
      </c>
      <c r="C1247" s="3" t="s">
        <v>824</v>
      </c>
      <c r="D1247" s="4">
        <v>76</v>
      </c>
      <c r="E1247" s="4">
        <v>21.37</v>
      </c>
      <c r="F1247" s="4">
        <v>1624.12</v>
      </c>
      <c r="G1247" s="4">
        <v>21.37</v>
      </c>
      <c r="H1247" s="4">
        <v>1624.12</v>
      </c>
    </row>
    <row r="1248" s="1" customFormat="1" ht="14" spans="1:8">
      <c r="A1248" s="2">
        <v>3504015</v>
      </c>
      <c r="B1248" s="2" t="s">
        <v>1920</v>
      </c>
      <c r="C1248" s="3" t="s">
        <v>824</v>
      </c>
      <c r="D1248" s="4">
        <v>107</v>
      </c>
      <c r="E1248" s="4">
        <v>29.46</v>
      </c>
      <c r="F1248" s="4">
        <v>3152.22</v>
      </c>
      <c r="G1248" s="4">
        <v>29.46</v>
      </c>
      <c r="H1248" s="4">
        <v>3152.22</v>
      </c>
    </row>
    <row r="1249" s="1" customFormat="1" ht="14" spans="1:8">
      <c r="A1249" s="2">
        <v>3504016</v>
      </c>
      <c r="B1249" s="2" t="s">
        <v>1921</v>
      </c>
      <c r="C1249" s="3" t="s">
        <v>824</v>
      </c>
      <c r="D1249" s="4">
        <v>56</v>
      </c>
      <c r="E1249" s="4">
        <v>45.8</v>
      </c>
      <c r="F1249" s="4">
        <v>2564.8</v>
      </c>
      <c r="G1249" s="4">
        <v>45.8</v>
      </c>
      <c r="H1249" s="4">
        <v>2564.8</v>
      </c>
    </row>
    <row r="1250" s="1" customFormat="1" ht="14" spans="1:8">
      <c r="A1250" s="2">
        <v>3505018</v>
      </c>
      <c r="B1250" s="2" t="s">
        <v>1922</v>
      </c>
      <c r="C1250" s="3" t="s">
        <v>824</v>
      </c>
      <c r="D1250" s="4">
        <v>0.9</v>
      </c>
      <c r="E1250" s="4">
        <v>202.4</v>
      </c>
      <c r="F1250" s="4">
        <v>182.16</v>
      </c>
      <c r="G1250" s="4">
        <v>202.4</v>
      </c>
      <c r="H1250" s="4">
        <v>182.16</v>
      </c>
    </row>
    <row r="1251" s="1" customFormat="1" ht="28" spans="1:8">
      <c r="A1251" s="2">
        <v>3506010</v>
      </c>
      <c r="B1251" s="2" t="s">
        <v>1923</v>
      </c>
      <c r="C1251" s="3" t="s">
        <v>824</v>
      </c>
      <c r="D1251" s="4">
        <v>173</v>
      </c>
      <c r="E1251" s="4">
        <v>58.09</v>
      </c>
      <c r="F1251" s="4">
        <v>10049.57</v>
      </c>
      <c r="G1251" s="4">
        <v>58.09</v>
      </c>
      <c r="H1251" s="4">
        <v>10049.57</v>
      </c>
    </row>
    <row r="1252" s="1" customFormat="1" ht="28" spans="1:8">
      <c r="A1252" s="2">
        <v>3506011</v>
      </c>
      <c r="B1252" s="2" t="s">
        <v>1924</v>
      </c>
      <c r="C1252" s="3" t="s">
        <v>824</v>
      </c>
      <c r="D1252" s="4">
        <v>22</v>
      </c>
      <c r="E1252" s="4">
        <v>61.1</v>
      </c>
      <c r="F1252" s="4">
        <v>1344.2</v>
      </c>
      <c r="G1252" s="4">
        <v>61.1</v>
      </c>
      <c r="H1252" s="4">
        <v>1344.2</v>
      </c>
    </row>
    <row r="1253" s="1" customFormat="1" ht="28" spans="1:8">
      <c r="A1253" s="2">
        <v>3506012</v>
      </c>
      <c r="B1253" s="2" t="s">
        <v>1925</v>
      </c>
      <c r="C1253" s="3" t="s">
        <v>824</v>
      </c>
      <c r="D1253" s="4">
        <v>246</v>
      </c>
      <c r="E1253" s="4">
        <v>76.45</v>
      </c>
      <c r="F1253" s="4">
        <v>18806.7</v>
      </c>
      <c r="G1253" s="4">
        <v>76.45</v>
      </c>
      <c r="H1253" s="4">
        <v>18806.7</v>
      </c>
    </row>
    <row r="1254" s="1" customFormat="1" ht="28" spans="1:8">
      <c r="A1254" s="2">
        <v>3506013</v>
      </c>
      <c r="B1254" s="2" t="s">
        <v>1926</v>
      </c>
      <c r="C1254" s="3" t="s">
        <v>824</v>
      </c>
      <c r="D1254" s="4">
        <v>9</v>
      </c>
      <c r="E1254" s="4">
        <v>115.6</v>
      </c>
      <c r="F1254" s="4">
        <v>1040.4</v>
      </c>
      <c r="G1254" s="4">
        <v>115.6</v>
      </c>
      <c r="H1254" s="4">
        <v>1040.4</v>
      </c>
    </row>
    <row r="1255" s="1" customFormat="1" ht="28" spans="1:8">
      <c r="A1255" s="2">
        <v>3506014</v>
      </c>
      <c r="B1255" s="2" t="s">
        <v>1927</v>
      </c>
      <c r="C1255" s="3" t="s">
        <v>824</v>
      </c>
      <c r="D1255" s="4">
        <v>232</v>
      </c>
      <c r="E1255" s="4">
        <v>150.92</v>
      </c>
      <c r="F1255" s="4">
        <v>35013.44</v>
      </c>
      <c r="G1255" s="4">
        <v>150.92</v>
      </c>
      <c r="H1255" s="4">
        <v>35013.44</v>
      </c>
    </row>
    <row r="1256" s="1" customFormat="1" ht="28" spans="1:8">
      <c r="A1256" s="2">
        <v>3506015</v>
      </c>
      <c r="B1256" s="2" t="s">
        <v>1928</v>
      </c>
      <c r="C1256" s="3" t="s">
        <v>824</v>
      </c>
      <c r="D1256" s="4">
        <v>90</v>
      </c>
      <c r="E1256" s="4">
        <v>183.52</v>
      </c>
      <c r="F1256" s="4">
        <v>16516.8</v>
      </c>
      <c r="G1256" s="4">
        <v>183.52</v>
      </c>
      <c r="H1256" s="4">
        <v>16516.8</v>
      </c>
    </row>
    <row r="1257" s="1" customFormat="1" ht="28" spans="1:8">
      <c r="A1257" s="2">
        <v>3506017</v>
      </c>
      <c r="B1257" s="2" t="s">
        <v>1929</v>
      </c>
      <c r="C1257" s="3" t="s">
        <v>824</v>
      </c>
      <c r="D1257" s="4">
        <v>41</v>
      </c>
      <c r="E1257" s="4">
        <v>417.76</v>
      </c>
      <c r="F1257" s="4">
        <v>17128.16</v>
      </c>
      <c r="G1257" s="4">
        <v>417.76</v>
      </c>
      <c r="H1257" s="4">
        <v>17128.16</v>
      </c>
    </row>
    <row r="1258" s="1" customFormat="1" ht="28" spans="1:8">
      <c r="A1258" s="2">
        <v>3506018</v>
      </c>
      <c r="B1258" s="2" t="s">
        <v>1930</v>
      </c>
      <c r="C1258" s="3" t="s">
        <v>824</v>
      </c>
      <c r="D1258" s="4">
        <v>9</v>
      </c>
      <c r="E1258" s="4">
        <v>667.44</v>
      </c>
      <c r="F1258" s="4">
        <v>6006.96</v>
      </c>
      <c r="G1258" s="4">
        <v>667.44</v>
      </c>
      <c r="H1258" s="4">
        <v>6006.96</v>
      </c>
    </row>
    <row r="1259" s="1" customFormat="1" ht="14" spans="1:8">
      <c r="A1259" s="2">
        <v>3508013</v>
      </c>
      <c r="B1259" s="2" t="s">
        <v>1931</v>
      </c>
      <c r="C1259" s="3" t="s">
        <v>824</v>
      </c>
      <c r="D1259" s="4">
        <v>1</v>
      </c>
      <c r="E1259" s="4">
        <v>43.51</v>
      </c>
      <c r="F1259" s="4">
        <v>43.51</v>
      </c>
      <c r="G1259" s="4">
        <v>43.51</v>
      </c>
      <c r="H1259" s="4">
        <v>43.51</v>
      </c>
    </row>
    <row r="1260" s="1" customFormat="1" ht="14" spans="1:8">
      <c r="A1260" s="2">
        <v>3508015</v>
      </c>
      <c r="B1260" s="2" t="s">
        <v>1932</v>
      </c>
      <c r="C1260" s="3" t="s">
        <v>824</v>
      </c>
      <c r="D1260" s="4">
        <v>15</v>
      </c>
      <c r="E1260" s="4">
        <v>68.02</v>
      </c>
      <c r="F1260" s="4">
        <v>1020.3</v>
      </c>
      <c r="G1260" s="4">
        <v>68.02</v>
      </c>
      <c r="H1260" s="4">
        <v>1020.3</v>
      </c>
    </row>
    <row r="1261" s="1" customFormat="1" ht="14" spans="1:8">
      <c r="A1261" s="2">
        <v>3508016</v>
      </c>
      <c r="B1261" s="2" t="s">
        <v>1933</v>
      </c>
      <c r="C1261" s="3" t="s">
        <v>824</v>
      </c>
      <c r="D1261" s="4">
        <v>21</v>
      </c>
      <c r="E1261" s="4">
        <v>86.86</v>
      </c>
      <c r="F1261" s="4">
        <v>1824.06</v>
      </c>
      <c r="G1261" s="4">
        <v>86.86</v>
      </c>
      <c r="H1261" s="4">
        <v>1824.06</v>
      </c>
    </row>
    <row r="1262" s="1" customFormat="1" ht="14" spans="1:8">
      <c r="A1262" s="2">
        <v>3508017</v>
      </c>
      <c r="B1262" s="2" t="s">
        <v>1934</v>
      </c>
      <c r="C1262" s="3" t="s">
        <v>824</v>
      </c>
      <c r="D1262" s="4">
        <v>4</v>
      </c>
      <c r="E1262" s="4">
        <v>117.86</v>
      </c>
      <c r="F1262" s="4">
        <v>471.44</v>
      </c>
      <c r="G1262" s="4">
        <v>117.86</v>
      </c>
      <c r="H1262" s="4">
        <v>471.44</v>
      </c>
    </row>
    <row r="1263" s="1" customFormat="1" ht="14" spans="1:8">
      <c r="A1263" s="2">
        <v>3508018</v>
      </c>
      <c r="B1263" s="2" t="s">
        <v>1935</v>
      </c>
      <c r="C1263" s="3" t="s">
        <v>824</v>
      </c>
      <c r="D1263" s="4">
        <v>88</v>
      </c>
      <c r="E1263" s="4">
        <v>134.94</v>
      </c>
      <c r="F1263" s="4">
        <v>11874.72</v>
      </c>
      <c r="G1263" s="4">
        <v>134.94</v>
      </c>
      <c r="H1263" s="4">
        <v>11874.72</v>
      </c>
    </row>
    <row r="1264" s="1" customFormat="1" ht="14" spans="1:8">
      <c r="A1264" s="2">
        <v>3508020</v>
      </c>
      <c r="B1264" s="2" t="s">
        <v>1936</v>
      </c>
      <c r="C1264" s="3" t="s">
        <v>824</v>
      </c>
      <c r="D1264" s="4">
        <v>14.66</v>
      </c>
      <c r="E1264" s="4">
        <v>258.52</v>
      </c>
      <c r="F1264" s="4">
        <v>3789.9</v>
      </c>
      <c r="G1264" s="4">
        <v>258.52</v>
      </c>
      <c r="H1264" s="4">
        <v>3789.9</v>
      </c>
    </row>
    <row r="1265" s="1" customFormat="1" ht="14" spans="1:8">
      <c r="A1265" s="2">
        <v>3508021</v>
      </c>
      <c r="B1265" s="2" t="s">
        <v>1937</v>
      </c>
      <c r="C1265" s="3" t="s">
        <v>824</v>
      </c>
      <c r="D1265" s="4">
        <v>14</v>
      </c>
      <c r="E1265" s="4">
        <v>367.25</v>
      </c>
      <c r="F1265" s="4">
        <v>5141.5</v>
      </c>
      <c r="G1265" s="4">
        <v>367.25</v>
      </c>
      <c r="H1265" s="4">
        <v>5141.5</v>
      </c>
    </row>
    <row r="1266" s="1" customFormat="1" ht="28" spans="1:8">
      <c r="A1266" s="2">
        <v>3509010</v>
      </c>
      <c r="B1266" s="2" t="s">
        <v>1938</v>
      </c>
      <c r="C1266" s="3" t="s">
        <v>824</v>
      </c>
      <c r="D1266" s="4">
        <v>97</v>
      </c>
      <c r="E1266" s="4">
        <v>10.79</v>
      </c>
      <c r="F1266" s="4">
        <v>1046.63</v>
      </c>
      <c r="G1266" s="4">
        <v>10.79</v>
      </c>
      <c r="H1266" s="4">
        <v>1046.63</v>
      </c>
    </row>
    <row r="1267" s="1" customFormat="1" ht="28" spans="1:8">
      <c r="A1267" s="2">
        <v>3509011</v>
      </c>
      <c r="B1267" s="2" t="s">
        <v>1939</v>
      </c>
      <c r="C1267" s="3" t="s">
        <v>824</v>
      </c>
      <c r="D1267" s="4">
        <v>41</v>
      </c>
      <c r="E1267" s="4">
        <v>14.71</v>
      </c>
      <c r="F1267" s="4">
        <v>603.11</v>
      </c>
      <c r="G1267" s="4">
        <v>14.71</v>
      </c>
      <c r="H1267" s="4">
        <v>603.11</v>
      </c>
    </row>
    <row r="1268" s="1" customFormat="1" ht="28" spans="1:8">
      <c r="A1268" s="2">
        <v>3509012</v>
      </c>
      <c r="B1268" s="2" t="s">
        <v>1940</v>
      </c>
      <c r="C1268" s="3" t="s">
        <v>824</v>
      </c>
      <c r="D1268" s="4">
        <v>82</v>
      </c>
      <c r="E1268" s="4">
        <v>18.02</v>
      </c>
      <c r="F1268" s="4">
        <v>1477.64</v>
      </c>
      <c r="G1268" s="4">
        <v>18.02</v>
      </c>
      <c r="H1268" s="4">
        <v>1477.64</v>
      </c>
    </row>
    <row r="1269" s="1" customFormat="1" ht="28" spans="1:8">
      <c r="A1269" s="2">
        <v>3509015</v>
      </c>
      <c r="B1269" s="2" t="s">
        <v>1941</v>
      </c>
      <c r="C1269" s="3" t="s">
        <v>824</v>
      </c>
      <c r="D1269" s="4">
        <v>7</v>
      </c>
      <c r="E1269" s="4">
        <v>38.84</v>
      </c>
      <c r="F1269" s="4">
        <v>271.88</v>
      </c>
      <c r="G1269" s="4">
        <v>38.84</v>
      </c>
      <c r="H1269" s="4">
        <v>271.88</v>
      </c>
    </row>
    <row r="1270" s="1" customFormat="1" ht="28" spans="1:8">
      <c r="A1270" s="2">
        <v>3509017</v>
      </c>
      <c r="B1270" s="2" t="s">
        <v>1942</v>
      </c>
      <c r="C1270" s="3" t="s">
        <v>824</v>
      </c>
      <c r="D1270" s="4">
        <v>62</v>
      </c>
      <c r="E1270" s="4">
        <v>83.8</v>
      </c>
      <c r="F1270" s="4">
        <v>5195.6</v>
      </c>
      <c r="G1270" s="4">
        <v>83.8</v>
      </c>
      <c r="H1270" s="4">
        <v>5195.6</v>
      </c>
    </row>
    <row r="1271" s="1" customFormat="1" ht="28" spans="1:8">
      <c r="A1271" s="2">
        <v>3509018</v>
      </c>
      <c r="B1271" s="2" t="s">
        <v>1943</v>
      </c>
      <c r="C1271" s="3" t="s">
        <v>824</v>
      </c>
      <c r="D1271" s="4">
        <v>4</v>
      </c>
      <c r="E1271" s="4">
        <v>132.33</v>
      </c>
      <c r="F1271" s="4">
        <v>529.32</v>
      </c>
      <c r="G1271" s="4">
        <v>132.33</v>
      </c>
      <c r="H1271" s="4">
        <v>529.32</v>
      </c>
    </row>
    <row r="1272" s="1" customFormat="1" ht="14" spans="1:8">
      <c r="A1272" s="2">
        <v>3512010</v>
      </c>
      <c r="B1272" s="2" t="s">
        <v>1944</v>
      </c>
      <c r="C1272" s="3" t="s">
        <v>824</v>
      </c>
      <c r="D1272" s="4">
        <v>32</v>
      </c>
      <c r="E1272" s="4">
        <v>134.17</v>
      </c>
      <c r="F1272" s="4">
        <v>4293.44</v>
      </c>
      <c r="G1272" s="4">
        <v>134.17</v>
      </c>
      <c r="H1272" s="4">
        <v>4293.44</v>
      </c>
    </row>
    <row r="1273" s="1" customFormat="1" ht="14" spans="1:8">
      <c r="A1273" s="2">
        <v>3512011</v>
      </c>
      <c r="B1273" s="2" t="s">
        <v>1945</v>
      </c>
      <c r="C1273" s="3" t="s">
        <v>824</v>
      </c>
      <c r="D1273" s="4">
        <v>9</v>
      </c>
      <c r="E1273" s="4">
        <v>149.66</v>
      </c>
      <c r="F1273" s="4">
        <v>1346.94</v>
      </c>
      <c r="G1273" s="4">
        <v>149.66</v>
      </c>
      <c r="H1273" s="4">
        <v>1346.94</v>
      </c>
    </row>
    <row r="1274" s="1" customFormat="1" ht="14" spans="1:8">
      <c r="A1274" s="2">
        <v>3512012</v>
      </c>
      <c r="B1274" s="2" t="s">
        <v>1946</v>
      </c>
      <c r="C1274" s="3" t="s">
        <v>824</v>
      </c>
      <c r="D1274" s="4">
        <v>6</v>
      </c>
      <c r="E1274" s="4">
        <v>185.79</v>
      </c>
      <c r="F1274" s="4">
        <v>1114.74</v>
      </c>
      <c r="G1274" s="4">
        <v>185.79</v>
      </c>
      <c r="H1274" s="4">
        <v>1114.74</v>
      </c>
    </row>
    <row r="1275" s="1" customFormat="1" ht="14" spans="1:8">
      <c r="A1275" s="2">
        <v>3512013</v>
      </c>
      <c r="B1275" s="2" t="s">
        <v>1947</v>
      </c>
      <c r="C1275" s="3" t="s">
        <v>824</v>
      </c>
      <c r="D1275" s="4">
        <v>26</v>
      </c>
      <c r="E1275" s="4">
        <v>206.41</v>
      </c>
      <c r="F1275" s="4">
        <v>5366.66</v>
      </c>
      <c r="G1275" s="4">
        <v>206.41</v>
      </c>
      <c r="H1275" s="4">
        <v>5366.66</v>
      </c>
    </row>
    <row r="1276" s="1" customFormat="1" ht="14" spans="1:8">
      <c r="A1276" s="2">
        <v>3512014</v>
      </c>
      <c r="B1276" s="2" t="s">
        <v>1948</v>
      </c>
      <c r="C1276" s="3" t="s">
        <v>824</v>
      </c>
      <c r="D1276" s="4">
        <v>12</v>
      </c>
      <c r="E1276" s="4">
        <v>288.99</v>
      </c>
      <c r="F1276" s="4">
        <v>3467.88</v>
      </c>
      <c r="G1276" s="4">
        <v>288.99</v>
      </c>
      <c r="H1276" s="4">
        <v>3467.88</v>
      </c>
    </row>
    <row r="1277" s="1" customFormat="1" ht="28" spans="1:8">
      <c r="A1277" s="2">
        <v>3519012</v>
      </c>
      <c r="B1277" s="2" t="s">
        <v>1949</v>
      </c>
      <c r="C1277" s="3" t="s">
        <v>824</v>
      </c>
      <c r="D1277" s="4">
        <v>12</v>
      </c>
      <c r="E1277" s="4">
        <v>918.49</v>
      </c>
      <c r="F1277" s="4">
        <v>11021.88</v>
      </c>
      <c r="G1277" s="4">
        <v>918.49</v>
      </c>
      <c r="H1277" s="4">
        <v>11021.88</v>
      </c>
    </row>
    <row r="1278" s="1" customFormat="1" ht="14" spans="1:8">
      <c r="A1278" s="2">
        <v>3526012</v>
      </c>
      <c r="B1278" s="2" t="s">
        <v>1950</v>
      </c>
      <c r="C1278" s="3" t="s">
        <v>824</v>
      </c>
      <c r="D1278" s="4">
        <v>28</v>
      </c>
      <c r="E1278" s="4">
        <v>10.07</v>
      </c>
      <c r="F1278" s="4">
        <v>281.96</v>
      </c>
      <c r="G1278" s="4">
        <v>10.07</v>
      </c>
      <c r="H1278" s="4">
        <v>281.96</v>
      </c>
    </row>
    <row r="1279" s="1" customFormat="1" ht="14" spans="1:8">
      <c r="A1279" s="2">
        <v>3527213</v>
      </c>
      <c r="B1279" s="2" t="s">
        <v>1951</v>
      </c>
      <c r="C1279" s="3" t="s">
        <v>824</v>
      </c>
      <c r="D1279" s="4">
        <v>26.26</v>
      </c>
      <c r="E1279" s="4">
        <v>16.98</v>
      </c>
      <c r="F1279" s="4">
        <v>445.9</v>
      </c>
      <c r="G1279" s="4">
        <v>16.98</v>
      </c>
      <c r="H1279" s="4">
        <v>445.9</v>
      </c>
    </row>
    <row r="1280" s="1" customFormat="1" ht="14" spans="1:8">
      <c r="A1280" s="2">
        <v>3527217</v>
      </c>
      <c r="B1280" s="2" t="s">
        <v>1952</v>
      </c>
      <c r="C1280" s="3" t="s">
        <v>824</v>
      </c>
      <c r="D1280" s="4">
        <v>234.32</v>
      </c>
      <c r="E1280" s="4">
        <v>15.62</v>
      </c>
      <c r="F1280" s="4">
        <v>3660.01</v>
      </c>
      <c r="G1280" s="4">
        <v>15.62</v>
      </c>
      <c r="H1280" s="4">
        <v>3660.01</v>
      </c>
    </row>
    <row r="1281" s="1" customFormat="1" ht="14" spans="1:8">
      <c r="A1281" s="2">
        <v>3603011</v>
      </c>
      <c r="B1281" s="2" t="s">
        <v>1953</v>
      </c>
      <c r="C1281" s="3" t="s">
        <v>876</v>
      </c>
      <c r="D1281" s="4">
        <v>193.73</v>
      </c>
      <c r="E1281" s="4">
        <v>257.25</v>
      </c>
      <c r="F1281" s="4">
        <v>49837.56</v>
      </c>
      <c r="G1281" s="4">
        <v>257.25</v>
      </c>
      <c r="H1281" s="4">
        <v>49837.56</v>
      </c>
    </row>
    <row r="1282" s="1" customFormat="1" ht="14" spans="1:8">
      <c r="A1282" s="2">
        <v>3603019</v>
      </c>
      <c r="B1282" s="2" t="s">
        <v>1954</v>
      </c>
      <c r="C1282" s="3" t="s">
        <v>876</v>
      </c>
      <c r="D1282" s="4">
        <v>200</v>
      </c>
      <c r="E1282" s="4">
        <v>2.16</v>
      </c>
      <c r="F1282" s="4">
        <v>432</v>
      </c>
      <c r="G1282" s="4">
        <v>2.16</v>
      </c>
      <c r="H1282" s="4">
        <v>432</v>
      </c>
    </row>
    <row r="1283" s="1" customFormat="1" ht="14" spans="1:8">
      <c r="A1283" s="2">
        <v>3603023</v>
      </c>
      <c r="B1283" s="2" t="s">
        <v>1955</v>
      </c>
      <c r="C1283" s="3" t="s">
        <v>876</v>
      </c>
      <c r="D1283" s="4">
        <v>274.72</v>
      </c>
      <c r="E1283" s="4">
        <v>46.92</v>
      </c>
      <c r="F1283" s="4">
        <v>12889.86</v>
      </c>
      <c r="G1283" s="4">
        <v>46.92</v>
      </c>
      <c r="H1283" s="4">
        <v>12889.86</v>
      </c>
    </row>
    <row r="1284" s="1" customFormat="1" ht="14" spans="1:8">
      <c r="A1284" s="2">
        <v>3603025</v>
      </c>
      <c r="B1284" s="2" t="s">
        <v>1956</v>
      </c>
      <c r="C1284" s="3" t="s">
        <v>876</v>
      </c>
      <c r="D1284" s="4">
        <v>310.55</v>
      </c>
      <c r="E1284" s="4">
        <v>39.05</v>
      </c>
      <c r="F1284" s="4">
        <v>12126.96</v>
      </c>
      <c r="G1284" s="4">
        <v>39.05</v>
      </c>
      <c r="H1284" s="4">
        <v>12126.96</v>
      </c>
    </row>
    <row r="1285" s="1" customFormat="1" ht="14" spans="1:8">
      <c r="A1285" s="2">
        <v>3603026</v>
      </c>
      <c r="B1285" s="2" t="s">
        <v>1957</v>
      </c>
      <c r="C1285" s="3" t="s">
        <v>876</v>
      </c>
      <c r="D1285" s="4">
        <v>5869.5</v>
      </c>
      <c r="E1285" s="4">
        <v>33.65</v>
      </c>
      <c r="F1285" s="4">
        <v>197508.68</v>
      </c>
      <c r="G1285" s="4">
        <v>33.65</v>
      </c>
      <c r="H1285" s="4">
        <v>197508.68</v>
      </c>
    </row>
    <row r="1286" s="1" customFormat="1" ht="14" spans="1:8">
      <c r="A1286" s="2">
        <v>3603027</v>
      </c>
      <c r="B1286" s="2" t="s">
        <v>1958</v>
      </c>
      <c r="C1286" s="3" t="s">
        <v>843</v>
      </c>
      <c r="D1286" s="4">
        <v>0.96</v>
      </c>
      <c r="E1286" s="4">
        <v>59.31</v>
      </c>
      <c r="F1286" s="4">
        <v>56.93</v>
      </c>
      <c r="G1286" s="4">
        <v>59.31</v>
      </c>
      <c r="H1286" s="4">
        <v>56.93</v>
      </c>
    </row>
    <row r="1287" s="1" customFormat="1" ht="14" spans="1:8">
      <c r="A1287" s="2">
        <v>3613025</v>
      </c>
      <c r="B1287" s="2" t="s">
        <v>1959</v>
      </c>
      <c r="C1287" s="3" t="s">
        <v>52</v>
      </c>
      <c r="D1287" s="4">
        <v>33491.94</v>
      </c>
      <c r="E1287" s="4">
        <v>7.49</v>
      </c>
      <c r="F1287" s="4">
        <v>250854.53</v>
      </c>
      <c r="G1287" s="4">
        <v>7.49</v>
      </c>
      <c r="H1287" s="4">
        <v>250854.53</v>
      </c>
    </row>
    <row r="1288" s="1" customFormat="1" ht="14" spans="1:8">
      <c r="A1288" s="2">
        <v>3613113</v>
      </c>
      <c r="B1288" s="2" t="s">
        <v>1960</v>
      </c>
      <c r="C1288" s="3" t="s">
        <v>824</v>
      </c>
      <c r="D1288" s="4">
        <v>45344.47</v>
      </c>
      <c r="E1288" s="4">
        <v>4.78</v>
      </c>
      <c r="F1288" s="4">
        <v>216746.54</v>
      </c>
      <c r="G1288" s="4">
        <v>4.78</v>
      </c>
      <c r="H1288" s="4">
        <v>216746.54</v>
      </c>
    </row>
    <row r="1289" s="1" customFormat="1" ht="14" spans="1:8">
      <c r="A1289" s="2">
        <v>3613114</v>
      </c>
      <c r="B1289" s="2" t="s">
        <v>1961</v>
      </c>
      <c r="C1289" s="3" t="s">
        <v>824</v>
      </c>
      <c r="D1289" s="4">
        <v>1034.28</v>
      </c>
      <c r="E1289" s="4">
        <v>1.93</v>
      </c>
      <c r="F1289" s="4">
        <v>1996.16</v>
      </c>
      <c r="G1289" s="4">
        <v>1.93</v>
      </c>
      <c r="H1289" s="4">
        <v>1996.16</v>
      </c>
    </row>
    <row r="1290" s="1" customFormat="1" ht="14" spans="1:8">
      <c r="A1290" s="2">
        <v>3613115</v>
      </c>
      <c r="B1290" s="2" t="s">
        <v>1962</v>
      </c>
      <c r="C1290" s="3" t="s">
        <v>824</v>
      </c>
      <c r="D1290" s="4">
        <v>3562.56</v>
      </c>
      <c r="E1290" s="4">
        <v>2.7</v>
      </c>
      <c r="F1290" s="4">
        <v>9618.91</v>
      </c>
      <c r="G1290" s="4">
        <v>2.7</v>
      </c>
      <c r="H1290" s="4">
        <v>9618.91</v>
      </c>
    </row>
    <row r="1291" s="1" customFormat="1" ht="14" spans="1:8">
      <c r="A1291" s="2">
        <v>3613116</v>
      </c>
      <c r="B1291" s="2" t="s">
        <v>1963</v>
      </c>
      <c r="C1291" s="3" t="s">
        <v>824</v>
      </c>
      <c r="D1291" s="4">
        <v>1034.28</v>
      </c>
      <c r="E1291" s="4">
        <v>32.41</v>
      </c>
      <c r="F1291" s="4">
        <v>33521.01</v>
      </c>
      <c r="G1291" s="4">
        <v>32.41</v>
      </c>
      <c r="H1291" s="4">
        <v>33521.01</v>
      </c>
    </row>
    <row r="1292" s="1" customFormat="1" ht="14" spans="1:8">
      <c r="A1292" s="2">
        <v>3613117</v>
      </c>
      <c r="B1292" s="2" t="s">
        <v>1964</v>
      </c>
      <c r="C1292" s="3" t="s">
        <v>824</v>
      </c>
      <c r="D1292" s="4">
        <v>20708.28</v>
      </c>
      <c r="E1292" s="4">
        <v>4.32</v>
      </c>
      <c r="F1292" s="4">
        <v>89459.77</v>
      </c>
      <c r="G1292" s="4">
        <v>4.32</v>
      </c>
      <c r="H1292" s="4">
        <v>89459.77</v>
      </c>
    </row>
    <row r="1293" s="1" customFormat="1" ht="14" spans="1:8">
      <c r="A1293" s="2">
        <v>3613118</v>
      </c>
      <c r="B1293" s="2" t="s">
        <v>1965</v>
      </c>
      <c r="C1293" s="3" t="s">
        <v>824</v>
      </c>
      <c r="D1293" s="4">
        <v>18678</v>
      </c>
      <c r="E1293" s="4">
        <v>1.93</v>
      </c>
      <c r="F1293" s="4">
        <v>36048.54</v>
      </c>
      <c r="G1293" s="4">
        <v>1.93</v>
      </c>
      <c r="H1293" s="4">
        <v>36048.54</v>
      </c>
    </row>
    <row r="1294" s="1" customFormat="1" ht="14" spans="1:8">
      <c r="A1294" s="2">
        <v>3613119</v>
      </c>
      <c r="B1294" s="2" t="s">
        <v>1966</v>
      </c>
      <c r="C1294" s="3" t="s">
        <v>824</v>
      </c>
      <c r="D1294" s="4">
        <v>18678</v>
      </c>
      <c r="E1294" s="4">
        <v>2.7</v>
      </c>
      <c r="F1294" s="4">
        <v>50430.6</v>
      </c>
      <c r="G1294" s="4">
        <v>2.7</v>
      </c>
      <c r="H1294" s="4">
        <v>50430.6</v>
      </c>
    </row>
    <row r="1295" s="1" customFormat="1" ht="14" spans="1:8">
      <c r="A1295" s="2">
        <v>3613120</v>
      </c>
      <c r="B1295" s="2" t="s">
        <v>1967</v>
      </c>
      <c r="C1295" s="3" t="s">
        <v>824</v>
      </c>
      <c r="D1295" s="4">
        <v>509.54</v>
      </c>
      <c r="E1295" s="4">
        <v>61.55</v>
      </c>
      <c r="F1295" s="4">
        <v>31361.88</v>
      </c>
      <c r="G1295" s="4">
        <v>61.55</v>
      </c>
      <c r="H1295" s="4">
        <v>31361.88</v>
      </c>
    </row>
    <row r="1296" s="1" customFormat="1" ht="14" spans="1:8">
      <c r="A1296" s="2">
        <v>3613121</v>
      </c>
      <c r="B1296" s="2" t="s">
        <v>1968</v>
      </c>
      <c r="C1296" s="3" t="s">
        <v>824</v>
      </c>
      <c r="D1296" s="4">
        <v>43.77</v>
      </c>
      <c r="E1296" s="4">
        <v>33.19</v>
      </c>
      <c r="F1296" s="4">
        <v>1452.73</v>
      </c>
      <c r="G1296" s="4">
        <v>33.19</v>
      </c>
      <c r="H1296" s="4">
        <v>1452.73</v>
      </c>
    </row>
    <row r="1297" s="1" customFormat="1" ht="14" spans="1:8">
      <c r="A1297" s="2">
        <v>3613122</v>
      </c>
      <c r="B1297" s="2" t="s">
        <v>1969</v>
      </c>
      <c r="C1297" s="3" t="s">
        <v>824</v>
      </c>
      <c r="D1297" s="4">
        <v>18678</v>
      </c>
      <c r="E1297" s="4">
        <v>27.09</v>
      </c>
      <c r="F1297" s="4">
        <v>505987.02</v>
      </c>
      <c r="G1297" s="4">
        <v>27.09</v>
      </c>
      <c r="H1297" s="4">
        <v>505987.02</v>
      </c>
    </row>
    <row r="1298" s="1" customFormat="1" ht="14" spans="1:8">
      <c r="A1298" s="2">
        <v>3613123</v>
      </c>
      <c r="B1298" s="2" t="s">
        <v>1970</v>
      </c>
      <c r="C1298" s="3" t="s">
        <v>472</v>
      </c>
      <c r="D1298" s="4">
        <v>1800</v>
      </c>
      <c r="E1298" s="4">
        <v>8.37</v>
      </c>
      <c r="F1298" s="4">
        <v>15066</v>
      </c>
      <c r="G1298" s="4">
        <v>8.37</v>
      </c>
      <c r="H1298" s="4">
        <v>15066</v>
      </c>
    </row>
    <row r="1299" s="1" customFormat="1" ht="14" spans="1:8">
      <c r="A1299" s="2">
        <v>3613124</v>
      </c>
      <c r="B1299" s="2" t="s">
        <v>1971</v>
      </c>
      <c r="C1299" s="3" t="s">
        <v>472</v>
      </c>
      <c r="D1299" s="4">
        <v>42804.15</v>
      </c>
      <c r="E1299" s="4">
        <v>18.44</v>
      </c>
      <c r="F1299" s="4">
        <v>789308.44</v>
      </c>
      <c r="G1299" s="4">
        <v>18.44</v>
      </c>
      <c r="H1299" s="4">
        <v>789308.44</v>
      </c>
    </row>
    <row r="1300" s="1" customFormat="1" ht="14" spans="1:8">
      <c r="A1300" s="2">
        <v>3613125</v>
      </c>
      <c r="B1300" s="2" t="s">
        <v>1972</v>
      </c>
      <c r="C1300" s="3" t="s">
        <v>472</v>
      </c>
      <c r="D1300" s="4">
        <v>410.22</v>
      </c>
      <c r="E1300" s="4">
        <v>36.68</v>
      </c>
      <c r="F1300" s="4">
        <v>15046.87</v>
      </c>
      <c r="G1300" s="4">
        <v>36.68</v>
      </c>
      <c r="H1300" s="4">
        <v>15046.87</v>
      </c>
    </row>
    <row r="1301" s="1" customFormat="1" ht="14" spans="1:8">
      <c r="A1301" s="2">
        <v>3613950</v>
      </c>
      <c r="B1301" s="2" t="s">
        <v>1973</v>
      </c>
      <c r="C1301" s="3" t="s">
        <v>701</v>
      </c>
      <c r="D1301" s="4">
        <v>37.2</v>
      </c>
      <c r="E1301" s="4">
        <v>60.63</v>
      </c>
      <c r="F1301" s="4">
        <v>2255.44</v>
      </c>
      <c r="G1301" s="4">
        <v>60.63</v>
      </c>
      <c r="H1301" s="4">
        <v>2255.44</v>
      </c>
    </row>
    <row r="1302" s="1" customFormat="1" ht="14" spans="1:8">
      <c r="A1302" s="2">
        <v>3613952</v>
      </c>
      <c r="B1302" s="2" t="s">
        <v>1974</v>
      </c>
      <c r="C1302" s="3" t="s">
        <v>824</v>
      </c>
      <c r="D1302" s="4">
        <v>10620.13</v>
      </c>
      <c r="E1302" s="4">
        <v>0.58</v>
      </c>
      <c r="F1302" s="4">
        <v>6159.69</v>
      </c>
      <c r="G1302" s="4">
        <v>0.58</v>
      </c>
      <c r="H1302" s="4">
        <v>6159.69</v>
      </c>
    </row>
    <row r="1303" s="1" customFormat="1" ht="14" spans="1:8">
      <c r="A1303" s="2">
        <v>3616011</v>
      </c>
      <c r="B1303" s="2" t="s">
        <v>1975</v>
      </c>
      <c r="C1303" s="3" t="s">
        <v>701</v>
      </c>
      <c r="D1303" s="4">
        <v>413.07</v>
      </c>
      <c r="E1303" s="4">
        <v>581.5</v>
      </c>
      <c r="F1303" s="4">
        <v>240205.44</v>
      </c>
      <c r="G1303" s="4">
        <v>581.5</v>
      </c>
      <c r="H1303" s="4">
        <v>240205.44</v>
      </c>
    </row>
    <row r="1304" s="1" customFormat="1" ht="14" spans="1:8">
      <c r="A1304" s="2">
        <v>3617914</v>
      </c>
      <c r="B1304" s="2" t="s">
        <v>1976</v>
      </c>
      <c r="C1304" s="3" t="s">
        <v>52</v>
      </c>
      <c r="D1304" s="4">
        <v>215453.98</v>
      </c>
      <c r="E1304" s="4">
        <v>5.63</v>
      </c>
      <c r="F1304" s="4">
        <v>1213005.87</v>
      </c>
      <c r="G1304" s="4">
        <v>5.63</v>
      </c>
      <c r="H1304" s="4">
        <v>1213005.87</v>
      </c>
    </row>
    <row r="1305" s="1" customFormat="1" ht="14" spans="1:8">
      <c r="A1305" s="2">
        <v>3617925</v>
      </c>
      <c r="B1305" s="2" t="s">
        <v>1977</v>
      </c>
      <c r="C1305" s="3" t="s">
        <v>52</v>
      </c>
      <c r="D1305" s="4">
        <v>120894.73</v>
      </c>
      <c r="E1305" s="4">
        <v>7.33</v>
      </c>
      <c r="F1305" s="4">
        <v>886158.6</v>
      </c>
      <c r="G1305" s="4">
        <v>7.33</v>
      </c>
      <c r="H1305" s="4">
        <v>886158.6</v>
      </c>
    </row>
    <row r="1306" s="1" customFormat="1" ht="14" spans="1:8">
      <c r="A1306" s="2">
        <v>3617926</v>
      </c>
      <c r="B1306" s="2" t="s">
        <v>1978</v>
      </c>
      <c r="C1306" s="3" t="s">
        <v>52</v>
      </c>
      <c r="D1306" s="4">
        <v>43427.29</v>
      </c>
      <c r="E1306" s="4">
        <v>5.63</v>
      </c>
      <c r="F1306" s="4">
        <v>244495.77</v>
      </c>
      <c r="G1306" s="4">
        <v>5.63</v>
      </c>
      <c r="H1306" s="4">
        <v>244495.77</v>
      </c>
    </row>
    <row r="1307" s="1" customFormat="1" ht="14" spans="1:8">
      <c r="A1307" s="2">
        <v>3617927</v>
      </c>
      <c r="B1307" s="2" t="s">
        <v>1979</v>
      </c>
      <c r="C1307" s="3" t="s">
        <v>52</v>
      </c>
      <c r="D1307" s="4">
        <v>1100.8</v>
      </c>
      <c r="E1307" s="4">
        <v>6.95</v>
      </c>
      <c r="F1307" s="4">
        <v>7650.6</v>
      </c>
      <c r="G1307" s="4">
        <v>6.95</v>
      </c>
      <c r="H1307" s="4">
        <v>7650.6</v>
      </c>
    </row>
    <row r="1308" s="1" customFormat="1" ht="14" spans="1:8">
      <c r="A1308" s="2">
        <v>3617928</v>
      </c>
      <c r="B1308" s="2" t="s">
        <v>1980</v>
      </c>
      <c r="C1308" s="3" t="s">
        <v>52</v>
      </c>
      <c r="D1308" s="4">
        <v>20152.17</v>
      </c>
      <c r="E1308" s="4">
        <v>16.98</v>
      </c>
      <c r="F1308" s="4">
        <v>342183.79</v>
      </c>
      <c r="G1308" s="4">
        <v>16.98</v>
      </c>
      <c r="H1308" s="4">
        <v>342183.79</v>
      </c>
    </row>
    <row r="1309" s="1" customFormat="1" ht="14" spans="1:8">
      <c r="A1309" s="2">
        <v>3617929</v>
      </c>
      <c r="B1309" s="2" t="s">
        <v>1981</v>
      </c>
      <c r="C1309" s="3" t="s">
        <v>52</v>
      </c>
      <c r="D1309" s="4">
        <v>8890.33</v>
      </c>
      <c r="E1309" s="4">
        <v>21.61</v>
      </c>
      <c r="F1309" s="4">
        <v>192119.86</v>
      </c>
      <c r="G1309" s="4">
        <v>21.61</v>
      </c>
      <c r="H1309" s="4">
        <v>192119.86</v>
      </c>
    </row>
    <row r="1310" s="1" customFormat="1" ht="14" spans="1:8">
      <c r="A1310" s="2">
        <v>3623010</v>
      </c>
      <c r="B1310" s="2" t="s">
        <v>1982</v>
      </c>
      <c r="C1310" s="3" t="s">
        <v>52</v>
      </c>
      <c r="D1310" s="4">
        <v>64.92</v>
      </c>
      <c r="E1310" s="4">
        <v>6.53</v>
      </c>
      <c r="F1310" s="4">
        <v>423.91</v>
      </c>
      <c r="G1310" s="4">
        <v>6.53</v>
      </c>
      <c r="H1310" s="4">
        <v>423.91</v>
      </c>
    </row>
    <row r="1311" s="1" customFormat="1" ht="14" spans="1:8">
      <c r="A1311" s="2">
        <v>3623014</v>
      </c>
      <c r="B1311" s="2" t="s">
        <v>1983</v>
      </c>
      <c r="C1311" s="3" t="s">
        <v>52</v>
      </c>
      <c r="D1311" s="4">
        <v>528.7</v>
      </c>
      <c r="E1311" s="4">
        <v>9.1</v>
      </c>
      <c r="F1311" s="4">
        <v>4811.3</v>
      </c>
      <c r="G1311" s="4">
        <v>9.1</v>
      </c>
      <c r="H1311" s="4">
        <v>4811.3</v>
      </c>
    </row>
    <row r="1312" s="1" customFormat="1" ht="14" spans="1:8">
      <c r="A1312" s="2">
        <v>3623017</v>
      </c>
      <c r="B1312" s="2" t="s">
        <v>1984</v>
      </c>
      <c r="C1312" s="3" t="s">
        <v>701</v>
      </c>
      <c r="D1312" s="4">
        <v>805.33</v>
      </c>
      <c r="E1312" s="4">
        <v>2.3</v>
      </c>
      <c r="F1312" s="4">
        <v>1852.25</v>
      </c>
      <c r="G1312" s="4">
        <v>2.3</v>
      </c>
      <c r="H1312" s="4">
        <v>1852.25</v>
      </c>
    </row>
    <row r="1313" s="1" customFormat="1" ht="14" spans="1:8">
      <c r="A1313" s="2">
        <v>3623510</v>
      </c>
      <c r="B1313" s="2" t="s">
        <v>1985</v>
      </c>
      <c r="C1313" s="3" t="s">
        <v>52</v>
      </c>
      <c r="D1313" s="4">
        <v>217735.46</v>
      </c>
      <c r="E1313" s="4">
        <v>2.96</v>
      </c>
      <c r="F1313" s="4">
        <v>644496.98</v>
      </c>
      <c r="G1313" s="4">
        <v>2.96</v>
      </c>
      <c r="H1313" s="4">
        <v>644496.98</v>
      </c>
    </row>
    <row r="1314" s="1" customFormat="1" ht="14" spans="1:8">
      <c r="A1314" s="2">
        <v>3623511</v>
      </c>
      <c r="B1314" s="2" t="s">
        <v>1986</v>
      </c>
      <c r="C1314" s="3" t="s">
        <v>52</v>
      </c>
      <c r="D1314" s="4">
        <v>81.13</v>
      </c>
      <c r="E1314" s="4">
        <v>9.58</v>
      </c>
      <c r="F1314" s="4">
        <v>777.26</v>
      </c>
      <c r="G1314" s="4">
        <v>9.58</v>
      </c>
      <c r="H1314" s="4">
        <v>777.26</v>
      </c>
    </row>
    <row r="1315" s="1" customFormat="1" ht="14" spans="1:8">
      <c r="A1315" s="2">
        <v>3623513</v>
      </c>
      <c r="B1315" s="2" t="s">
        <v>1987</v>
      </c>
      <c r="C1315" s="3" t="s">
        <v>52</v>
      </c>
      <c r="D1315" s="4">
        <v>500.47</v>
      </c>
      <c r="E1315" s="4">
        <v>4.6</v>
      </c>
      <c r="F1315" s="4">
        <v>2302.14</v>
      </c>
      <c r="G1315" s="4">
        <v>4.6</v>
      </c>
      <c r="H1315" s="4">
        <v>2302.14</v>
      </c>
    </row>
    <row r="1316" s="1" customFormat="1" ht="14" spans="1:8">
      <c r="A1316" s="2">
        <v>3623516</v>
      </c>
      <c r="B1316" s="2" t="s">
        <v>1988</v>
      </c>
      <c r="C1316" s="3" t="s">
        <v>701</v>
      </c>
      <c r="D1316" s="4">
        <v>0.75</v>
      </c>
      <c r="E1316" s="4">
        <v>1.84</v>
      </c>
      <c r="F1316" s="4">
        <v>1.38</v>
      </c>
      <c r="G1316" s="4">
        <v>1.84</v>
      </c>
      <c r="H1316" s="4">
        <v>1.38</v>
      </c>
    </row>
    <row r="1317" s="1" customFormat="1" ht="14" spans="1:8">
      <c r="A1317" s="2">
        <v>3623517</v>
      </c>
      <c r="B1317" s="2" t="s">
        <v>1989</v>
      </c>
      <c r="C1317" s="3" t="s">
        <v>824</v>
      </c>
      <c r="D1317" s="4">
        <v>140784.11</v>
      </c>
      <c r="E1317" s="4">
        <v>0.05</v>
      </c>
      <c r="F1317" s="4">
        <v>7039.21</v>
      </c>
      <c r="G1317" s="4">
        <v>0.05</v>
      </c>
      <c r="H1317" s="4">
        <v>7039.21</v>
      </c>
    </row>
    <row r="1318" s="1" customFormat="1" ht="14" spans="1:8">
      <c r="A1318" s="2">
        <v>3623520</v>
      </c>
      <c r="B1318" s="2" t="s">
        <v>1990</v>
      </c>
      <c r="C1318" s="3" t="s">
        <v>52</v>
      </c>
      <c r="D1318" s="4">
        <v>0.63</v>
      </c>
      <c r="E1318" s="4">
        <v>6.26</v>
      </c>
      <c r="F1318" s="4">
        <v>3.97</v>
      </c>
      <c r="G1318" s="4">
        <v>6.26</v>
      </c>
      <c r="H1318" s="4">
        <v>3.97</v>
      </c>
    </row>
    <row r="1319" s="1" customFormat="1" ht="14" spans="1:8">
      <c r="A1319" s="2">
        <v>3624016</v>
      </c>
      <c r="B1319" s="2" t="s">
        <v>1991</v>
      </c>
      <c r="C1319" s="3" t="s">
        <v>52</v>
      </c>
      <c r="D1319" s="4">
        <v>5201.34</v>
      </c>
      <c r="E1319" s="4">
        <v>27.01</v>
      </c>
      <c r="F1319" s="4">
        <v>140488.19</v>
      </c>
      <c r="G1319" s="4">
        <v>27.01</v>
      </c>
      <c r="H1319" s="4">
        <v>140488.19</v>
      </c>
    </row>
    <row r="1320" s="1" customFormat="1" ht="14" spans="1:8">
      <c r="A1320" s="2">
        <v>3630010</v>
      </c>
      <c r="B1320" s="2" t="s">
        <v>1964</v>
      </c>
      <c r="C1320" s="3" t="s">
        <v>52</v>
      </c>
      <c r="D1320" s="4">
        <v>235.45</v>
      </c>
      <c r="E1320" s="4">
        <v>8.29</v>
      </c>
      <c r="F1320" s="4">
        <v>1951.85</v>
      </c>
      <c r="G1320" s="4">
        <v>8.29</v>
      </c>
      <c r="H1320" s="4">
        <v>1951.85</v>
      </c>
    </row>
    <row r="1321" s="1" customFormat="1" ht="14" spans="1:8">
      <c r="A1321" s="2">
        <v>3631010</v>
      </c>
      <c r="B1321" s="2" t="s">
        <v>1992</v>
      </c>
      <c r="C1321" s="3" t="s">
        <v>52</v>
      </c>
      <c r="D1321" s="4">
        <v>493.52</v>
      </c>
      <c r="E1321" s="4">
        <v>5.87</v>
      </c>
      <c r="F1321" s="4">
        <v>2897.11</v>
      </c>
      <c r="G1321" s="4">
        <v>5.87</v>
      </c>
      <c r="H1321" s="4">
        <v>2897.11</v>
      </c>
    </row>
    <row r="1322" s="1" customFormat="1" ht="14" spans="1:8">
      <c r="A1322" s="2">
        <v>3631011</v>
      </c>
      <c r="B1322" s="2" t="s">
        <v>1993</v>
      </c>
      <c r="C1322" s="3" t="s">
        <v>52</v>
      </c>
      <c r="D1322" s="4">
        <v>14924.1</v>
      </c>
      <c r="E1322" s="4">
        <v>6.49</v>
      </c>
      <c r="F1322" s="4">
        <v>96857.52</v>
      </c>
      <c r="G1322" s="4">
        <v>6.49</v>
      </c>
      <c r="H1322" s="4">
        <v>96857.52</v>
      </c>
    </row>
    <row r="1323" s="1" customFormat="1" ht="14" spans="1:8">
      <c r="A1323" s="2">
        <v>3634052</v>
      </c>
      <c r="B1323" s="2" t="s">
        <v>1994</v>
      </c>
      <c r="C1323" s="3" t="s">
        <v>52</v>
      </c>
      <c r="D1323" s="4">
        <v>0.4</v>
      </c>
      <c r="E1323" s="4">
        <v>54.95</v>
      </c>
      <c r="F1323" s="4">
        <v>21.98</v>
      </c>
      <c r="G1323" s="4">
        <v>54.95</v>
      </c>
      <c r="H1323" s="4">
        <v>21.98</v>
      </c>
    </row>
    <row r="1324" s="1" customFormat="1" ht="14" spans="1:8">
      <c r="A1324" s="2">
        <v>3640018</v>
      </c>
      <c r="B1324" s="2" t="s">
        <v>1995</v>
      </c>
      <c r="C1324" s="3" t="s">
        <v>52</v>
      </c>
      <c r="D1324" s="4">
        <v>0.59</v>
      </c>
      <c r="E1324" s="4">
        <v>8.88</v>
      </c>
      <c r="F1324" s="4">
        <v>5.27</v>
      </c>
      <c r="G1324" s="4">
        <v>8.88</v>
      </c>
      <c r="H1324" s="4">
        <v>5.27</v>
      </c>
    </row>
    <row r="1325" s="1" customFormat="1" ht="14" spans="1:8">
      <c r="A1325" s="2">
        <v>3643012</v>
      </c>
      <c r="B1325" s="2" t="s">
        <v>1996</v>
      </c>
      <c r="C1325" s="3" t="s">
        <v>52</v>
      </c>
      <c r="D1325" s="4">
        <v>43789.91</v>
      </c>
      <c r="E1325" s="4">
        <v>2.93</v>
      </c>
      <c r="F1325" s="4">
        <v>128304.48</v>
      </c>
      <c r="G1325" s="4">
        <v>2.93</v>
      </c>
      <c r="H1325" s="4">
        <v>128304.48</v>
      </c>
    </row>
    <row r="1326" s="1" customFormat="1" ht="14" spans="1:8">
      <c r="A1326" s="2">
        <v>3643013</v>
      </c>
      <c r="B1326" s="2" t="s">
        <v>1997</v>
      </c>
      <c r="C1326" s="3" t="s">
        <v>52</v>
      </c>
      <c r="D1326" s="4">
        <v>5214.18</v>
      </c>
      <c r="E1326" s="4">
        <v>3.6</v>
      </c>
      <c r="F1326" s="4">
        <v>18771.06</v>
      </c>
      <c r="G1326" s="4">
        <v>3.6</v>
      </c>
      <c r="H1326" s="4">
        <v>18771.06</v>
      </c>
    </row>
    <row r="1327" s="1" customFormat="1" ht="14" spans="1:8">
      <c r="A1327" s="2">
        <v>3647359</v>
      </c>
      <c r="B1327" s="2" t="s">
        <v>1998</v>
      </c>
      <c r="C1327" s="3" t="s">
        <v>824</v>
      </c>
      <c r="D1327" s="4">
        <v>46.02</v>
      </c>
      <c r="E1327" s="4">
        <v>63.59</v>
      </c>
      <c r="F1327" s="4">
        <v>2926.41</v>
      </c>
      <c r="G1327" s="4">
        <v>63.59</v>
      </c>
      <c r="H1327" s="4">
        <v>2926.41</v>
      </c>
    </row>
    <row r="1328" s="1" customFormat="1" ht="14" spans="1:8">
      <c r="A1328" s="2">
        <v>3647519</v>
      </c>
      <c r="B1328" s="2" t="s">
        <v>1999</v>
      </c>
      <c r="C1328" s="3" t="s">
        <v>843</v>
      </c>
      <c r="D1328" s="4">
        <v>1628.1</v>
      </c>
      <c r="E1328" s="4">
        <v>1.94</v>
      </c>
      <c r="F1328" s="4">
        <v>3158.52</v>
      </c>
      <c r="G1328" s="4">
        <v>1.94</v>
      </c>
      <c r="H1328" s="4">
        <v>3158.52</v>
      </c>
    </row>
    <row r="1329" s="1" customFormat="1" ht="14" spans="1:8">
      <c r="A1329" s="2">
        <v>3710013</v>
      </c>
      <c r="B1329" s="2" t="s">
        <v>2000</v>
      </c>
      <c r="C1329" s="3" t="s">
        <v>52</v>
      </c>
      <c r="D1329" s="4">
        <v>745507.68</v>
      </c>
      <c r="E1329" s="4">
        <v>5.19</v>
      </c>
      <c r="F1329" s="4">
        <v>3869185.03</v>
      </c>
      <c r="G1329" s="4">
        <v>5.19</v>
      </c>
      <c r="H1329" s="4">
        <v>3869185.03</v>
      </c>
    </row>
    <row r="1330" s="1" customFormat="1" ht="14" spans="1:8">
      <c r="A1330" s="2">
        <v>3711010</v>
      </c>
      <c r="B1330" s="2" t="s">
        <v>2001</v>
      </c>
      <c r="C1330" s="3" t="s">
        <v>52</v>
      </c>
      <c r="D1330" s="4">
        <v>2037.72</v>
      </c>
      <c r="E1330" s="4">
        <v>32.41</v>
      </c>
      <c r="F1330" s="4">
        <v>66042.54</v>
      </c>
      <c r="G1330" s="4">
        <v>32.41</v>
      </c>
      <c r="H1330" s="4">
        <v>66042.54</v>
      </c>
    </row>
    <row r="1331" s="1" customFormat="1" ht="14" spans="1:8">
      <c r="A1331" s="2">
        <v>3711012</v>
      </c>
      <c r="B1331" s="2" t="s">
        <v>2002</v>
      </c>
      <c r="C1331" s="3" t="s">
        <v>52</v>
      </c>
      <c r="D1331" s="4">
        <v>194.64</v>
      </c>
      <c r="E1331" s="4">
        <v>42.92</v>
      </c>
      <c r="F1331" s="4">
        <v>8353.39</v>
      </c>
      <c r="G1331" s="4">
        <v>42.92</v>
      </c>
      <c r="H1331" s="4">
        <v>8353.39</v>
      </c>
    </row>
    <row r="1332" s="1" customFormat="1" ht="14" spans="1:8">
      <c r="A1332" s="2">
        <v>3711013</v>
      </c>
      <c r="B1332" s="2" t="s">
        <v>2003</v>
      </c>
      <c r="C1332" s="3" t="s">
        <v>52</v>
      </c>
      <c r="D1332" s="4">
        <v>4356.13</v>
      </c>
      <c r="E1332" s="4">
        <v>63.76</v>
      </c>
      <c r="F1332" s="4">
        <v>277746.88</v>
      </c>
      <c r="G1332" s="4">
        <v>63.76</v>
      </c>
      <c r="H1332" s="4">
        <v>277746.88</v>
      </c>
    </row>
    <row r="1333" s="1" customFormat="1" ht="14" spans="1:8">
      <c r="A1333" s="2">
        <v>3711014</v>
      </c>
      <c r="B1333" s="2" t="s">
        <v>2004</v>
      </c>
      <c r="C1333" s="3" t="s">
        <v>52</v>
      </c>
      <c r="D1333" s="4">
        <v>433</v>
      </c>
      <c r="E1333" s="4">
        <v>28.81</v>
      </c>
      <c r="F1333" s="4">
        <v>12474.74</v>
      </c>
      <c r="G1333" s="4">
        <v>28.81</v>
      </c>
      <c r="H1333" s="4">
        <v>12474.74</v>
      </c>
    </row>
    <row r="1334" s="1" customFormat="1" ht="14" spans="1:8">
      <c r="A1334" s="2">
        <v>3711017</v>
      </c>
      <c r="B1334" s="2" t="s">
        <v>2005</v>
      </c>
      <c r="C1334" s="3" t="s">
        <v>52</v>
      </c>
      <c r="D1334" s="4">
        <v>118.38</v>
      </c>
      <c r="E1334" s="4">
        <v>10.66</v>
      </c>
      <c r="F1334" s="4">
        <v>1261.92</v>
      </c>
      <c r="G1334" s="4">
        <v>10.66</v>
      </c>
      <c r="H1334" s="4">
        <v>1261.92</v>
      </c>
    </row>
    <row r="1335" s="1" customFormat="1" ht="14" spans="1:8">
      <c r="A1335" s="2">
        <v>3711018</v>
      </c>
      <c r="B1335" s="2" t="s">
        <v>2006</v>
      </c>
      <c r="C1335" s="3" t="s">
        <v>52</v>
      </c>
      <c r="D1335" s="4">
        <v>194.9</v>
      </c>
      <c r="E1335" s="4">
        <v>94.32</v>
      </c>
      <c r="F1335" s="4">
        <v>18382.98</v>
      </c>
      <c r="G1335" s="4">
        <v>94.32</v>
      </c>
      <c r="H1335" s="4">
        <v>18382.98</v>
      </c>
    </row>
    <row r="1336" s="1" customFormat="1" ht="14" spans="1:8">
      <c r="A1336" s="2">
        <v>3711019</v>
      </c>
      <c r="B1336" s="2" t="s">
        <v>2007</v>
      </c>
      <c r="C1336" s="3" t="s">
        <v>52</v>
      </c>
      <c r="D1336" s="4">
        <v>194.9</v>
      </c>
      <c r="E1336" s="4">
        <v>68.6</v>
      </c>
      <c r="F1336" s="4">
        <v>13370.14</v>
      </c>
      <c r="G1336" s="4">
        <v>68.6</v>
      </c>
      <c r="H1336" s="4">
        <v>13370.14</v>
      </c>
    </row>
    <row r="1337" s="1" customFormat="1" ht="14" spans="1:8">
      <c r="A1337" s="2">
        <v>3711021</v>
      </c>
      <c r="B1337" s="2" t="s">
        <v>2008</v>
      </c>
      <c r="C1337" s="3" t="s">
        <v>52</v>
      </c>
      <c r="D1337" s="4">
        <v>8929.22</v>
      </c>
      <c r="E1337" s="4">
        <v>4.64</v>
      </c>
      <c r="F1337" s="4">
        <v>41431.65</v>
      </c>
      <c r="G1337" s="4">
        <v>4.64</v>
      </c>
      <c r="H1337" s="4">
        <v>41431.65</v>
      </c>
    </row>
    <row r="1338" s="1" customFormat="1" ht="14" spans="1:8">
      <c r="A1338" s="2">
        <v>3713010</v>
      </c>
      <c r="B1338" s="2" t="s">
        <v>2009</v>
      </c>
      <c r="C1338" s="3" t="s">
        <v>52</v>
      </c>
      <c r="D1338" s="4">
        <v>2507.37</v>
      </c>
      <c r="E1338" s="4">
        <v>55.31</v>
      </c>
      <c r="F1338" s="4">
        <v>138682.66</v>
      </c>
      <c r="G1338" s="4">
        <v>55.31</v>
      </c>
      <c r="H1338" s="4">
        <v>138682.66</v>
      </c>
    </row>
    <row r="1339" s="1" customFormat="1" ht="14" spans="1:8">
      <c r="A1339" s="2">
        <v>3713012</v>
      </c>
      <c r="B1339" s="2" t="s">
        <v>2010</v>
      </c>
      <c r="C1339" s="3" t="s">
        <v>52</v>
      </c>
      <c r="D1339" s="4">
        <v>745.53</v>
      </c>
      <c r="E1339" s="4">
        <v>76.46</v>
      </c>
      <c r="F1339" s="4">
        <v>57002.82</v>
      </c>
      <c r="G1339" s="4">
        <v>76.46</v>
      </c>
      <c r="H1339" s="4">
        <v>57002.82</v>
      </c>
    </row>
    <row r="1340" s="1" customFormat="1" ht="14" spans="1:8">
      <c r="A1340" s="2">
        <v>3713014</v>
      </c>
      <c r="B1340" s="2" t="s">
        <v>2011</v>
      </c>
      <c r="C1340" s="3" t="s">
        <v>1903</v>
      </c>
      <c r="D1340" s="4">
        <v>545.88</v>
      </c>
      <c r="E1340" s="4">
        <v>17.15</v>
      </c>
      <c r="F1340" s="4">
        <v>9361.96</v>
      </c>
      <c r="G1340" s="4">
        <v>17.15</v>
      </c>
      <c r="H1340" s="4">
        <v>9361.96</v>
      </c>
    </row>
    <row r="1341" s="1" customFormat="1" ht="14" spans="1:8">
      <c r="A1341" s="2">
        <v>3714015</v>
      </c>
      <c r="B1341" s="2" t="s">
        <v>2012</v>
      </c>
      <c r="C1341" s="3" t="s">
        <v>52</v>
      </c>
      <c r="D1341" s="4">
        <v>194.9</v>
      </c>
      <c r="E1341" s="4">
        <v>50.22</v>
      </c>
      <c r="F1341" s="4">
        <v>9787.89</v>
      </c>
      <c r="G1341" s="4">
        <v>50.22</v>
      </c>
      <c r="H1341" s="4">
        <v>9787.89</v>
      </c>
    </row>
    <row r="1342" s="1" customFormat="1" ht="14" spans="1:8">
      <c r="A1342" s="2">
        <v>3714017</v>
      </c>
      <c r="B1342" s="2" t="s">
        <v>2013</v>
      </c>
      <c r="C1342" s="3" t="s">
        <v>876</v>
      </c>
      <c r="D1342" s="4">
        <v>157.83</v>
      </c>
      <c r="E1342" s="4">
        <v>740.88</v>
      </c>
      <c r="F1342" s="4">
        <v>116931.61</v>
      </c>
      <c r="G1342" s="4">
        <v>740.88</v>
      </c>
      <c r="H1342" s="4">
        <v>116931.61</v>
      </c>
    </row>
    <row r="1343" s="1" customFormat="1" ht="14" spans="1:8">
      <c r="A1343" s="2">
        <v>3714018</v>
      </c>
      <c r="B1343" s="2" t="s">
        <v>2014</v>
      </c>
      <c r="C1343" s="3" t="s">
        <v>52</v>
      </c>
      <c r="D1343" s="4">
        <v>19.04</v>
      </c>
      <c r="E1343" s="4">
        <v>10.68</v>
      </c>
      <c r="F1343" s="4">
        <v>203.24</v>
      </c>
      <c r="G1343" s="4">
        <v>10.68</v>
      </c>
      <c r="H1343" s="4">
        <v>203.24</v>
      </c>
    </row>
    <row r="1344" s="1" customFormat="1" ht="14" spans="1:8">
      <c r="A1344" s="2">
        <v>3714020</v>
      </c>
      <c r="B1344" s="2" t="s">
        <v>2015</v>
      </c>
      <c r="C1344" s="3" t="s">
        <v>52</v>
      </c>
      <c r="D1344" s="4">
        <v>472.84</v>
      </c>
      <c r="E1344" s="4">
        <v>6.86</v>
      </c>
      <c r="F1344" s="4">
        <v>3243.7</v>
      </c>
      <c r="G1344" s="4">
        <v>6.86</v>
      </c>
      <c r="H1344" s="4">
        <v>3243.7</v>
      </c>
    </row>
    <row r="1345" s="1" customFormat="1" ht="14" spans="1:8">
      <c r="A1345" s="2">
        <v>3714021</v>
      </c>
      <c r="B1345" s="2" t="s">
        <v>2016</v>
      </c>
      <c r="C1345" s="3" t="s">
        <v>876</v>
      </c>
      <c r="D1345" s="4">
        <v>475.64</v>
      </c>
      <c r="E1345" s="4">
        <v>60.89</v>
      </c>
      <c r="F1345" s="4">
        <v>28961.85</v>
      </c>
      <c r="G1345" s="4">
        <v>60.89</v>
      </c>
      <c r="H1345" s="4">
        <v>28961.85</v>
      </c>
    </row>
    <row r="1346" s="1" customFormat="1" ht="14" spans="1:8">
      <c r="A1346" s="2">
        <v>3714022</v>
      </c>
      <c r="B1346" s="2" t="s">
        <v>2017</v>
      </c>
      <c r="C1346" s="3" t="s">
        <v>876</v>
      </c>
      <c r="D1346" s="4">
        <v>27590.98</v>
      </c>
      <c r="E1346" s="4">
        <v>90.28</v>
      </c>
      <c r="F1346" s="4">
        <v>2490913.12</v>
      </c>
      <c r="G1346" s="4">
        <v>90.28</v>
      </c>
      <c r="H1346" s="4">
        <v>2490913.12</v>
      </c>
    </row>
    <row r="1347" s="1" customFormat="1" ht="14" spans="1:8">
      <c r="A1347" s="2">
        <v>3714023</v>
      </c>
      <c r="B1347" s="2" t="s">
        <v>2018</v>
      </c>
      <c r="C1347" s="3" t="s">
        <v>2019</v>
      </c>
      <c r="D1347" s="4">
        <v>48.64</v>
      </c>
      <c r="E1347" s="4">
        <v>85.28</v>
      </c>
      <c r="F1347" s="4">
        <v>4147.51</v>
      </c>
      <c r="G1347" s="4">
        <v>85.28</v>
      </c>
      <c r="H1347" s="4">
        <v>4147.51</v>
      </c>
    </row>
    <row r="1348" s="1" customFormat="1" ht="14" spans="1:8">
      <c r="A1348" s="2">
        <v>3812008</v>
      </c>
      <c r="B1348" s="2" t="s">
        <v>2020</v>
      </c>
      <c r="C1348" s="3" t="s">
        <v>824</v>
      </c>
      <c r="D1348" s="4">
        <v>7</v>
      </c>
      <c r="E1348" s="4">
        <v>497.35</v>
      </c>
      <c r="F1348" s="4">
        <v>3481.45</v>
      </c>
      <c r="G1348" s="4">
        <v>497.35</v>
      </c>
      <c r="H1348" s="4">
        <v>3481.45</v>
      </c>
    </row>
    <row r="1349" s="1" customFormat="1" ht="14" spans="1:8">
      <c r="A1349" s="2">
        <v>3812009</v>
      </c>
      <c r="B1349" s="2" t="s">
        <v>2021</v>
      </c>
      <c r="C1349" s="3" t="s">
        <v>824</v>
      </c>
      <c r="D1349" s="4">
        <v>116</v>
      </c>
      <c r="E1349" s="4">
        <v>576.4</v>
      </c>
      <c r="F1349" s="4">
        <v>66862.4</v>
      </c>
      <c r="G1349" s="4">
        <v>576.4</v>
      </c>
      <c r="H1349" s="4">
        <v>66862.4</v>
      </c>
    </row>
    <row r="1350" s="1" customFormat="1" ht="14" spans="1:8">
      <c r="A1350" s="2">
        <v>3812013</v>
      </c>
      <c r="B1350" s="2" t="s">
        <v>2022</v>
      </c>
      <c r="C1350" s="3" t="s">
        <v>824</v>
      </c>
      <c r="D1350" s="4">
        <v>15</v>
      </c>
      <c r="E1350" s="4">
        <v>743.12</v>
      </c>
      <c r="F1350" s="4">
        <v>11146.8</v>
      </c>
      <c r="G1350" s="4">
        <v>743.12</v>
      </c>
      <c r="H1350" s="4">
        <v>11146.8</v>
      </c>
    </row>
    <row r="1351" s="1" customFormat="1" ht="14" spans="1:8">
      <c r="A1351" s="2">
        <v>3812110</v>
      </c>
      <c r="B1351" s="2" t="s">
        <v>2023</v>
      </c>
      <c r="C1351" s="3" t="s">
        <v>876</v>
      </c>
      <c r="D1351" s="4">
        <v>15</v>
      </c>
      <c r="E1351" s="4">
        <v>598.62</v>
      </c>
      <c r="F1351" s="4">
        <v>8979.3</v>
      </c>
      <c r="G1351" s="4">
        <v>598.62</v>
      </c>
      <c r="H1351" s="4">
        <v>8979.3</v>
      </c>
    </row>
    <row r="1352" s="1" customFormat="1" ht="14" spans="1:8">
      <c r="A1352" s="2">
        <v>3812112</v>
      </c>
      <c r="B1352" s="2" t="s">
        <v>2024</v>
      </c>
      <c r="C1352" s="3" t="s">
        <v>824</v>
      </c>
      <c r="D1352" s="4">
        <v>109</v>
      </c>
      <c r="E1352" s="4">
        <v>42.1</v>
      </c>
      <c r="F1352" s="4">
        <v>4588.9</v>
      </c>
      <c r="G1352" s="4">
        <v>42.1</v>
      </c>
      <c r="H1352" s="4">
        <v>4588.9</v>
      </c>
    </row>
    <row r="1353" s="1" customFormat="1" ht="14" spans="1:8">
      <c r="A1353" s="2">
        <v>3813010</v>
      </c>
      <c r="B1353" s="2" t="s">
        <v>2025</v>
      </c>
      <c r="C1353" s="3" t="s">
        <v>472</v>
      </c>
      <c r="D1353" s="4">
        <v>30</v>
      </c>
      <c r="E1353" s="4">
        <v>32.77</v>
      </c>
      <c r="F1353" s="4">
        <v>983.1</v>
      </c>
      <c r="G1353" s="4">
        <v>32.77</v>
      </c>
      <c r="H1353" s="4">
        <v>983.1</v>
      </c>
    </row>
    <row r="1354" s="1" customFormat="1" ht="14" spans="1:8">
      <c r="A1354" s="2">
        <v>3813011</v>
      </c>
      <c r="B1354" s="2" t="s">
        <v>2026</v>
      </c>
      <c r="C1354" s="3" t="s">
        <v>472</v>
      </c>
      <c r="D1354" s="4">
        <v>375</v>
      </c>
      <c r="E1354" s="4">
        <v>35.29</v>
      </c>
      <c r="F1354" s="4">
        <v>13233.75</v>
      </c>
      <c r="G1354" s="4">
        <v>35.29</v>
      </c>
      <c r="H1354" s="4">
        <v>13233.75</v>
      </c>
    </row>
    <row r="1355" s="1" customFormat="1" ht="14" spans="1:8">
      <c r="A1355" s="2">
        <v>3813111</v>
      </c>
      <c r="B1355" s="2" t="s">
        <v>2027</v>
      </c>
      <c r="C1355" s="3" t="s">
        <v>1172</v>
      </c>
      <c r="D1355" s="4">
        <v>15</v>
      </c>
      <c r="E1355" s="4">
        <v>28.9</v>
      </c>
      <c r="F1355" s="4">
        <v>433.5</v>
      </c>
      <c r="G1355" s="4">
        <v>28.9</v>
      </c>
      <c r="H1355" s="4">
        <v>433.5</v>
      </c>
    </row>
    <row r="1356" s="1" customFormat="1" ht="14" spans="1:8">
      <c r="A1356" s="2">
        <v>3910010</v>
      </c>
      <c r="B1356" s="2" t="s">
        <v>2028</v>
      </c>
      <c r="C1356" s="3" t="s">
        <v>1019</v>
      </c>
      <c r="D1356" s="4">
        <v>8.53</v>
      </c>
      <c r="E1356" s="4">
        <v>23.92</v>
      </c>
      <c r="F1356" s="4">
        <v>203.53</v>
      </c>
      <c r="G1356" s="4">
        <v>23.92</v>
      </c>
      <c r="H1356" s="4">
        <v>203.53</v>
      </c>
    </row>
    <row r="1357" s="1" customFormat="1" ht="14" spans="1:8">
      <c r="A1357" s="2">
        <v>3910014</v>
      </c>
      <c r="B1357" s="2" t="s">
        <v>2029</v>
      </c>
      <c r="C1357" s="3" t="s">
        <v>1019</v>
      </c>
      <c r="D1357" s="4">
        <v>267</v>
      </c>
      <c r="E1357" s="4">
        <v>349.92</v>
      </c>
      <c r="F1357" s="4">
        <v>93428.64</v>
      </c>
      <c r="G1357" s="4">
        <v>349.92</v>
      </c>
      <c r="H1357" s="4">
        <v>93428.64</v>
      </c>
    </row>
    <row r="1358" s="1" customFormat="1" ht="14" spans="1:8">
      <c r="A1358" s="2">
        <v>3910020</v>
      </c>
      <c r="B1358" s="2" t="s">
        <v>2030</v>
      </c>
      <c r="C1358" s="3" t="s">
        <v>876</v>
      </c>
      <c r="D1358" s="4">
        <v>206</v>
      </c>
      <c r="E1358" s="4">
        <v>15.96</v>
      </c>
      <c r="F1358" s="4">
        <v>3287.76</v>
      </c>
      <c r="G1358" s="4">
        <v>15.96</v>
      </c>
      <c r="H1358" s="4">
        <v>3287.76</v>
      </c>
    </row>
    <row r="1359" s="1" customFormat="1" ht="14" spans="1:8">
      <c r="A1359" s="2">
        <v>3910067</v>
      </c>
      <c r="B1359" s="2" t="s">
        <v>2031</v>
      </c>
      <c r="C1359" s="3" t="s">
        <v>824</v>
      </c>
      <c r="D1359" s="4">
        <v>21.21</v>
      </c>
      <c r="E1359" s="4">
        <v>97.75</v>
      </c>
      <c r="F1359" s="4">
        <v>2073.28</v>
      </c>
      <c r="G1359" s="4">
        <v>97.75</v>
      </c>
      <c r="H1359" s="4">
        <v>2073.28</v>
      </c>
    </row>
    <row r="1360" s="1" customFormat="1" ht="14" spans="1:8">
      <c r="A1360" s="2">
        <v>3910079</v>
      </c>
      <c r="B1360" s="2" t="s">
        <v>2032</v>
      </c>
      <c r="C1360" s="3" t="s">
        <v>824</v>
      </c>
      <c r="D1360" s="4">
        <v>2</v>
      </c>
      <c r="E1360" s="4">
        <v>217.02</v>
      </c>
      <c r="F1360" s="4">
        <v>434.04</v>
      </c>
      <c r="G1360" s="4">
        <v>217.02</v>
      </c>
      <c r="H1360" s="4">
        <v>434.04</v>
      </c>
    </row>
    <row r="1361" s="1" customFormat="1" ht="14" spans="1:8">
      <c r="A1361" s="2">
        <v>3910080</v>
      </c>
      <c r="B1361" s="2" t="s">
        <v>2033</v>
      </c>
      <c r="C1361" s="3" t="s">
        <v>824</v>
      </c>
      <c r="D1361" s="4">
        <v>1</v>
      </c>
      <c r="E1361" s="4">
        <v>488.77</v>
      </c>
      <c r="F1361" s="4">
        <v>488.77</v>
      </c>
      <c r="G1361" s="4">
        <v>488.77</v>
      </c>
      <c r="H1361" s="4">
        <v>488.77</v>
      </c>
    </row>
    <row r="1362" s="1" customFormat="1" ht="14" spans="1:8">
      <c r="A1362" s="2">
        <v>3911012</v>
      </c>
      <c r="B1362" s="2" t="s">
        <v>2034</v>
      </c>
      <c r="C1362" s="3" t="s">
        <v>1019</v>
      </c>
      <c r="D1362" s="4">
        <v>28</v>
      </c>
      <c r="E1362" s="4">
        <v>42.62</v>
      </c>
      <c r="F1362" s="4">
        <v>1193.36</v>
      </c>
      <c r="G1362" s="4">
        <v>42.62</v>
      </c>
      <c r="H1362" s="4">
        <v>1193.36</v>
      </c>
    </row>
    <row r="1363" s="1" customFormat="1" ht="14" spans="1:8">
      <c r="A1363" s="2">
        <v>3911014</v>
      </c>
      <c r="B1363" s="2" t="s">
        <v>2035</v>
      </c>
      <c r="C1363" s="3" t="s">
        <v>1019</v>
      </c>
      <c r="D1363" s="4">
        <v>9</v>
      </c>
      <c r="E1363" s="4">
        <v>85.41</v>
      </c>
      <c r="F1363" s="4">
        <v>768.69</v>
      </c>
      <c r="G1363" s="4">
        <v>85.41</v>
      </c>
      <c r="H1363" s="4">
        <v>768.69</v>
      </c>
    </row>
    <row r="1364" s="1" customFormat="1" ht="14" spans="1:8">
      <c r="A1364" s="2">
        <v>3911015</v>
      </c>
      <c r="B1364" s="2" t="s">
        <v>2036</v>
      </c>
      <c r="C1364" s="3" t="s">
        <v>1019</v>
      </c>
      <c r="D1364" s="4">
        <v>34</v>
      </c>
      <c r="E1364" s="4">
        <v>105.44</v>
      </c>
      <c r="F1364" s="4">
        <v>3584.96</v>
      </c>
      <c r="G1364" s="4">
        <v>105.44</v>
      </c>
      <c r="H1364" s="4">
        <v>3584.96</v>
      </c>
    </row>
    <row r="1365" s="1" customFormat="1" ht="14" spans="1:8">
      <c r="A1365" s="2">
        <v>3912011</v>
      </c>
      <c r="B1365" s="2" t="s">
        <v>2037</v>
      </c>
      <c r="C1365" s="3" t="s">
        <v>1019</v>
      </c>
      <c r="D1365" s="4">
        <v>87</v>
      </c>
      <c r="E1365" s="4">
        <v>325.85</v>
      </c>
      <c r="F1365" s="4">
        <v>28348.95</v>
      </c>
      <c r="G1365" s="4">
        <v>325.85</v>
      </c>
      <c r="H1365" s="4">
        <v>28348.95</v>
      </c>
    </row>
    <row r="1366" s="1" customFormat="1" ht="14" spans="1:8">
      <c r="A1366" s="2">
        <v>3912012</v>
      </c>
      <c r="B1366" s="2" t="s">
        <v>2038</v>
      </c>
      <c r="C1366" s="3" t="s">
        <v>1019</v>
      </c>
      <c r="D1366" s="4">
        <v>2</v>
      </c>
      <c r="E1366" s="4">
        <v>459.55</v>
      </c>
      <c r="F1366" s="4">
        <v>919.1</v>
      </c>
      <c r="G1366" s="4">
        <v>459.55</v>
      </c>
      <c r="H1366" s="4">
        <v>919.1</v>
      </c>
    </row>
    <row r="1367" s="1" customFormat="1" ht="14" spans="1:8">
      <c r="A1367" s="2">
        <v>3913010</v>
      </c>
      <c r="B1367" s="2" t="s">
        <v>2039</v>
      </c>
      <c r="C1367" s="3" t="s">
        <v>824</v>
      </c>
      <c r="D1367" s="4">
        <v>298</v>
      </c>
      <c r="E1367" s="4">
        <v>0.32</v>
      </c>
      <c r="F1367" s="4">
        <v>95.36</v>
      </c>
      <c r="G1367" s="4">
        <v>0.32</v>
      </c>
      <c r="H1367" s="4">
        <v>95.36</v>
      </c>
    </row>
    <row r="1368" s="1" customFormat="1" ht="14" spans="1:8">
      <c r="A1368" s="2">
        <v>4020015</v>
      </c>
      <c r="B1368" s="2" t="s">
        <v>2040</v>
      </c>
      <c r="C1368" s="3" t="s">
        <v>824</v>
      </c>
      <c r="D1368" s="4">
        <v>9339.31</v>
      </c>
      <c r="E1368" s="4">
        <v>21</v>
      </c>
      <c r="F1368" s="4">
        <v>196125.53</v>
      </c>
      <c r="G1368" s="4">
        <v>21</v>
      </c>
      <c r="H1368" s="4">
        <v>196125.53</v>
      </c>
    </row>
    <row r="1369" s="1" customFormat="1" ht="14" spans="1:8">
      <c r="A1369" s="2">
        <v>4020016</v>
      </c>
      <c r="B1369" s="2" t="s">
        <v>2041</v>
      </c>
      <c r="C1369" s="3" t="s">
        <v>824</v>
      </c>
      <c r="D1369" s="4">
        <v>1005.73</v>
      </c>
      <c r="E1369" s="4">
        <v>64.1</v>
      </c>
      <c r="F1369" s="4">
        <v>64466.98</v>
      </c>
      <c r="G1369" s="4">
        <v>64.1</v>
      </c>
      <c r="H1369" s="4">
        <v>64466.98</v>
      </c>
    </row>
    <row r="1370" s="1" customFormat="1" ht="14" spans="1:8">
      <c r="A1370" s="2">
        <v>4020018</v>
      </c>
      <c r="B1370" s="2" t="s">
        <v>2042</v>
      </c>
      <c r="C1370" s="3" t="s">
        <v>824</v>
      </c>
      <c r="D1370" s="4">
        <v>405.38</v>
      </c>
      <c r="E1370" s="4">
        <v>305.53</v>
      </c>
      <c r="F1370" s="4">
        <v>123855.74</v>
      </c>
      <c r="G1370" s="4">
        <v>305.53</v>
      </c>
      <c r="H1370" s="4">
        <v>123855.74</v>
      </c>
    </row>
    <row r="1371" s="1" customFormat="1" ht="14" spans="1:8">
      <c r="A1371" s="2">
        <v>4020020</v>
      </c>
      <c r="B1371" s="2" t="s">
        <v>2043</v>
      </c>
      <c r="C1371" s="3" t="s">
        <v>824</v>
      </c>
      <c r="D1371" s="4">
        <v>1.56</v>
      </c>
      <c r="E1371" s="4">
        <v>3486.83</v>
      </c>
      <c r="F1371" s="4">
        <v>5439.47</v>
      </c>
      <c r="G1371" s="4">
        <v>3486.83</v>
      </c>
      <c r="H1371" s="4">
        <v>5439.47</v>
      </c>
    </row>
    <row r="1372" s="1" customFormat="1" ht="28" spans="1:8">
      <c r="A1372" s="2">
        <v>4020023</v>
      </c>
      <c r="B1372" s="2" t="s">
        <v>2044</v>
      </c>
      <c r="C1372" s="3" t="s">
        <v>1484</v>
      </c>
      <c r="D1372" s="4">
        <v>17.21</v>
      </c>
      <c r="E1372" s="4">
        <v>56964.53</v>
      </c>
      <c r="F1372" s="4">
        <v>980359.57</v>
      </c>
      <c r="G1372" s="4">
        <v>56964.53</v>
      </c>
      <c r="H1372" s="4">
        <v>980359.57</v>
      </c>
    </row>
    <row r="1373" s="1" customFormat="1" ht="14" spans="1:8">
      <c r="A1373" s="2">
        <v>4020024</v>
      </c>
      <c r="B1373" s="2" t="s">
        <v>2045</v>
      </c>
      <c r="C1373" s="3" t="s">
        <v>824</v>
      </c>
      <c r="D1373" s="4">
        <v>110.88</v>
      </c>
      <c r="E1373" s="4">
        <v>126.07</v>
      </c>
      <c r="F1373" s="4">
        <v>13978.64</v>
      </c>
      <c r="G1373" s="4">
        <v>126.07</v>
      </c>
      <c r="H1373" s="4">
        <v>13978.64</v>
      </c>
    </row>
    <row r="1374" s="1" customFormat="1" ht="28" spans="1:8">
      <c r="A1374" s="2">
        <v>4020109</v>
      </c>
      <c r="B1374" s="2" t="s">
        <v>2046</v>
      </c>
      <c r="C1374" s="3" t="s">
        <v>725</v>
      </c>
      <c r="D1374" s="4">
        <v>17.21</v>
      </c>
      <c r="E1374" s="4">
        <v>1736.72</v>
      </c>
      <c r="F1374" s="4">
        <v>29888.95</v>
      </c>
      <c r="G1374" s="4">
        <v>1736.72</v>
      </c>
      <c r="H1374" s="4">
        <v>29888.95</v>
      </c>
    </row>
    <row r="1375" s="1" customFormat="1" ht="14" spans="1:8">
      <c r="A1375" s="2">
        <v>4020111</v>
      </c>
      <c r="B1375" s="2" t="s">
        <v>2047</v>
      </c>
      <c r="C1375" s="3" t="s">
        <v>52</v>
      </c>
      <c r="D1375" s="4">
        <v>4710.19</v>
      </c>
      <c r="E1375" s="4">
        <v>38.38</v>
      </c>
      <c r="F1375" s="4">
        <v>180777.11</v>
      </c>
      <c r="G1375" s="4">
        <v>38.38</v>
      </c>
      <c r="H1375" s="4">
        <v>180777.11</v>
      </c>
    </row>
    <row r="1376" s="1" customFormat="1" ht="14" spans="1:8">
      <c r="A1376" s="2">
        <v>4020112</v>
      </c>
      <c r="B1376" s="2" t="s">
        <v>2048</v>
      </c>
      <c r="C1376" s="3" t="s">
        <v>1235</v>
      </c>
      <c r="D1376" s="4">
        <v>24.5</v>
      </c>
      <c r="E1376" s="4">
        <v>8.51</v>
      </c>
      <c r="F1376" s="4">
        <v>208.46</v>
      </c>
      <c r="G1376" s="4">
        <v>8.51</v>
      </c>
      <c r="H1376" s="4">
        <v>208.46</v>
      </c>
    </row>
    <row r="1377" s="1" customFormat="1" ht="14" spans="1:8">
      <c r="A1377" s="2">
        <v>4020113</v>
      </c>
      <c r="B1377" s="2" t="s">
        <v>2049</v>
      </c>
      <c r="C1377" s="3" t="s">
        <v>1235</v>
      </c>
      <c r="D1377" s="4">
        <v>358.1</v>
      </c>
      <c r="E1377" s="4">
        <v>16.68</v>
      </c>
      <c r="F1377" s="4">
        <v>5973.11</v>
      </c>
      <c r="G1377" s="4">
        <v>16.68</v>
      </c>
      <c r="H1377" s="4">
        <v>5973.11</v>
      </c>
    </row>
    <row r="1378" s="1" customFormat="1" ht="14" spans="1:8">
      <c r="A1378" s="2">
        <v>4020114</v>
      </c>
      <c r="B1378" s="2" t="s">
        <v>2050</v>
      </c>
      <c r="C1378" s="3" t="s">
        <v>1235</v>
      </c>
      <c r="D1378" s="4">
        <v>2520.7</v>
      </c>
      <c r="E1378" s="4">
        <v>8.83</v>
      </c>
      <c r="F1378" s="4">
        <v>22257.71</v>
      </c>
      <c r="G1378" s="4">
        <v>8.83</v>
      </c>
      <c r="H1378" s="4">
        <v>22257.71</v>
      </c>
    </row>
    <row r="1379" s="1" customFormat="1" ht="14" spans="1:8">
      <c r="A1379" s="2">
        <v>4020115</v>
      </c>
      <c r="B1379" s="2" t="s">
        <v>2051</v>
      </c>
      <c r="C1379" s="3" t="s">
        <v>1235</v>
      </c>
      <c r="D1379" s="4">
        <v>282.87</v>
      </c>
      <c r="E1379" s="4">
        <v>12.26</v>
      </c>
      <c r="F1379" s="4">
        <v>3467.73</v>
      </c>
      <c r="G1379" s="4">
        <v>12.26</v>
      </c>
      <c r="H1379" s="4">
        <v>3467.73</v>
      </c>
    </row>
    <row r="1380" s="1" customFormat="1" ht="14" spans="1:8">
      <c r="A1380" s="2">
        <v>4020116</v>
      </c>
      <c r="B1380" s="2" t="s">
        <v>2052</v>
      </c>
      <c r="C1380" s="3" t="s">
        <v>824</v>
      </c>
      <c r="D1380" s="4">
        <v>1077.5</v>
      </c>
      <c r="E1380" s="4">
        <v>60.14</v>
      </c>
      <c r="F1380" s="4">
        <v>64801.27</v>
      </c>
      <c r="G1380" s="4">
        <v>60.14</v>
      </c>
      <c r="H1380" s="4">
        <v>64801.27</v>
      </c>
    </row>
    <row r="1381" s="1" customFormat="1" ht="14" spans="1:8">
      <c r="A1381" s="2">
        <v>4020117</v>
      </c>
      <c r="B1381" s="2" t="s">
        <v>2053</v>
      </c>
      <c r="C1381" s="3" t="s">
        <v>52</v>
      </c>
      <c r="D1381" s="4">
        <v>682.5</v>
      </c>
      <c r="E1381" s="4">
        <v>132.28</v>
      </c>
      <c r="F1381" s="4">
        <v>90281.1</v>
      </c>
      <c r="G1381" s="4">
        <v>132.28</v>
      </c>
      <c r="H1381" s="4">
        <v>90281.1</v>
      </c>
    </row>
    <row r="1382" s="1" customFormat="1" ht="14" spans="1:8">
      <c r="A1382" s="2">
        <v>4020118</v>
      </c>
      <c r="B1382" s="2" t="s">
        <v>2054</v>
      </c>
      <c r="C1382" s="3" t="s">
        <v>824</v>
      </c>
      <c r="D1382" s="4">
        <v>21575.38</v>
      </c>
      <c r="E1382" s="4">
        <v>11.58</v>
      </c>
      <c r="F1382" s="4">
        <v>249842.91</v>
      </c>
      <c r="G1382" s="4">
        <v>11.58</v>
      </c>
      <c r="H1382" s="4">
        <v>249842.91</v>
      </c>
    </row>
    <row r="1383" s="1" customFormat="1" ht="14" spans="1:8">
      <c r="A1383" s="2">
        <v>4020119</v>
      </c>
      <c r="B1383" s="2" t="s">
        <v>2055</v>
      </c>
      <c r="C1383" s="3" t="s">
        <v>824</v>
      </c>
      <c r="D1383" s="4">
        <v>36002.34</v>
      </c>
      <c r="E1383" s="4">
        <v>15.42</v>
      </c>
      <c r="F1383" s="4">
        <v>555156.14</v>
      </c>
      <c r="G1383" s="4">
        <v>15.42</v>
      </c>
      <c r="H1383" s="4">
        <v>555156.14</v>
      </c>
    </row>
    <row r="1384" s="1" customFormat="1" ht="14" spans="1:8">
      <c r="A1384" s="2">
        <v>4020201</v>
      </c>
      <c r="B1384" s="2" t="s">
        <v>2056</v>
      </c>
      <c r="C1384" s="3" t="s">
        <v>824</v>
      </c>
      <c r="D1384" s="4">
        <v>2732.91</v>
      </c>
      <c r="E1384" s="4">
        <v>235.38</v>
      </c>
      <c r="F1384" s="4">
        <v>643271.88</v>
      </c>
      <c r="G1384" s="4">
        <v>235.38</v>
      </c>
      <c r="H1384" s="4">
        <v>643271.88</v>
      </c>
    </row>
    <row r="1385" s="1" customFormat="1" ht="14" spans="1:8">
      <c r="A1385" s="2">
        <v>4020202</v>
      </c>
      <c r="B1385" s="2" t="s">
        <v>2057</v>
      </c>
      <c r="C1385" s="3" t="s">
        <v>824</v>
      </c>
      <c r="D1385" s="4">
        <v>252.58</v>
      </c>
      <c r="E1385" s="4">
        <v>138.91</v>
      </c>
      <c r="F1385" s="4">
        <v>35086.45</v>
      </c>
      <c r="G1385" s="4">
        <v>138.91</v>
      </c>
      <c r="H1385" s="4">
        <v>35086.45</v>
      </c>
    </row>
    <row r="1386" s="1" customFormat="1" ht="14" spans="1:8">
      <c r="A1386" s="2">
        <v>4020203</v>
      </c>
      <c r="B1386" s="2" t="s">
        <v>2058</v>
      </c>
      <c r="C1386" s="3" t="s">
        <v>797</v>
      </c>
      <c r="D1386" s="4">
        <v>127.85</v>
      </c>
      <c r="E1386" s="4">
        <v>1311.97</v>
      </c>
      <c r="F1386" s="4">
        <v>167728.8</v>
      </c>
      <c r="G1386" s="4">
        <v>1311.97</v>
      </c>
      <c r="H1386" s="4">
        <v>167728.8</v>
      </c>
    </row>
    <row r="1387" s="1" customFormat="1" ht="14" spans="1:8">
      <c r="A1387" s="2">
        <v>4021036</v>
      </c>
      <c r="B1387" s="2" t="s">
        <v>2059</v>
      </c>
      <c r="C1387" s="3" t="s">
        <v>824</v>
      </c>
      <c r="D1387" s="4">
        <v>3309.12</v>
      </c>
      <c r="E1387" s="4">
        <v>384.96</v>
      </c>
      <c r="F1387" s="4">
        <v>1273878.84</v>
      </c>
      <c r="G1387" s="4">
        <v>384.96</v>
      </c>
      <c r="H1387" s="4">
        <v>1273878.84</v>
      </c>
    </row>
    <row r="1388" s="1" customFormat="1" ht="14" spans="1:8">
      <c r="A1388" s="2">
        <v>4021041</v>
      </c>
      <c r="B1388" s="2" t="s">
        <v>2060</v>
      </c>
      <c r="C1388" s="3" t="s">
        <v>824</v>
      </c>
      <c r="D1388" s="4">
        <v>231.76</v>
      </c>
      <c r="E1388" s="4">
        <v>796.46</v>
      </c>
      <c r="F1388" s="4">
        <v>184587.57</v>
      </c>
      <c r="G1388" s="4">
        <v>796.46</v>
      </c>
      <c r="H1388" s="4">
        <v>184587.57</v>
      </c>
    </row>
    <row r="1389" s="1" customFormat="1" ht="14" spans="1:8">
      <c r="A1389" s="2">
        <v>4021110</v>
      </c>
      <c r="B1389" s="2" t="s">
        <v>2061</v>
      </c>
      <c r="C1389" s="3" t="s">
        <v>824</v>
      </c>
      <c r="D1389" s="4">
        <v>0.2</v>
      </c>
      <c r="E1389" s="4">
        <v>16893.59</v>
      </c>
      <c r="F1389" s="4">
        <v>3311.14</v>
      </c>
      <c r="G1389" s="4">
        <v>16893.59</v>
      </c>
      <c r="H1389" s="4">
        <v>3311.14</v>
      </c>
    </row>
    <row r="1390" s="1" customFormat="1" ht="14" spans="1:8">
      <c r="A1390" s="2">
        <v>4021124</v>
      </c>
      <c r="B1390" s="2" t="s">
        <v>2062</v>
      </c>
      <c r="C1390" s="3" t="s">
        <v>725</v>
      </c>
      <c r="D1390" s="4">
        <v>0.3</v>
      </c>
      <c r="E1390" s="4">
        <v>9303.86</v>
      </c>
      <c r="F1390" s="4">
        <v>2744.63</v>
      </c>
      <c r="G1390" s="4">
        <v>9303.86</v>
      </c>
      <c r="H1390" s="4">
        <v>2744.63</v>
      </c>
    </row>
    <row r="1391" s="1" customFormat="1" ht="14" spans="1:8">
      <c r="A1391" s="2">
        <v>4021126</v>
      </c>
      <c r="B1391" s="2" t="s">
        <v>2063</v>
      </c>
      <c r="C1391" s="3" t="s">
        <v>725</v>
      </c>
      <c r="D1391" s="4">
        <v>0.09</v>
      </c>
      <c r="E1391" s="4">
        <v>10690.44</v>
      </c>
      <c r="F1391" s="4">
        <v>994.21</v>
      </c>
      <c r="G1391" s="4">
        <v>10690.44</v>
      </c>
      <c r="H1391" s="4">
        <v>994.21</v>
      </c>
    </row>
    <row r="1392" s="1" customFormat="1" ht="14" spans="1:8">
      <c r="A1392" s="2">
        <v>4021128</v>
      </c>
      <c r="B1392" s="2" t="s">
        <v>2064</v>
      </c>
      <c r="C1392" s="3" t="s">
        <v>824</v>
      </c>
      <c r="D1392" s="4">
        <v>0.02</v>
      </c>
      <c r="E1392" s="4">
        <v>32019.01</v>
      </c>
      <c r="F1392" s="4">
        <v>512.31</v>
      </c>
      <c r="G1392" s="4">
        <v>32019.01</v>
      </c>
      <c r="H1392" s="4">
        <v>512.31</v>
      </c>
    </row>
    <row r="1393" s="1" customFormat="1" ht="14" spans="1:8">
      <c r="A1393" s="2">
        <v>4022011</v>
      </c>
      <c r="B1393" s="2" t="s">
        <v>2065</v>
      </c>
      <c r="C1393" s="3" t="s">
        <v>843</v>
      </c>
      <c r="D1393" s="4">
        <v>1950.06</v>
      </c>
      <c r="E1393" s="4">
        <v>22.44</v>
      </c>
      <c r="F1393" s="4">
        <v>43759.35</v>
      </c>
      <c r="G1393" s="4">
        <v>22.44</v>
      </c>
      <c r="H1393" s="4">
        <v>43759.35</v>
      </c>
    </row>
    <row r="1394" s="1" customFormat="1" ht="14" spans="1:8">
      <c r="A1394" s="2">
        <v>4112013</v>
      </c>
      <c r="B1394" s="2" t="s">
        <v>2066</v>
      </c>
      <c r="C1394" s="3" t="s">
        <v>52</v>
      </c>
      <c r="D1394" s="4">
        <v>51558.92</v>
      </c>
      <c r="E1394" s="4">
        <v>6.95</v>
      </c>
      <c r="F1394" s="4">
        <v>358334.49</v>
      </c>
      <c r="G1394" s="4">
        <v>6.95</v>
      </c>
      <c r="H1394" s="4">
        <v>358334.49</v>
      </c>
    </row>
    <row r="1395" s="1" customFormat="1" ht="14" spans="1:8">
      <c r="A1395" s="2">
        <v>4113010</v>
      </c>
      <c r="B1395" s="2" t="s">
        <v>2067</v>
      </c>
      <c r="C1395" s="3" t="s">
        <v>824</v>
      </c>
      <c r="D1395" s="4">
        <v>1887.43</v>
      </c>
      <c r="E1395" s="4">
        <v>0.3</v>
      </c>
      <c r="F1395" s="4">
        <v>566.23</v>
      </c>
      <c r="G1395" s="4">
        <v>0.3</v>
      </c>
      <c r="H1395" s="4">
        <v>566.23</v>
      </c>
    </row>
    <row r="1396" s="1" customFormat="1" ht="14" spans="1:8">
      <c r="A1396" s="2">
        <v>4114012</v>
      </c>
      <c r="B1396" s="2" t="s">
        <v>2068</v>
      </c>
      <c r="C1396" s="3" t="s">
        <v>824</v>
      </c>
      <c r="D1396" s="4">
        <v>858.5</v>
      </c>
      <c r="E1396" s="4">
        <v>0.57</v>
      </c>
      <c r="F1396" s="4">
        <v>489.36</v>
      </c>
      <c r="G1396" s="4">
        <v>0.57</v>
      </c>
      <c r="H1396" s="4">
        <v>489.36</v>
      </c>
    </row>
    <row r="1397" s="1" customFormat="1" ht="14" spans="1:8">
      <c r="A1397" s="2">
        <v>4116017</v>
      </c>
      <c r="B1397" s="2" t="s">
        <v>2069</v>
      </c>
      <c r="C1397" s="3" t="s">
        <v>824</v>
      </c>
      <c r="D1397" s="4">
        <v>281.4</v>
      </c>
      <c r="E1397" s="4">
        <v>43.61</v>
      </c>
      <c r="F1397" s="4">
        <v>12271.86</v>
      </c>
      <c r="G1397" s="4">
        <v>43.61</v>
      </c>
      <c r="H1397" s="4">
        <v>12271.86</v>
      </c>
    </row>
    <row r="1398" s="1" customFormat="1" ht="14" spans="1:8">
      <c r="A1398" s="2">
        <v>4118010</v>
      </c>
      <c r="B1398" s="2" t="s">
        <v>2070</v>
      </c>
      <c r="C1398" s="3" t="s">
        <v>701</v>
      </c>
      <c r="D1398" s="4">
        <v>76.8</v>
      </c>
      <c r="E1398" s="4">
        <v>0.97</v>
      </c>
      <c r="F1398" s="4">
        <v>74.5</v>
      </c>
      <c r="G1398" s="4">
        <v>0.97</v>
      </c>
      <c r="H1398" s="4">
        <v>74.5</v>
      </c>
    </row>
    <row r="1399" s="1" customFormat="1" ht="14" spans="1:8">
      <c r="A1399" s="2">
        <v>4118011</v>
      </c>
      <c r="B1399" s="2" t="s">
        <v>2071</v>
      </c>
      <c r="C1399" s="3" t="s">
        <v>701</v>
      </c>
      <c r="D1399" s="4">
        <v>0.96</v>
      </c>
      <c r="E1399" s="4">
        <v>1.33</v>
      </c>
      <c r="F1399" s="4">
        <v>1.28</v>
      </c>
      <c r="G1399" s="4">
        <v>1.33</v>
      </c>
      <c r="H1399" s="4">
        <v>1.28</v>
      </c>
    </row>
    <row r="1400" s="1" customFormat="1" ht="14" spans="1:8">
      <c r="A1400" s="2">
        <v>4118012</v>
      </c>
      <c r="B1400" s="2" t="s">
        <v>2072</v>
      </c>
      <c r="C1400" s="3" t="s">
        <v>701</v>
      </c>
      <c r="D1400" s="4">
        <v>254</v>
      </c>
      <c r="E1400" s="4">
        <v>1.67</v>
      </c>
      <c r="F1400" s="4">
        <v>424.18</v>
      </c>
      <c r="G1400" s="4">
        <v>1.67</v>
      </c>
      <c r="H1400" s="4">
        <v>424.18</v>
      </c>
    </row>
    <row r="1401" s="1" customFormat="1" ht="14" spans="1:8">
      <c r="A1401" s="2">
        <v>4118014</v>
      </c>
      <c r="B1401" s="2" t="s">
        <v>2073</v>
      </c>
      <c r="C1401" s="3" t="s">
        <v>701</v>
      </c>
      <c r="D1401" s="4">
        <v>28.8</v>
      </c>
      <c r="E1401" s="4">
        <v>2.48</v>
      </c>
      <c r="F1401" s="4">
        <v>71.42</v>
      </c>
      <c r="G1401" s="4">
        <v>2.48</v>
      </c>
      <c r="H1401" s="4">
        <v>71.42</v>
      </c>
    </row>
    <row r="1402" s="1" customFormat="1" ht="14" spans="1:8">
      <c r="A1402" s="2">
        <v>4121010</v>
      </c>
      <c r="B1402" s="2" t="s">
        <v>2074</v>
      </c>
      <c r="C1402" s="3" t="s">
        <v>843</v>
      </c>
      <c r="D1402" s="4">
        <v>115.14</v>
      </c>
      <c r="E1402" s="4">
        <v>13.45</v>
      </c>
      <c r="F1402" s="4">
        <v>1548.63</v>
      </c>
      <c r="G1402" s="4">
        <v>13.45</v>
      </c>
      <c r="H1402" s="4">
        <v>1548.63</v>
      </c>
    </row>
    <row r="1403" s="1" customFormat="1" ht="14" spans="1:8">
      <c r="A1403" s="2">
        <v>4123012</v>
      </c>
      <c r="B1403" s="2" t="s">
        <v>2075</v>
      </c>
      <c r="C1403" s="3" t="s">
        <v>843</v>
      </c>
      <c r="D1403" s="4">
        <v>13.02</v>
      </c>
      <c r="E1403" s="4">
        <v>6.37</v>
      </c>
      <c r="F1403" s="4">
        <v>82.94</v>
      </c>
      <c r="G1403" s="4">
        <v>6.37</v>
      </c>
      <c r="H1403" s="4">
        <v>82.94</v>
      </c>
    </row>
    <row r="1404" s="1" customFormat="1" ht="14" spans="1:8">
      <c r="A1404" s="2">
        <v>4125551</v>
      </c>
      <c r="B1404" s="2" t="s">
        <v>2076</v>
      </c>
      <c r="C1404" s="3" t="s">
        <v>824</v>
      </c>
      <c r="D1404" s="4">
        <v>811.03</v>
      </c>
      <c r="E1404" s="4">
        <v>19.82</v>
      </c>
      <c r="F1404" s="4">
        <v>16074.64</v>
      </c>
      <c r="G1404" s="4">
        <v>19.82</v>
      </c>
      <c r="H1404" s="4">
        <v>16074.64</v>
      </c>
    </row>
    <row r="1405" s="1" customFormat="1" ht="14" spans="1:8">
      <c r="A1405" s="2">
        <v>4125552</v>
      </c>
      <c r="B1405" s="2" t="s">
        <v>2077</v>
      </c>
      <c r="C1405" s="3" t="s">
        <v>824</v>
      </c>
      <c r="D1405" s="4">
        <v>760.53</v>
      </c>
      <c r="E1405" s="4">
        <v>37.04</v>
      </c>
      <c r="F1405" s="4">
        <v>28170.03</v>
      </c>
      <c r="G1405" s="4">
        <v>37.04</v>
      </c>
      <c r="H1405" s="4">
        <v>28170.03</v>
      </c>
    </row>
    <row r="1406" s="1" customFormat="1" ht="14" spans="1:8">
      <c r="A1406" s="2">
        <v>4131010</v>
      </c>
      <c r="B1406" s="2" t="s">
        <v>2078</v>
      </c>
      <c r="C1406" s="3" t="s">
        <v>824</v>
      </c>
      <c r="D1406" s="4">
        <v>768.61</v>
      </c>
      <c r="E1406" s="4">
        <v>6.84</v>
      </c>
      <c r="F1406" s="4">
        <v>5257.3</v>
      </c>
      <c r="G1406" s="4">
        <v>6.84</v>
      </c>
      <c r="H1406" s="4">
        <v>5257.3</v>
      </c>
    </row>
    <row r="1407" s="1" customFormat="1" ht="14" spans="1:8">
      <c r="A1407" s="2">
        <v>4131011</v>
      </c>
      <c r="B1407" s="2" t="s">
        <v>2079</v>
      </c>
      <c r="C1407" s="3" t="s">
        <v>824</v>
      </c>
      <c r="D1407" s="4">
        <v>741.34</v>
      </c>
      <c r="E1407" s="4">
        <v>11.4</v>
      </c>
      <c r="F1407" s="4">
        <v>8451.27</v>
      </c>
      <c r="G1407" s="4">
        <v>11.4</v>
      </c>
      <c r="H1407" s="4">
        <v>8451.27</v>
      </c>
    </row>
    <row r="1408" s="1" customFormat="1" ht="14" spans="1:8">
      <c r="A1408" s="2">
        <v>4131012</v>
      </c>
      <c r="B1408" s="2" t="s">
        <v>2080</v>
      </c>
      <c r="C1408" s="3" t="s">
        <v>824</v>
      </c>
      <c r="D1408" s="4">
        <v>741.34</v>
      </c>
      <c r="E1408" s="4">
        <v>13.05</v>
      </c>
      <c r="F1408" s="4">
        <v>9674.5</v>
      </c>
      <c r="G1408" s="4">
        <v>13.05</v>
      </c>
      <c r="H1408" s="4">
        <v>9674.5</v>
      </c>
    </row>
    <row r="1409" s="1" customFormat="1" ht="14" spans="1:8">
      <c r="A1409" s="2">
        <v>4131013</v>
      </c>
      <c r="B1409" s="2" t="s">
        <v>2081</v>
      </c>
      <c r="C1409" s="3" t="s">
        <v>824</v>
      </c>
      <c r="D1409" s="4">
        <v>56.56</v>
      </c>
      <c r="E1409" s="4">
        <v>21.18</v>
      </c>
      <c r="F1409" s="4">
        <v>1197.94</v>
      </c>
      <c r="G1409" s="4">
        <v>21.18</v>
      </c>
      <c r="H1409" s="4">
        <v>1197.94</v>
      </c>
    </row>
    <row r="1410" s="1" customFormat="1" ht="14" spans="1:8">
      <c r="A1410" s="2">
        <v>4141010</v>
      </c>
      <c r="B1410" s="2" t="s">
        <v>2082</v>
      </c>
      <c r="C1410" s="3" t="s">
        <v>824</v>
      </c>
      <c r="D1410" s="4">
        <v>56754.39</v>
      </c>
      <c r="E1410" s="4">
        <v>0.48</v>
      </c>
      <c r="F1410" s="4">
        <v>27242.12</v>
      </c>
      <c r="G1410" s="4">
        <v>0.48</v>
      </c>
      <c r="H1410" s="4">
        <v>27242.12</v>
      </c>
    </row>
    <row r="1411" s="1" customFormat="1" ht="14" spans="1:8">
      <c r="A1411" s="2">
        <v>4141011</v>
      </c>
      <c r="B1411" s="2" t="s">
        <v>2083</v>
      </c>
      <c r="C1411" s="3" t="s">
        <v>824</v>
      </c>
      <c r="D1411" s="4">
        <v>19573.62</v>
      </c>
      <c r="E1411" s="4">
        <v>0.77</v>
      </c>
      <c r="F1411" s="4">
        <v>15071.67</v>
      </c>
      <c r="G1411" s="4">
        <v>0.77</v>
      </c>
      <c r="H1411" s="4">
        <v>15071.67</v>
      </c>
    </row>
    <row r="1412" s="1" customFormat="1" ht="14" spans="1:8">
      <c r="A1412" s="2">
        <v>4141012</v>
      </c>
      <c r="B1412" s="2" t="s">
        <v>2084</v>
      </c>
      <c r="C1412" s="3" t="s">
        <v>824</v>
      </c>
      <c r="D1412" s="4">
        <v>14490.81</v>
      </c>
      <c r="E1412" s="4">
        <v>1.01</v>
      </c>
      <c r="F1412" s="4">
        <v>14635.75</v>
      </c>
      <c r="G1412" s="4">
        <v>1.01</v>
      </c>
      <c r="H1412" s="4">
        <v>14635.75</v>
      </c>
    </row>
    <row r="1413" s="1" customFormat="1" ht="14" spans="1:8">
      <c r="A1413" s="2">
        <v>4141014</v>
      </c>
      <c r="B1413" s="2" t="s">
        <v>2085</v>
      </c>
      <c r="C1413" s="3" t="s">
        <v>824</v>
      </c>
      <c r="D1413" s="4">
        <v>2372</v>
      </c>
      <c r="E1413" s="4">
        <v>2.14</v>
      </c>
      <c r="F1413" s="4">
        <v>5075.96</v>
      </c>
      <c r="G1413" s="4">
        <v>2.14</v>
      </c>
      <c r="H1413" s="4">
        <v>5075.96</v>
      </c>
    </row>
    <row r="1414" s="1" customFormat="1" ht="14" spans="1:8">
      <c r="A1414" s="2">
        <v>4142010</v>
      </c>
      <c r="B1414" s="2" t="s">
        <v>2086</v>
      </c>
      <c r="C1414" s="3" t="s">
        <v>824</v>
      </c>
      <c r="D1414" s="4">
        <v>1.38</v>
      </c>
      <c r="E1414" s="4">
        <v>1.96</v>
      </c>
      <c r="F1414" s="4">
        <v>2.7</v>
      </c>
      <c r="G1414" s="4">
        <v>1.96</v>
      </c>
      <c r="H1414" s="4">
        <v>2.7</v>
      </c>
    </row>
    <row r="1415" s="1" customFormat="1" ht="14" spans="1:8">
      <c r="A1415" s="2">
        <v>4142011</v>
      </c>
      <c r="B1415" s="2" t="s">
        <v>2087</v>
      </c>
      <c r="C1415" s="3" t="s">
        <v>824</v>
      </c>
      <c r="D1415" s="4">
        <v>50.47</v>
      </c>
      <c r="E1415" s="4">
        <v>7.22</v>
      </c>
      <c r="F1415" s="4">
        <v>364.4</v>
      </c>
      <c r="G1415" s="4">
        <v>7.22</v>
      </c>
      <c r="H1415" s="4">
        <v>364.4</v>
      </c>
    </row>
    <row r="1416" s="1" customFormat="1" ht="14" spans="1:8">
      <c r="A1416" s="2">
        <v>4142015</v>
      </c>
      <c r="B1416" s="2" t="s">
        <v>2088</v>
      </c>
      <c r="C1416" s="3" t="s">
        <v>824</v>
      </c>
      <c r="D1416" s="4">
        <v>116.28</v>
      </c>
      <c r="E1416" s="4">
        <v>2.61</v>
      </c>
      <c r="F1416" s="4">
        <v>303.49</v>
      </c>
      <c r="G1416" s="4">
        <v>2.61</v>
      </c>
      <c r="H1416" s="4">
        <v>303.49</v>
      </c>
    </row>
    <row r="1417" s="1" customFormat="1" ht="14" spans="1:8">
      <c r="A1417" s="2">
        <v>4142016</v>
      </c>
      <c r="B1417" s="2" t="s">
        <v>2089</v>
      </c>
      <c r="C1417" s="3" t="s">
        <v>824</v>
      </c>
      <c r="D1417" s="4">
        <v>116.28</v>
      </c>
      <c r="E1417" s="4">
        <v>116.57</v>
      </c>
      <c r="F1417" s="4">
        <v>13554.77</v>
      </c>
      <c r="G1417" s="4">
        <v>116.57</v>
      </c>
      <c r="H1417" s="4">
        <v>13554.77</v>
      </c>
    </row>
    <row r="1418" s="1" customFormat="1" ht="14" spans="1:8">
      <c r="A1418" s="2">
        <v>4142017</v>
      </c>
      <c r="B1418" s="2" t="s">
        <v>2090</v>
      </c>
      <c r="C1418" s="3" t="s">
        <v>824</v>
      </c>
      <c r="D1418" s="4">
        <v>58.14</v>
      </c>
      <c r="E1418" s="4">
        <v>2.23</v>
      </c>
      <c r="F1418" s="4">
        <v>129.64</v>
      </c>
      <c r="G1418" s="4">
        <v>2.23</v>
      </c>
      <c r="H1418" s="4">
        <v>129.64</v>
      </c>
    </row>
    <row r="1419" s="1" customFormat="1" ht="14" spans="1:8">
      <c r="A1419" s="2">
        <v>4142018</v>
      </c>
      <c r="B1419" s="2" t="s">
        <v>2091</v>
      </c>
      <c r="C1419" s="3" t="s">
        <v>824</v>
      </c>
      <c r="D1419" s="4">
        <v>135.66</v>
      </c>
      <c r="E1419" s="4">
        <v>3.16</v>
      </c>
      <c r="F1419" s="4">
        <v>428.68</v>
      </c>
      <c r="G1419" s="4">
        <v>3.16</v>
      </c>
      <c r="H1419" s="4">
        <v>428.68</v>
      </c>
    </row>
    <row r="1420" s="1" customFormat="1" ht="14" spans="1:8">
      <c r="A1420" s="2">
        <v>4142019</v>
      </c>
      <c r="B1420" s="2" t="s">
        <v>2092</v>
      </c>
      <c r="C1420" s="3" t="s">
        <v>824</v>
      </c>
      <c r="D1420" s="4">
        <v>58.14</v>
      </c>
      <c r="E1420" s="4">
        <v>8.64</v>
      </c>
      <c r="F1420" s="4">
        <v>502.34</v>
      </c>
      <c r="G1420" s="4">
        <v>8.64</v>
      </c>
      <c r="H1420" s="4">
        <v>502.34</v>
      </c>
    </row>
    <row r="1421" s="1" customFormat="1" ht="14" spans="1:8">
      <c r="A1421" s="2">
        <v>4142020</v>
      </c>
      <c r="B1421" s="2" t="s">
        <v>2093</v>
      </c>
      <c r="C1421" s="3" t="s">
        <v>824</v>
      </c>
      <c r="D1421" s="4">
        <v>19.38</v>
      </c>
      <c r="E1421" s="4">
        <v>14.41</v>
      </c>
      <c r="F1421" s="4">
        <v>279.26</v>
      </c>
      <c r="G1421" s="4">
        <v>14.41</v>
      </c>
      <c r="H1421" s="4">
        <v>279.26</v>
      </c>
    </row>
    <row r="1422" s="1" customFormat="1" ht="14" spans="1:8">
      <c r="A1422" s="2">
        <v>4142030</v>
      </c>
      <c r="B1422" s="2" t="s">
        <v>2094</v>
      </c>
      <c r="C1422" s="3" t="s">
        <v>824</v>
      </c>
      <c r="D1422" s="4">
        <v>180.9</v>
      </c>
      <c r="E1422" s="4">
        <v>7.22</v>
      </c>
      <c r="F1422" s="4">
        <v>1306.1</v>
      </c>
      <c r="G1422" s="4">
        <v>7.22</v>
      </c>
      <c r="H1422" s="4">
        <v>1306.1</v>
      </c>
    </row>
    <row r="1423" s="1" customFormat="1" ht="14" spans="1:8">
      <c r="A1423" s="2">
        <v>4150011</v>
      </c>
      <c r="B1423" s="2" t="s">
        <v>2095</v>
      </c>
      <c r="C1423" s="3" t="s">
        <v>472</v>
      </c>
      <c r="D1423" s="4">
        <v>333.3</v>
      </c>
      <c r="E1423" s="4">
        <v>9.17</v>
      </c>
      <c r="F1423" s="4">
        <v>3056.36</v>
      </c>
      <c r="G1423" s="4">
        <v>9.17</v>
      </c>
      <c r="H1423" s="4">
        <v>3056.36</v>
      </c>
    </row>
    <row r="1424" s="1" customFormat="1" ht="14" spans="1:8">
      <c r="A1424" s="2">
        <v>4150016</v>
      </c>
      <c r="B1424" s="2" t="s">
        <v>2096</v>
      </c>
      <c r="C1424" s="3" t="s">
        <v>472</v>
      </c>
      <c r="D1424" s="4">
        <v>171</v>
      </c>
      <c r="E1424" s="4">
        <v>48.96</v>
      </c>
      <c r="F1424" s="4">
        <v>8372.16</v>
      </c>
      <c r="G1424" s="4">
        <v>48.96</v>
      </c>
      <c r="H1424" s="4">
        <v>8372.16</v>
      </c>
    </row>
    <row r="1425" s="1" customFormat="1" ht="14" spans="1:8">
      <c r="A1425" s="2">
        <v>4153013</v>
      </c>
      <c r="B1425" s="2" t="s">
        <v>2097</v>
      </c>
      <c r="C1425" s="3" t="s">
        <v>824</v>
      </c>
      <c r="D1425" s="4">
        <v>3883.1</v>
      </c>
      <c r="E1425" s="4">
        <v>1.99</v>
      </c>
      <c r="F1425" s="4">
        <v>7727.39</v>
      </c>
      <c r="G1425" s="4">
        <v>1.99</v>
      </c>
      <c r="H1425" s="4">
        <v>7727.39</v>
      </c>
    </row>
    <row r="1426" s="1" customFormat="1" ht="14" spans="1:8">
      <c r="A1426" s="2">
        <v>4153014</v>
      </c>
      <c r="B1426" s="2" t="s">
        <v>2098</v>
      </c>
      <c r="C1426" s="3" t="s">
        <v>824</v>
      </c>
      <c r="D1426" s="4">
        <v>50.47</v>
      </c>
      <c r="E1426" s="4">
        <v>9.94</v>
      </c>
      <c r="F1426" s="4">
        <v>501.67</v>
      </c>
      <c r="G1426" s="4">
        <v>9.94</v>
      </c>
      <c r="H1426" s="4">
        <v>501.67</v>
      </c>
    </row>
    <row r="1427" s="1" customFormat="1" ht="14" spans="1:8">
      <c r="A1427" s="2">
        <v>4210016</v>
      </c>
      <c r="B1427" s="2" t="s">
        <v>2099</v>
      </c>
      <c r="C1427" s="3" t="s">
        <v>876</v>
      </c>
      <c r="D1427" s="4">
        <v>269.99</v>
      </c>
      <c r="E1427" s="4">
        <v>497.35</v>
      </c>
      <c r="F1427" s="4">
        <v>134279.52</v>
      </c>
      <c r="G1427" s="4">
        <v>497.35</v>
      </c>
      <c r="H1427" s="4">
        <v>134279.52</v>
      </c>
    </row>
    <row r="1428" s="1" customFormat="1" ht="14" spans="1:8">
      <c r="A1428" s="2">
        <v>4211010</v>
      </c>
      <c r="B1428" s="2" t="s">
        <v>2100</v>
      </c>
      <c r="C1428" s="3" t="s">
        <v>876</v>
      </c>
      <c r="D1428" s="4">
        <v>38.57</v>
      </c>
      <c r="E1428" s="4">
        <v>127.6</v>
      </c>
      <c r="F1428" s="4">
        <v>4921.53</v>
      </c>
      <c r="G1428" s="4">
        <v>127.6</v>
      </c>
      <c r="H1428" s="4">
        <v>4921.53</v>
      </c>
    </row>
    <row r="1429" s="1" customFormat="1" ht="14" spans="1:8">
      <c r="A1429" s="2">
        <v>4213012</v>
      </c>
      <c r="B1429" s="2" t="s">
        <v>2101</v>
      </c>
      <c r="C1429" s="3" t="s">
        <v>876</v>
      </c>
      <c r="D1429" s="4">
        <v>745.01</v>
      </c>
      <c r="E1429" s="4">
        <v>124.11</v>
      </c>
      <c r="F1429" s="4">
        <v>92463.19</v>
      </c>
      <c r="G1429" s="4">
        <v>124.11</v>
      </c>
      <c r="H1429" s="4">
        <v>92463.19</v>
      </c>
    </row>
    <row r="1430" s="1" customFormat="1" ht="14" spans="1:8">
      <c r="A1430" s="2">
        <v>4213013</v>
      </c>
      <c r="B1430" s="2" t="s">
        <v>2102</v>
      </c>
      <c r="C1430" s="3" t="s">
        <v>876</v>
      </c>
      <c r="D1430" s="4">
        <v>745.01</v>
      </c>
      <c r="E1430" s="4">
        <v>85.75</v>
      </c>
      <c r="F1430" s="4">
        <v>63884.61</v>
      </c>
      <c r="G1430" s="4">
        <v>85.75</v>
      </c>
      <c r="H1430" s="4">
        <v>63884.61</v>
      </c>
    </row>
    <row r="1431" s="1" customFormat="1" ht="14" spans="1:8">
      <c r="A1431" s="2">
        <v>4213014</v>
      </c>
      <c r="B1431" s="2" t="s">
        <v>2103</v>
      </c>
      <c r="C1431" s="3" t="s">
        <v>876</v>
      </c>
      <c r="D1431" s="4">
        <v>745.01</v>
      </c>
      <c r="E1431" s="4">
        <v>109.67</v>
      </c>
      <c r="F1431" s="4">
        <v>81705.23</v>
      </c>
      <c r="G1431" s="4">
        <v>109.67</v>
      </c>
      <c r="H1431" s="4">
        <v>81705.23</v>
      </c>
    </row>
    <row r="1432" s="1" customFormat="1" ht="14" spans="1:8">
      <c r="A1432" s="2">
        <v>4215213</v>
      </c>
      <c r="B1432" s="2" t="s">
        <v>2104</v>
      </c>
      <c r="C1432" s="3" t="s">
        <v>876</v>
      </c>
      <c r="D1432" s="4">
        <v>802.86</v>
      </c>
      <c r="E1432" s="4">
        <v>203.7</v>
      </c>
      <c r="F1432" s="4">
        <v>163543.61</v>
      </c>
      <c r="G1432" s="4">
        <v>203.7</v>
      </c>
      <c r="H1432" s="4">
        <v>163543.61</v>
      </c>
    </row>
    <row r="1433" s="1" customFormat="1" ht="14" spans="1:8">
      <c r="A1433" s="2">
        <v>4216011</v>
      </c>
      <c r="B1433" s="2" t="s">
        <v>2105</v>
      </c>
      <c r="C1433" s="3" t="s">
        <v>876</v>
      </c>
      <c r="D1433" s="4">
        <v>801.85</v>
      </c>
      <c r="E1433" s="4">
        <v>155.46</v>
      </c>
      <c r="F1433" s="4">
        <v>124655.63</v>
      </c>
      <c r="G1433" s="4">
        <v>155.46</v>
      </c>
      <c r="H1433" s="4">
        <v>124655.63</v>
      </c>
    </row>
    <row r="1434" s="1" customFormat="1" ht="14" spans="1:8">
      <c r="A1434" s="2">
        <v>4218013</v>
      </c>
      <c r="B1434" s="2" t="s">
        <v>2106</v>
      </c>
      <c r="C1434" s="3" t="s">
        <v>876</v>
      </c>
      <c r="D1434" s="4">
        <v>846.51</v>
      </c>
      <c r="E1434" s="4">
        <v>42.88</v>
      </c>
      <c r="F1434" s="4">
        <v>36298.37</v>
      </c>
      <c r="G1434" s="4">
        <v>42.88</v>
      </c>
      <c r="H1434" s="4">
        <v>36298.37</v>
      </c>
    </row>
    <row r="1435" s="1" customFormat="1" ht="14" spans="1:8">
      <c r="A1435" s="2">
        <v>4220010</v>
      </c>
      <c r="B1435" s="2" t="s">
        <v>2107</v>
      </c>
      <c r="C1435" s="3" t="s">
        <v>876</v>
      </c>
      <c r="D1435" s="4">
        <v>69.02</v>
      </c>
      <c r="E1435" s="4">
        <v>748.07</v>
      </c>
      <c r="F1435" s="4">
        <v>51631.79</v>
      </c>
      <c r="G1435" s="4">
        <v>748.07</v>
      </c>
      <c r="H1435" s="4">
        <v>51631.79</v>
      </c>
    </row>
    <row r="1436" s="1" customFormat="1" ht="14" spans="1:8">
      <c r="A1436" s="2">
        <v>4220025</v>
      </c>
      <c r="B1436" s="2" t="s">
        <v>2108</v>
      </c>
      <c r="C1436" s="3" t="s">
        <v>876</v>
      </c>
      <c r="D1436" s="4">
        <v>846.51</v>
      </c>
      <c r="E1436" s="4">
        <v>72.12</v>
      </c>
      <c r="F1436" s="4">
        <v>61050.28</v>
      </c>
      <c r="G1436" s="4">
        <v>72.12</v>
      </c>
      <c r="H1436" s="4">
        <v>61050.28</v>
      </c>
    </row>
    <row r="1437" s="1" customFormat="1" ht="14" spans="1:8">
      <c r="A1437" s="2">
        <v>4220034</v>
      </c>
      <c r="B1437" s="2" t="s">
        <v>2109</v>
      </c>
      <c r="C1437" s="3" t="s">
        <v>876</v>
      </c>
      <c r="D1437" s="4">
        <v>730.8</v>
      </c>
      <c r="E1437" s="4">
        <v>744.59</v>
      </c>
      <c r="F1437" s="4">
        <v>544146.37</v>
      </c>
      <c r="G1437" s="4">
        <v>744.59</v>
      </c>
      <c r="H1437" s="4">
        <v>544146.37</v>
      </c>
    </row>
    <row r="1438" s="1" customFormat="1" ht="14" spans="1:8">
      <c r="A1438" s="2">
        <v>4220039</v>
      </c>
      <c r="B1438" s="2" t="s">
        <v>2110</v>
      </c>
      <c r="C1438" s="3" t="s">
        <v>824</v>
      </c>
      <c r="D1438" s="4">
        <v>1769.34</v>
      </c>
      <c r="E1438" s="4">
        <v>18.87</v>
      </c>
      <c r="F1438" s="4">
        <v>33387.44</v>
      </c>
      <c r="G1438" s="4">
        <v>18.87</v>
      </c>
      <c r="H1438" s="4">
        <v>33387.44</v>
      </c>
    </row>
    <row r="1439" s="1" customFormat="1" ht="14" spans="1:8">
      <c r="A1439" s="2">
        <v>4220040</v>
      </c>
      <c r="B1439" s="2" t="s">
        <v>2111</v>
      </c>
      <c r="C1439" s="3" t="s">
        <v>824</v>
      </c>
      <c r="D1439" s="4">
        <v>61.64</v>
      </c>
      <c r="E1439" s="4">
        <v>99.56</v>
      </c>
      <c r="F1439" s="4">
        <v>6136.87</v>
      </c>
      <c r="G1439" s="4">
        <v>99.56</v>
      </c>
      <c r="H1439" s="4">
        <v>6136.87</v>
      </c>
    </row>
    <row r="1440" s="1" customFormat="1" ht="14" spans="1:8">
      <c r="A1440" s="2">
        <v>4221010</v>
      </c>
      <c r="B1440" s="2" t="s">
        <v>2112</v>
      </c>
      <c r="C1440" s="3" t="s">
        <v>824</v>
      </c>
      <c r="D1440" s="4">
        <v>46.35</v>
      </c>
      <c r="E1440" s="4">
        <v>8.58</v>
      </c>
      <c r="F1440" s="4">
        <v>397.68</v>
      </c>
      <c r="G1440" s="4">
        <v>8.58</v>
      </c>
      <c r="H1440" s="4">
        <v>397.68</v>
      </c>
    </row>
    <row r="1441" s="1" customFormat="1" ht="14" spans="1:8">
      <c r="A1441" s="2">
        <v>4240012</v>
      </c>
      <c r="B1441" s="2" t="s">
        <v>2113</v>
      </c>
      <c r="C1441" s="3" t="s">
        <v>923</v>
      </c>
      <c r="D1441" s="4">
        <v>141.4</v>
      </c>
      <c r="E1441" s="4">
        <v>7.61</v>
      </c>
      <c r="F1441" s="4">
        <v>1076.06</v>
      </c>
      <c r="G1441" s="4">
        <v>7.61</v>
      </c>
      <c r="H1441" s="4">
        <v>1076.06</v>
      </c>
    </row>
    <row r="1442" s="1" customFormat="1" ht="14" spans="1:8">
      <c r="A1442" s="2">
        <v>4241012</v>
      </c>
      <c r="B1442" s="2" t="s">
        <v>2114</v>
      </c>
      <c r="C1442" s="3" t="s">
        <v>1235</v>
      </c>
      <c r="D1442" s="4">
        <v>424.2</v>
      </c>
      <c r="E1442" s="4">
        <v>0.51</v>
      </c>
      <c r="F1442" s="4">
        <v>216.34</v>
      </c>
      <c r="G1442" s="4">
        <v>0.51</v>
      </c>
      <c r="H1442" s="4">
        <v>216.34</v>
      </c>
    </row>
    <row r="1443" s="1" customFormat="1" ht="14" spans="1:8">
      <c r="A1443" s="2">
        <v>4242011</v>
      </c>
      <c r="B1443" s="2" t="s">
        <v>2115</v>
      </c>
      <c r="C1443" s="3" t="s">
        <v>725</v>
      </c>
      <c r="D1443" s="4">
        <v>1762.68</v>
      </c>
      <c r="E1443" s="4">
        <v>100.03</v>
      </c>
      <c r="F1443" s="4">
        <v>176318.88</v>
      </c>
      <c r="G1443" s="4">
        <v>100.03</v>
      </c>
      <c r="H1443" s="4">
        <v>176318.88</v>
      </c>
    </row>
    <row r="1444" s="1" customFormat="1" ht="14" spans="1:8">
      <c r="A1444" s="2">
        <v>4310013</v>
      </c>
      <c r="B1444" s="2" t="s">
        <v>2116</v>
      </c>
      <c r="C1444" s="3" t="s">
        <v>725</v>
      </c>
      <c r="D1444" s="4">
        <v>1762.68</v>
      </c>
      <c r="E1444" s="4">
        <v>8.82</v>
      </c>
      <c r="F1444" s="4">
        <v>15546.67</v>
      </c>
      <c r="G1444" s="4">
        <v>8.82</v>
      </c>
      <c r="H1444" s="4">
        <v>15546.67</v>
      </c>
    </row>
    <row r="1445" s="1" customFormat="1" ht="14" spans="1:8">
      <c r="A1445" s="2">
        <v>4311012</v>
      </c>
      <c r="B1445" s="2" t="s">
        <v>2117</v>
      </c>
      <c r="C1445" s="3" t="s">
        <v>725</v>
      </c>
      <c r="D1445" s="4">
        <v>0</v>
      </c>
      <c r="E1445" s="4">
        <v>47.05</v>
      </c>
      <c r="F1445" s="4">
        <v>0</v>
      </c>
      <c r="G1445" s="4">
        <v>47.05</v>
      </c>
      <c r="H1445" s="4">
        <v>0</v>
      </c>
    </row>
    <row r="1446" s="1" customFormat="1" ht="14" spans="1:8">
      <c r="A1446" s="2">
        <v>4312013</v>
      </c>
      <c r="B1446" s="2" t="s">
        <v>2118</v>
      </c>
      <c r="C1446" s="3" t="s">
        <v>725</v>
      </c>
      <c r="D1446" s="4">
        <v>2087.14</v>
      </c>
      <c r="E1446" s="4">
        <v>4.41</v>
      </c>
      <c r="F1446" s="4">
        <v>9204.29</v>
      </c>
      <c r="G1446" s="4">
        <v>4.41</v>
      </c>
      <c r="H1446" s="4">
        <v>9204.29</v>
      </c>
    </row>
    <row r="1447" s="1" customFormat="1" ht="14" spans="1:8">
      <c r="A1447" s="2">
        <v>4312014</v>
      </c>
      <c r="B1447" s="2" t="s">
        <v>2119</v>
      </c>
      <c r="C1447" s="3" t="s">
        <v>725</v>
      </c>
      <c r="D1447" s="4">
        <v>533.63</v>
      </c>
      <c r="E1447" s="4">
        <v>5.26</v>
      </c>
      <c r="F1447" s="4">
        <v>2806.87</v>
      </c>
      <c r="G1447" s="4">
        <v>5.26</v>
      </c>
      <c r="H1447" s="4">
        <v>2806.87</v>
      </c>
    </row>
    <row r="1448" s="1" customFormat="1" ht="14" spans="1:8">
      <c r="A1448" s="2">
        <v>4312015</v>
      </c>
      <c r="B1448" s="2" t="s">
        <v>2120</v>
      </c>
      <c r="C1448" s="3" t="s">
        <v>725</v>
      </c>
      <c r="D1448" s="4">
        <v>219.19</v>
      </c>
      <c r="E1448" s="4">
        <v>6.95</v>
      </c>
      <c r="F1448" s="4">
        <v>1523.35</v>
      </c>
      <c r="G1448" s="4">
        <v>6.95</v>
      </c>
      <c r="H1448" s="4">
        <v>1523.35</v>
      </c>
    </row>
    <row r="1449" s="1" customFormat="1" ht="14" spans="1:8">
      <c r="A1449" s="2">
        <v>4313013</v>
      </c>
      <c r="B1449" s="2" t="s">
        <v>2121</v>
      </c>
      <c r="C1449" s="3" t="s">
        <v>725</v>
      </c>
      <c r="D1449" s="4">
        <v>32.56</v>
      </c>
      <c r="E1449" s="4">
        <v>6.23</v>
      </c>
      <c r="F1449" s="4">
        <v>202.86</v>
      </c>
      <c r="G1449" s="4">
        <v>6.23</v>
      </c>
      <c r="H1449" s="4">
        <v>202.86</v>
      </c>
    </row>
    <row r="1450" s="1" customFormat="1" ht="14" spans="1:8">
      <c r="A1450" s="2">
        <v>4313015</v>
      </c>
      <c r="B1450" s="2" t="s">
        <v>2122</v>
      </c>
      <c r="C1450" s="3" t="s">
        <v>725</v>
      </c>
      <c r="D1450" s="4">
        <v>1975.43</v>
      </c>
      <c r="E1450" s="4">
        <v>8.23</v>
      </c>
      <c r="F1450" s="4">
        <v>16257.81</v>
      </c>
      <c r="G1450" s="4">
        <v>8.23</v>
      </c>
      <c r="H1450" s="4">
        <v>16257.81</v>
      </c>
    </row>
    <row r="1451" s="1" customFormat="1" ht="14" spans="1:8">
      <c r="A1451" s="2">
        <v>4313016</v>
      </c>
      <c r="B1451" s="2" t="s">
        <v>2123</v>
      </c>
      <c r="C1451" s="3" t="s">
        <v>725</v>
      </c>
      <c r="D1451" s="4">
        <v>1801.93</v>
      </c>
      <c r="E1451" s="4">
        <v>8.64</v>
      </c>
      <c r="F1451" s="4">
        <v>15568.63</v>
      </c>
      <c r="G1451" s="4">
        <v>8.64</v>
      </c>
      <c r="H1451" s="4">
        <v>15568.63</v>
      </c>
    </row>
    <row r="1452" s="1" customFormat="1" ht="14" spans="1:8">
      <c r="A1452" s="2">
        <v>4313018</v>
      </c>
      <c r="B1452" s="2" t="s">
        <v>2124</v>
      </c>
      <c r="C1452" s="3" t="s">
        <v>725</v>
      </c>
      <c r="D1452" s="4">
        <v>171.25</v>
      </c>
      <c r="E1452" s="4">
        <v>11</v>
      </c>
      <c r="F1452" s="4">
        <v>1883.77</v>
      </c>
      <c r="G1452" s="4">
        <v>11</v>
      </c>
      <c r="H1452" s="4">
        <v>1883.77</v>
      </c>
    </row>
    <row r="1453" s="1" customFormat="1" ht="14" spans="1:8">
      <c r="A1453" s="2">
        <v>4313019</v>
      </c>
      <c r="B1453" s="2" t="s">
        <v>2125</v>
      </c>
      <c r="C1453" s="3" t="s">
        <v>725</v>
      </c>
      <c r="D1453" s="4">
        <v>935.86</v>
      </c>
      <c r="E1453" s="4">
        <v>16.97</v>
      </c>
      <c r="F1453" s="4">
        <v>15881.48</v>
      </c>
      <c r="G1453" s="4">
        <v>16.97</v>
      </c>
      <c r="H1453" s="4">
        <v>15881.48</v>
      </c>
    </row>
    <row r="1454" s="1" customFormat="1" ht="14" spans="1:8">
      <c r="A1454" s="2">
        <v>4415015</v>
      </c>
      <c r="B1454" s="2" t="s">
        <v>2126</v>
      </c>
      <c r="C1454" s="3" t="s">
        <v>824</v>
      </c>
      <c r="D1454" s="4">
        <v>12.52</v>
      </c>
      <c r="E1454" s="4">
        <v>64.14</v>
      </c>
      <c r="F1454" s="4">
        <v>803.29</v>
      </c>
      <c r="G1454" s="4">
        <v>64.14</v>
      </c>
      <c r="H1454" s="4">
        <v>803.29</v>
      </c>
    </row>
    <row r="1455" s="1" customFormat="1" ht="14" spans="1:8">
      <c r="A1455" s="2">
        <v>4416015</v>
      </c>
      <c r="B1455" s="2" t="s">
        <v>2127</v>
      </c>
      <c r="C1455" s="3" t="s">
        <v>472</v>
      </c>
      <c r="D1455" s="4">
        <v>3256.2</v>
      </c>
      <c r="E1455" s="4">
        <v>8.83</v>
      </c>
      <c r="F1455" s="4">
        <v>28752.24</v>
      </c>
      <c r="G1455" s="4">
        <v>8.83</v>
      </c>
      <c r="H1455" s="4">
        <v>28752.24</v>
      </c>
    </row>
    <row r="1456" s="1" customFormat="1" ht="14" spans="1:8">
      <c r="A1456" s="2">
        <v>4416023</v>
      </c>
      <c r="B1456" s="2" t="s">
        <v>2128</v>
      </c>
      <c r="C1456" s="3" t="s">
        <v>824</v>
      </c>
      <c r="D1456" s="4">
        <v>53555.27</v>
      </c>
      <c r="E1456" s="4">
        <v>4.1</v>
      </c>
      <c r="F1456" s="4">
        <v>219576.64</v>
      </c>
      <c r="G1456" s="4">
        <v>4.1</v>
      </c>
      <c r="H1456" s="4">
        <v>219576.64</v>
      </c>
    </row>
    <row r="1457" s="1" customFormat="1" ht="14" spans="1:8">
      <c r="A1457" s="2">
        <v>4416024</v>
      </c>
      <c r="B1457" s="2" t="s">
        <v>2129</v>
      </c>
      <c r="C1457" s="3" t="s">
        <v>824</v>
      </c>
      <c r="D1457" s="4">
        <v>18194</v>
      </c>
      <c r="E1457" s="4">
        <v>0.86</v>
      </c>
      <c r="F1457" s="4">
        <v>15646.84</v>
      </c>
      <c r="G1457" s="4">
        <v>0.86</v>
      </c>
      <c r="H1457" s="4">
        <v>15646.84</v>
      </c>
    </row>
    <row r="1458" s="1" customFormat="1" ht="14" spans="1:8">
      <c r="A1458" s="2">
        <v>4510010</v>
      </c>
      <c r="B1458" s="2" t="s">
        <v>2130</v>
      </c>
      <c r="C1458" s="3" t="s">
        <v>725</v>
      </c>
      <c r="D1458" s="4">
        <v>2</v>
      </c>
      <c r="E1458" s="4">
        <v>253.51</v>
      </c>
      <c r="F1458" s="4">
        <v>507.02</v>
      </c>
      <c r="G1458" s="4">
        <v>253.51</v>
      </c>
      <c r="H1458" s="4">
        <v>507.02</v>
      </c>
    </row>
    <row r="1459" s="1" customFormat="1" ht="14" spans="1:8">
      <c r="A1459" s="2">
        <v>4510012</v>
      </c>
      <c r="B1459" s="2" t="s">
        <v>2131</v>
      </c>
      <c r="C1459" s="3" t="s">
        <v>725</v>
      </c>
      <c r="D1459" s="4">
        <v>71</v>
      </c>
      <c r="E1459" s="4">
        <v>1108.98</v>
      </c>
      <c r="F1459" s="4">
        <v>78737.58</v>
      </c>
      <c r="G1459" s="4">
        <v>1108.98</v>
      </c>
      <c r="H1459" s="4">
        <v>78737.58</v>
      </c>
    </row>
    <row r="1460" s="1" customFormat="1" ht="14" spans="1:8">
      <c r="A1460" s="2">
        <v>4511016</v>
      </c>
      <c r="B1460" s="2" t="s">
        <v>2132</v>
      </c>
      <c r="C1460" s="3" t="s">
        <v>824</v>
      </c>
      <c r="D1460" s="4">
        <v>5380.03</v>
      </c>
      <c r="E1460" s="4">
        <v>278.11</v>
      </c>
      <c r="F1460" s="4">
        <v>1496240.98</v>
      </c>
      <c r="G1460" s="4">
        <v>278.11</v>
      </c>
      <c r="H1460" s="4">
        <v>1496240.98</v>
      </c>
    </row>
    <row r="1461" s="1" customFormat="1" ht="14" spans="1:8">
      <c r="A1461" s="2">
        <v>4511018</v>
      </c>
      <c r="B1461" s="2" t="s">
        <v>2133</v>
      </c>
      <c r="C1461" s="3" t="s">
        <v>824</v>
      </c>
      <c r="D1461" s="4">
        <v>424.2</v>
      </c>
      <c r="E1461" s="4">
        <v>334.42</v>
      </c>
      <c r="F1461" s="4">
        <v>141860.99</v>
      </c>
      <c r="G1461" s="4">
        <v>334.42</v>
      </c>
      <c r="H1461" s="4">
        <v>141860.99</v>
      </c>
    </row>
    <row r="1462" s="1" customFormat="1" ht="14" spans="1:8">
      <c r="A1462" s="2">
        <v>4511032</v>
      </c>
      <c r="B1462" s="2" t="s">
        <v>2134</v>
      </c>
      <c r="C1462" s="3" t="s">
        <v>725</v>
      </c>
      <c r="D1462" s="4">
        <v>126.25</v>
      </c>
      <c r="E1462" s="4">
        <v>5637.2</v>
      </c>
      <c r="F1462" s="4">
        <v>711668.31</v>
      </c>
      <c r="G1462" s="4">
        <v>5637.2</v>
      </c>
      <c r="H1462" s="4">
        <v>711668.31</v>
      </c>
    </row>
    <row r="1463" s="1" customFormat="1" ht="14" spans="1:8">
      <c r="A1463" s="2">
        <v>4511033</v>
      </c>
      <c r="B1463" s="2" t="s">
        <v>2135</v>
      </c>
      <c r="C1463" s="3" t="s">
        <v>725</v>
      </c>
      <c r="D1463" s="4">
        <v>40.2</v>
      </c>
      <c r="E1463" s="4">
        <v>1288.39</v>
      </c>
      <c r="F1463" s="4">
        <v>51793.28</v>
      </c>
      <c r="G1463" s="4">
        <v>1288.39</v>
      </c>
      <c r="H1463" s="4">
        <v>51793.28</v>
      </c>
    </row>
    <row r="1464" s="1" customFormat="1" ht="14" spans="1:8">
      <c r="A1464" s="2">
        <v>4513010</v>
      </c>
      <c r="B1464" s="2" t="s">
        <v>2136</v>
      </c>
      <c r="C1464" s="3" t="s">
        <v>824</v>
      </c>
      <c r="D1464" s="4">
        <v>502.97</v>
      </c>
      <c r="E1464" s="4">
        <v>8.15</v>
      </c>
      <c r="F1464" s="4">
        <v>4099.26</v>
      </c>
      <c r="G1464" s="4">
        <v>8.15</v>
      </c>
      <c r="H1464" s="4">
        <v>4099.26</v>
      </c>
    </row>
    <row r="1465" s="1" customFormat="1" ht="14" spans="1:8">
      <c r="A1465" s="2">
        <v>4513012</v>
      </c>
      <c r="B1465" s="2" t="s">
        <v>2137</v>
      </c>
      <c r="C1465" s="3" t="s">
        <v>824</v>
      </c>
      <c r="D1465" s="4">
        <v>90.45</v>
      </c>
      <c r="E1465" s="4">
        <v>318.42</v>
      </c>
      <c r="F1465" s="4">
        <v>28801.08</v>
      </c>
      <c r="G1465" s="4">
        <v>318.42</v>
      </c>
      <c r="H1465" s="4">
        <v>28801.08</v>
      </c>
    </row>
    <row r="1466" s="1" customFormat="1" ht="14" spans="1:8">
      <c r="A1466" s="2">
        <v>4611010</v>
      </c>
      <c r="B1466" s="2" t="s">
        <v>2138</v>
      </c>
      <c r="C1466" s="3" t="s">
        <v>824</v>
      </c>
      <c r="D1466" s="4">
        <v>237.3</v>
      </c>
      <c r="E1466" s="4">
        <v>2.62</v>
      </c>
      <c r="F1466" s="4">
        <v>621.73</v>
      </c>
      <c r="G1466" s="4">
        <v>2.62</v>
      </c>
      <c r="H1466" s="4">
        <v>621.73</v>
      </c>
    </row>
    <row r="1467" s="1" customFormat="1" ht="14" spans="1:8">
      <c r="A1467" s="2">
        <v>4611011</v>
      </c>
      <c r="B1467" s="2" t="s">
        <v>2139</v>
      </c>
      <c r="C1467" s="3" t="s">
        <v>824</v>
      </c>
      <c r="D1467" s="4">
        <v>9812.73</v>
      </c>
      <c r="E1467" s="4">
        <v>6.09</v>
      </c>
      <c r="F1467" s="4">
        <v>59759.52</v>
      </c>
      <c r="G1467" s="4">
        <v>6.09</v>
      </c>
      <c r="H1467" s="4">
        <v>59759.52</v>
      </c>
    </row>
    <row r="1468" s="1" customFormat="1" ht="14" spans="1:8">
      <c r="A1468" s="2">
        <v>4611013</v>
      </c>
      <c r="B1468" s="2" t="s">
        <v>2140</v>
      </c>
      <c r="C1468" s="3" t="s">
        <v>824</v>
      </c>
      <c r="D1468" s="4">
        <v>8924.4</v>
      </c>
      <c r="E1468" s="4">
        <v>8.36</v>
      </c>
      <c r="F1468" s="4">
        <v>74607.97</v>
      </c>
      <c r="G1468" s="4">
        <v>8.36</v>
      </c>
      <c r="H1468" s="4">
        <v>74607.97</v>
      </c>
    </row>
    <row r="1469" s="1" customFormat="1" ht="14" spans="1:8">
      <c r="A1469" s="2">
        <v>4611014</v>
      </c>
      <c r="B1469" s="2" t="s">
        <v>2141</v>
      </c>
      <c r="C1469" s="3" t="s">
        <v>824</v>
      </c>
      <c r="D1469" s="4">
        <v>138.69</v>
      </c>
      <c r="E1469" s="4">
        <v>11.25</v>
      </c>
      <c r="F1469" s="4">
        <v>1560.26</v>
      </c>
      <c r="G1469" s="4">
        <v>11.25</v>
      </c>
      <c r="H1469" s="4">
        <v>1560.26</v>
      </c>
    </row>
    <row r="1470" s="1" customFormat="1" ht="14" spans="1:8">
      <c r="A1470" s="2">
        <v>4611015</v>
      </c>
      <c r="B1470" s="2" t="s">
        <v>2142</v>
      </c>
      <c r="C1470" s="3" t="s">
        <v>824</v>
      </c>
      <c r="D1470" s="4">
        <v>1109.52</v>
      </c>
      <c r="E1470" s="4">
        <v>14.17</v>
      </c>
      <c r="F1470" s="4">
        <v>15721.9</v>
      </c>
      <c r="G1470" s="4">
        <v>14.17</v>
      </c>
      <c r="H1470" s="4">
        <v>15721.9</v>
      </c>
    </row>
    <row r="1471" s="1" customFormat="1" ht="14" spans="1:8">
      <c r="A1471" s="2">
        <v>4611016</v>
      </c>
      <c r="B1471" s="2" t="s">
        <v>2143</v>
      </c>
      <c r="C1471" s="3" t="s">
        <v>824</v>
      </c>
      <c r="D1471" s="4">
        <v>7041.46</v>
      </c>
      <c r="E1471" s="4">
        <v>22.59</v>
      </c>
      <c r="F1471" s="4">
        <v>159066.35</v>
      </c>
      <c r="G1471" s="4">
        <v>22.59</v>
      </c>
      <c r="H1471" s="4">
        <v>159066.35</v>
      </c>
    </row>
    <row r="1472" s="1" customFormat="1" ht="14" spans="1:8">
      <c r="A1472" s="2">
        <v>4611019</v>
      </c>
      <c r="B1472" s="2" t="s">
        <v>2144</v>
      </c>
      <c r="C1472" s="3" t="s">
        <v>824</v>
      </c>
      <c r="D1472" s="4">
        <v>1504.48</v>
      </c>
      <c r="E1472" s="4">
        <v>45.2</v>
      </c>
      <c r="F1472" s="4">
        <v>68002.73</v>
      </c>
      <c r="G1472" s="4">
        <v>45.2</v>
      </c>
      <c r="H1472" s="4">
        <v>68002.73</v>
      </c>
    </row>
    <row r="1473" s="1" customFormat="1" ht="14" spans="1:8">
      <c r="A1473" s="2">
        <v>4611020</v>
      </c>
      <c r="B1473" s="2" t="s">
        <v>2145</v>
      </c>
      <c r="C1473" s="3" t="s">
        <v>824</v>
      </c>
      <c r="D1473" s="4">
        <v>2165.44</v>
      </c>
      <c r="E1473" s="4">
        <v>2.44</v>
      </c>
      <c r="F1473" s="4">
        <v>5283.67</v>
      </c>
      <c r="G1473" s="4">
        <v>2.44</v>
      </c>
      <c r="H1473" s="4">
        <v>5283.67</v>
      </c>
    </row>
    <row r="1474" s="1" customFormat="1" ht="14" spans="1:8">
      <c r="A1474" s="2">
        <v>4611024</v>
      </c>
      <c r="B1474" s="2" t="s">
        <v>2146</v>
      </c>
      <c r="C1474" s="3" t="s">
        <v>824</v>
      </c>
      <c r="D1474" s="4">
        <v>34104</v>
      </c>
      <c r="E1474" s="4">
        <v>4.02</v>
      </c>
      <c r="F1474" s="4">
        <v>137098.08</v>
      </c>
      <c r="G1474" s="4">
        <v>4.02</v>
      </c>
      <c r="H1474" s="4">
        <v>137098.08</v>
      </c>
    </row>
    <row r="1475" s="1" customFormat="1" ht="14" spans="1:8">
      <c r="A1475" s="2">
        <v>4611025</v>
      </c>
      <c r="B1475" s="2" t="s">
        <v>2147</v>
      </c>
      <c r="C1475" s="3" t="s">
        <v>824</v>
      </c>
      <c r="D1475" s="4">
        <v>1480</v>
      </c>
      <c r="E1475" s="4">
        <v>6.04</v>
      </c>
      <c r="F1475" s="4">
        <v>8939.2</v>
      </c>
      <c r="G1475" s="4">
        <v>6.04</v>
      </c>
      <c r="H1475" s="4">
        <v>8939.2</v>
      </c>
    </row>
    <row r="1476" s="1" customFormat="1" ht="14" spans="1:8">
      <c r="A1476" s="2">
        <v>4611026</v>
      </c>
      <c r="B1476" s="2" t="s">
        <v>2148</v>
      </c>
      <c r="C1476" s="3" t="s">
        <v>824</v>
      </c>
      <c r="D1476" s="4">
        <v>561</v>
      </c>
      <c r="E1476" s="4">
        <v>7.42</v>
      </c>
      <c r="F1476" s="4">
        <v>4162.62</v>
      </c>
      <c r="G1476" s="4">
        <v>7.42</v>
      </c>
      <c r="H1476" s="4">
        <v>4162.62</v>
      </c>
    </row>
    <row r="1477" s="1" customFormat="1" ht="14" spans="1:8">
      <c r="A1477" s="2">
        <v>4611027</v>
      </c>
      <c r="B1477" s="2" t="s">
        <v>2149</v>
      </c>
      <c r="C1477" s="3" t="s">
        <v>824</v>
      </c>
      <c r="D1477" s="4">
        <v>2432.13</v>
      </c>
      <c r="E1477" s="4">
        <v>8.71</v>
      </c>
      <c r="F1477" s="4">
        <v>21183.86</v>
      </c>
      <c r="G1477" s="4">
        <v>8.71</v>
      </c>
      <c r="H1477" s="4">
        <v>21183.86</v>
      </c>
    </row>
    <row r="1478" s="1" customFormat="1" ht="14" spans="1:8">
      <c r="A1478" s="2">
        <v>4612010</v>
      </c>
      <c r="B1478" s="2" t="s">
        <v>2150</v>
      </c>
      <c r="C1478" s="3" t="s">
        <v>824</v>
      </c>
      <c r="D1478" s="4">
        <v>2.41</v>
      </c>
      <c r="E1478" s="4">
        <v>5.77</v>
      </c>
      <c r="F1478" s="4">
        <v>13.91</v>
      </c>
      <c r="G1478" s="4">
        <v>5.77</v>
      </c>
      <c r="H1478" s="4">
        <v>13.91</v>
      </c>
    </row>
    <row r="1479" s="1" customFormat="1" ht="14" spans="1:8">
      <c r="A1479" s="2">
        <v>4612014</v>
      </c>
      <c r="B1479" s="2" t="s">
        <v>2151</v>
      </c>
      <c r="C1479" s="3" t="s">
        <v>824</v>
      </c>
      <c r="D1479" s="4">
        <v>243.61</v>
      </c>
      <c r="E1479" s="4">
        <v>16.24</v>
      </c>
      <c r="F1479" s="4">
        <v>3956.23</v>
      </c>
      <c r="G1479" s="4">
        <v>16.24</v>
      </c>
      <c r="H1479" s="4">
        <v>3956.23</v>
      </c>
    </row>
    <row r="1480" s="1" customFormat="1" ht="14" spans="1:8">
      <c r="A1480" s="2">
        <v>4612015</v>
      </c>
      <c r="B1480" s="2" t="s">
        <v>2152</v>
      </c>
      <c r="C1480" s="3" t="s">
        <v>824</v>
      </c>
      <c r="D1480" s="4">
        <v>54.27</v>
      </c>
      <c r="E1480" s="4">
        <v>20.26</v>
      </c>
      <c r="F1480" s="4">
        <v>1099.52</v>
      </c>
      <c r="G1480" s="4">
        <v>20.26</v>
      </c>
      <c r="H1480" s="4">
        <v>1099.52</v>
      </c>
    </row>
    <row r="1481" s="1" customFormat="1" ht="14" spans="1:8">
      <c r="A1481" s="2">
        <v>4711015</v>
      </c>
      <c r="B1481" s="2" t="s">
        <v>2153</v>
      </c>
      <c r="C1481" s="3" t="s">
        <v>472</v>
      </c>
      <c r="D1481" s="4">
        <v>297.5</v>
      </c>
      <c r="E1481" s="4">
        <v>4.22</v>
      </c>
      <c r="F1481" s="4">
        <v>1255.44</v>
      </c>
      <c r="G1481" s="4">
        <v>5.03</v>
      </c>
      <c r="H1481" s="4">
        <v>1496.41</v>
      </c>
    </row>
    <row r="1482" s="1" customFormat="1" ht="14" spans="1:8">
      <c r="A1482" s="2">
        <v>4711018</v>
      </c>
      <c r="B1482" s="2" t="s">
        <v>2154</v>
      </c>
      <c r="C1482" s="3" t="s">
        <v>472</v>
      </c>
      <c r="D1482" s="4">
        <v>694.72</v>
      </c>
      <c r="E1482" s="4">
        <v>14.04</v>
      </c>
      <c r="F1482" s="4">
        <v>9753.88</v>
      </c>
      <c r="G1482" s="4">
        <v>16.53</v>
      </c>
      <c r="H1482" s="4">
        <v>11483.73</v>
      </c>
    </row>
    <row r="1483" s="1" customFormat="1" ht="14" spans="1:8">
      <c r="A1483" s="2">
        <v>4714012</v>
      </c>
      <c r="B1483" s="2" t="s">
        <v>2155</v>
      </c>
      <c r="C1483" s="3" t="s">
        <v>472</v>
      </c>
      <c r="D1483" s="4">
        <v>11662.19</v>
      </c>
      <c r="E1483" s="4">
        <v>1.33</v>
      </c>
      <c r="F1483" s="4">
        <v>15510.72</v>
      </c>
      <c r="G1483" s="4">
        <v>1.7</v>
      </c>
      <c r="H1483" s="4">
        <v>19825.72</v>
      </c>
    </row>
    <row r="1484" s="1" customFormat="1" ht="14" spans="1:8">
      <c r="A1484" s="2">
        <v>4714014</v>
      </c>
      <c r="B1484" s="2" t="s">
        <v>2156</v>
      </c>
      <c r="C1484" s="3" t="s">
        <v>472</v>
      </c>
      <c r="D1484" s="4">
        <v>2810.1</v>
      </c>
      <c r="E1484" s="4">
        <v>2.77</v>
      </c>
      <c r="F1484" s="4">
        <v>7783.98</v>
      </c>
      <c r="G1484" s="4">
        <v>3.68</v>
      </c>
      <c r="H1484" s="4">
        <v>10341.17</v>
      </c>
    </row>
    <row r="1485" s="1" customFormat="1" ht="14" spans="1:8">
      <c r="A1485" s="2">
        <v>4714015</v>
      </c>
      <c r="B1485" s="2" t="s">
        <v>2157</v>
      </c>
      <c r="C1485" s="3" t="s">
        <v>472</v>
      </c>
      <c r="D1485" s="4">
        <v>142</v>
      </c>
      <c r="E1485" s="4">
        <v>7.69</v>
      </c>
      <c r="F1485" s="4">
        <v>1091.98</v>
      </c>
      <c r="G1485" s="4">
        <v>10.3</v>
      </c>
      <c r="H1485" s="4">
        <v>1462.6</v>
      </c>
    </row>
    <row r="1486" s="1" customFormat="1" ht="14" spans="1:8">
      <c r="A1486" s="2">
        <v>4715014</v>
      </c>
      <c r="B1486" s="2" t="s">
        <v>2158</v>
      </c>
      <c r="C1486" s="3" t="s">
        <v>472</v>
      </c>
      <c r="D1486" s="4">
        <v>276126.69</v>
      </c>
      <c r="E1486" s="4">
        <v>1.16</v>
      </c>
      <c r="F1486" s="4">
        <v>320306.98</v>
      </c>
      <c r="G1486" s="4">
        <v>1.44</v>
      </c>
      <c r="H1486" s="4">
        <v>397622.4</v>
      </c>
    </row>
    <row r="1487" s="1" customFormat="1" ht="14" spans="1:8">
      <c r="A1487" s="2">
        <v>4715015</v>
      </c>
      <c r="B1487" s="2" t="s">
        <v>2159</v>
      </c>
      <c r="C1487" s="3" t="s">
        <v>472</v>
      </c>
      <c r="D1487" s="4">
        <v>260814</v>
      </c>
      <c r="E1487" s="4">
        <v>1.77</v>
      </c>
      <c r="F1487" s="4">
        <v>461640.78</v>
      </c>
      <c r="G1487" s="4">
        <v>2.18</v>
      </c>
      <c r="H1487" s="4">
        <v>568574.52</v>
      </c>
    </row>
    <row r="1488" s="1" customFormat="1" ht="14" spans="1:8">
      <c r="A1488" s="2">
        <v>4715016</v>
      </c>
      <c r="B1488" s="2" t="s">
        <v>2160</v>
      </c>
      <c r="C1488" s="3" t="s">
        <v>472</v>
      </c>
      <c r="D1488" s="4">
        <v>38008.54</v>
      </c>
      <c r="E1488" s="4">
        <v>2.56</v>
      </c>
      <c r="F1488" s="4">
        <v>97301.84</v>
      </c>
      <c r="G1488" s="4">
        <v>3.26</v>
      </c>
      <c r="H1488" s="4">
        <v>123907.84</v>
      </c>
    </row>
    <row r="1489" s="1" customFormat="1" ht="14" spans="1:8">
      <c r="A1489" s="2">
        <v>4715017</v>
      </c>
      <c r="B1489" s="2" t="s">
        <v>2161</v>
      </c>
      <c r="C1489" s="3" t="s">
        <v>472</v>
      </c>
      <c r="D1489" s="4">
        <v>16642.84</v>
      </c>
      <c r="E1489" s="4">
        <v>4.44</v>
      </c>
      <c r="F1489" s="4">
        <v>73894.2</v>
      </c>
      <c r="G1489" s="4">
        <v>5.72</v>
      </c>
      <c r="H1489" s="4">
        <v>95197.04</v>
      </c>
    </row>
    <row r="1490" s="1" customFormat="1" ht="14" spans="1:8">
      <c r="A1490" s="2">
        <v>4715018</v>
      </c>
      <c r="B1490" s="2" t="s">
        <v>2162</v>
      </c>
      <c r="C1490" s="3" t="s">
        <v>472</v>
      </c>
      <c r="D1490" s="4">
        <v>17918.7</v>
      </c>
      <c r="E1490" s="4">
        <v>6.55</v>
      </c>
      <c r="F1490" s="4">
        <v>117367.49</v>
      </c>
      <c r="G1490" s="4">
        <v>8.57</v>
      </c>
      <c r="H1490" s="4">
        <v>153563.27</v>
      </c>
    </row>
    <row r="1491" s="1" customFormat="1" ht="14" spans="1:8">
      <c r="A1491" s="2">
        <v>4715019</v>
      </c>
      <c r="B1491" s="2" t="s">
        <v>2163</v>
      </c>
      <c r="C1491" s="3" t="s">
        <v>472</v>
      </c>
      <c r="D1491" s="4">
        <v>4202.4</v>
      </c>
      <c r="E1491" s="4">
        <v>10.18</v>
      </c>
      <c r="F1491" s="4">
        <v>42780.44</v>
      </c>
      <c r="G1491" s="4">
        <v>13.39</v>
      </c>
      <c r="H1491" s="4">
        <v>56270.13</v>
      </c>
    </row>
    <row r="1492" s="1" customFormat="1" ht="14" spans="1:8">
      <c r="A1492" s="2">
        <v>4715020</v>
      </c>
      <c r="B1492" s="2" t="s">
        <v>2164</v>
      </c>
      <c r="C1492" s="3" t="s">
        <v>472</v>
      </c>
      <c r="D1492" s="4">
        <v>2856</v>
      </c>
      <c r="E1492" s="4">
        <v>13.99</v>
      </c>
      <c r="F1492" s="4">
        <v>39955.45</v>
      </c>
      <c r="G1492" s="4">
        <v>18.82</v>
      </c>
      <c r="H1492" s="4">
        <v>53749.93</v>
      </c>
    </row>
    <row r="1493" s="1" customFormat="1" ht="14" spans="1:8">
      <c r="A1493" s="2">
        <v>4715021</v>
      </c>
      <c r="B1493" s="2" t="s">
        <v>2165</v>
      </c>
      <c r="C1493" s="3" t="s">
        <v>472</v>
      </c>
      <c r="D1493" s="4">
        <v>6140.6</v>
      </c>
      <c r="E1493" s="4">
        <v>21.15</v>
      </c>
      <c r="F1493" s="4">
        <v>129873.69</v>
      </c>
      <c r="G1493" s="4">
        <v>27.97</v>
      </c>
      <c r="H1493" s="4">
        <v>171752.58</v>
      </c>
    </row>
    <row r="1494" s="1" customFormat="1" ht="14" spans="1:8">
      <c r="A1494" s="2">
        <v>4715023</v>
      </c>
      <c r="B1494" s="2" t="s">
        <v>2166</v>
      </c>
      <c r="C1494" s="3" t="s">
        <v>472</v>
      </c>
      <c r="D1494" s="4">
        <v>1142.4</v>
      </c>
      <c r="E1494" s="4">
        <v>37.04</v>
      </c>
      <c r="F1494" s="4">
        <v>42314.49</v>
      </c>
      <c r="G1494" s="4">
        <v>49.94</v>
      </c>
      <c r="H1494" s="4">
        <v>57051.45</v>
      </c>
    </row>
    <row r="1495" s="1" customFormat="1" ht="14" spans="1:8">
      <c r="A1495" s="2">
        <v>4715024</v>
      </c>
      <c r="B1495" s="2" t="s">
        <v>2167</v>
      </c>
      <c r="C1495" s="3" t="s">
        <v>472</v>
      </c>
      <c r="D1495" s="4">
        <v>3427.2</v>
      </c>
      <c r="E1495" s="4">
        <v>50.53</v>
      </c>
      <c r="F1495" s="4">
        <v>173176.41</v>
      </c>
      <c r="G1495" s="4">
        <v>68.89</v>
      </c>
      <c r="H1495" s="4">
        <v>236099.79</v>
      </c>
    </row>
    <row r="1496" s="1" customFormat="1" ht="14" spans="1:8">
      <c r="A1496" s="2">
        <v>4716012</v>
      </c>
      <c r="B1496" s="2" t="s">
        <v>2168</v>
      </c>
      <c r="C1496" s="3" t="s">
        <v>472</v>
      </c>
      <c r="D1496" s="4">
        <v>423007.95</v>
      </c>
      <c r="E1496" s="4">
        <v>0.9</v>
      </c>
      <c r="F1496" s="4">
        <v>380707.16</v>
      </c>
      <c r="G1496" s="4">
        <v>0.9</v>
      </c>
      <c r="H1496" s="4">
        <v>380707.16</v>
      </c>
    </row>
    <row r="1497" s="1" customFormat="1" ht="14" spans="1:8">
      <c r="A1497" s="2">
        <v>4716013</v>
      </c>
      <c r="B1497" s="2" t="s">
        <v>2169</v>
      </c>
      <c r="C1497" s="3" t="s">
        <v>472</v>
      </c>
      <c r="D1497" s="4">
        <v>22654.28</v>
      </c>
      <c r="E1497" s="4">
        <v>1.42</v>
      </c>
      <c r="F1497" s="4">
        <v>32169.05</v>
      </c>
      <c r="G1497" s="4">
        <v>1.42</v>
      </c>
      <c r="H1497" s="4">
        <v>32169.05</v>
      </c>
    </row>
    <row r="1498" s="1" customFormat="1" ht="14" spans="1:8">
      <c r="A1498" s="2">
        <v>4716014</v>
      </c>
      <c r="B1498" s="2" t="s">
        <v>2170</v>
      </c>
      <c r="C1498" s="3" t="s">
        <v>472</v>
      </c>
      <c r="D1498" s="4">
        <v>264600</v>
      </c>
      <c r="E1498" s="4">
        <v>2.08</v>
      </c>
      <c r="F1498" s="4">
        <v>550368</v>
      </c>
      <c r="G1498" s="4">
        <v>2.08</v>
      </c>
      <c r="H1498" s="4">
        <v>550368</v>
      </c>
    </row>
    <row r="1499" s="1" customFormat="1" ht="28" spans="1:8">
      <c r="A1499" s="2">
        <v>4716049</v>
      </c>
      <c r="B1499" s="2" t="s">
        <v>2171</v>
      </c>
      <c r="C1499" s="3" t="s">
        <v>472</v>
      </c>
      <c r="D1499" s="4">
        <v>16768.5</v>
      </c>
      <c r="E1499" s="4">
        <v>0.61</v>
      </c>
      <c r="F1499" s="4">
        <v>10228.79</v>
      </c>
      <c r="G1499" s="4">
        <v>0.61</v>
      </c>
      <c r="H1499" s="4">
        <v>10228.79</v>
      </c>
    </row>
    <row r="1500" s="1" customFormat="1" ht="28" spans="1:8">
      <c r="A1500" s="2">
        <v>4716050</v>
      </c>
      <c r="B1500" s="2" t="s">
        <v>2172</v>
      </c>
      <c r="C1500" s="3" t="s">
        <v>472</v>
      </c>
      <c r="D1500" s="4">
        <v>62345.18</v>
      </c>
      <c r="E1500" s="4">
        <v>1.25</v>
      </c>
      <c r="F1500" s="4">
        <v>77931.48</v>
      </c>
      <c r="G1500" s="4">
        <v>1.25</v>
      </c>
      <c r="H1500" s="4">
        <v>77931.48</v>
      </c>
    </row>
    <row r="1501" s="1" customFormat="1" ht="28" spans="1:8">
      <c r="A1501" s="2">
        <v>4716052</v>
      </c>
      <c r="B1501" s="2" t="s">
        <v>2173</v>
      </c>
      <c r="C1501" s="3" t="s">
        <v>472</v>
      </c>
      <c r="D1501" s="4">
        <v>15598.5</v>
      </c>
      <c r="E1501" s="4">
        <v>3.05</v>
      </c>
      <c r="F1501" s="4">
        <v>47575.43</v>
      </c>
      <c r="G1501" s="4">
        <v>3.05</v>
      </c>
      <c r="H1501" s="4">
        <v>47575.43</v>
      </c>
    </row>
    <row r="1502" s="1" customFormat="1" ht="14" spans="1:8">
      <c r="A1502" s="2">
        <v>4716053</v>
      </c>
      <c r="B1502" s="2" t="s">
        <v>2174</v>
      </c>
      <c r="C1502" s="3" t="s">
        <v>472</v>
      </c>
      <c r="D1502" s="4">
        <v>7691.5</v>
      </c>
      <c r="E1502" s="4">
        <v>5.07</v>
      </c>
      <c r="F1502" s="4">
        <v>38995.91</v>
      </c>
      <c r="G1502" s="4">
        <v>5.07</v>
      </c>
      <c r="H1502" s="4">
        <v>38995.91</v>
      </c>
    </row>
    <row r="1503" s="1" customFormat="1" ht="14" spans="1:8">
      <c r="A1503" s="2">
        <v>4716054</v>
      </c>
      <c r="B1503" s="2" t="s">
        <v>2175</v>
      </c>
      <c r="C1503" s="3" t="s">
        <v>472</v>
      </c>
      <c r="D1503" s="4">
        <v>1750</v>
      </c>
      <c r="E1503" s="4">
        <v>8.15</v>
      </c>
      <c r="F1503" s="4">
        <v>14262.5</v>
      </c>
      <c r="G1503" s="4">
        <v>8.15</v>
      </c>
      <c r="H1503" s="4">
        <v>14262.5</v>
      </c>
    </row>
    <row r="1504" s="1" customFormat="1" ht="14" spans="1:8">
      <c r="A1504" s="2">
        <v>4716056</v>
      </c>
      <c r="B1504" s="2" t="s">
        <v>2176</v>
      </c>
      <c r="C1504" s="3" t="s">
        <v>472</v>
      </c>
      <c r="D1504" s="4">
        <v>4800.5</v>
      </c>
      <c r="E1504" s="4">
        <v>6.04</v>
      </c>
      <c r="F1504" s="4">
        <v>28995.02</v>
      </c>
      <c r="G1504" s="4">
        <v>6.04</v>
      </c>
      <c r="H1504" s="4">
        <v>28995.02</v>
      </c>
    </row>
    <row r="1505" s="1" customFormat="1" ht="14" spans="1:8">
      <c r="A1505" s="2">
        <v>4716060</v>
      </c>
      <c r="B1505" s="2" t="s">
        <v>2177</v>
      </c>
      <c r="C1505" s="3" t="s">
        <v>472</v>
      </c>
      <c r="D1505" s="4">
        <v>1023285</v>
      </c>
      <c r="E1505" s="4">
        <v>0.41</v>
      </c>
      <c r="F1505" s="4">
        <v>419546.85</v>
      </c>
      <c r="G1505" s="4">
        <v>0.41</v>
      </c>
      <c r="H1505" s="4">
        <v>419546.85</v>
      </c>
    </row>
    <row r="1506" s="1" customFormat="1" ht="14" spans="1:8">
      <c r="A1506" s="2">
        <v>4716210</v>
      </c>
      <c r="B1506" s="2" t="s">
        <v>2178</v>
      </c>
      <c r="C1506" s="3" t="s">
        <v>472</v>
      </c>
      <c r="D1506" s="4">
        <v>7787.1</v>
      </c>
      <c r="E1506" s="4">
        <v>0.6</v>
      </c>
      <c r="F1506" s="4">
        <v>4672.26</v>
      </c>
      <c r="G1506" s="4">
        <v>0.6</v>
      </c>
      <c r="H1506" s="4">
        <v>4672.26</v>
      </c>
    </row>
    <row r="1507" s="1" customFormat="1" ht="14" spans="1:8">
      <c r="A1507" s="2">
        <v>4716216</v>
      </c>
      <c r="B1507" s="2" t="s">
        <v>2179</v>
      </c>
      <c r="C1507" s="3" t="s">
        <v>472</v>
      </c>
      <c r="D1507" s="4">
        <v>120.91</v>
      </c>
      <c r="E1507" s="4">
        <v>2.63</v>
      </c>
      <c r="F1507" s="4">
        <v>317.99</v>
      </c>
      <c r="G1507" s="4">
        <v>2.63</v>
      </c>
      <c r="H1507" s="4">
        <v>317.99</v>
      </c>
    </row>
    <row r="1508" s="1" customFormat="1" ht="14" spans="1:8">
      <c r="A1508" s="2">
        <v>4717012</v>
      </c>
      <c r="B1508" s="2" t="s">
        <v>2180</v>
      </c>
      <c r="C1508" s="3" t="s">
        <v>472</v>
      </c>
      <c r="D1508" s="4">
        <v>147.9</v>
      </c>
      <c r="E1508" s="4">
        <v>0.49</v>
      </c>
      <c r="F1508" s="4">
        <v>72.47</v>
      </c>
      <c r="G1508" s="4">
        <v>0.49</v>
      </c>
      <c r="H1508" s="4">
        <v>72.47</v>
      </c>
    </row>
    <row r="1509" s="1" customFormat="1" ht="14" spans="1:8">
      <c r="A1509" s="2">
        <v>4717015</v>
      </c>
      <c r="B1509" s="2" t="s">
        <v>2181</v>
      </c>
      <c r="C1509" s="3" t="s">
        <v>472</v>
      </c>
      <c r="D1509" s="4">
        <v>1123.02</v>
      </c>
      <c r="E1509" s="4">
        <v>0.8</v>
      </c>
      <c r="F1509" s="4">
        <v>898.41</v>
      </c>
      <c r="G1509" s="4">
        <v>0.8</v>
      </c>
      <c r="H1509" s="4">
        <v>898.41</v>
      </c>
    </row>
    <row r="1510" s="1" customFormat="1" ht="14" spans="1:8">
      <c r="A1510" s="2">
        <v>4717016</v>
      </c>
      <c r="B1510" s="2" t="s">
        <v>2182</v>
      </c>
      <c r="C1510" s="3" t="s">
        <v>472</v>
      </c>
      <c r="D1510" s="4">
        <v>60</v>
      </c>
      <c r="E1510" s="4">
        <v>6.17</v>
      </c>
      <c r="F1510" s="4">
        <v>370.2</v>
      </c>
      <c r="G1510" s="4">
        <v>6.17</v>
      </c>
      <c r="H1510" s="4">
        <v>370.2</v>
      </c>
    </row>
    <row r="1511" s="1" customFormat="1" ht="14" spans="1:8">
      <c r="A1511" s="2">
        <v>4717412</v>
      </c>
      <c r="B1511" s="2" t="s">
        <v>2183</v>
      </c>
      <c r="C1511" s="3" t="s">
        <v>472</v>
      </c>
      <c r="D1511" s="4">
        <v>16</v>
      </c>
      <c r="E1511" s="4">
        <v>9.66</v>
      </c>
      <c r="F1511" s="4">
        <v>154.56</v>
      </c>
      <c r="G1511" s="4">
        <v>9.66</v>
      </c>
      <c r="H1511" s="4">
        <v>154.56</v>
      </c>
    </row>
    <row r="1512" s="1" customFormat="1" ht="14" spans="1:8">
      <c r="A1512" s="2">
        <v>4717413</v>
      </c>
      <c r="B1512" s="2" t="s">
        <v>2184</v>
      </c>
      <c r="C1512" s="3" t="s">
        <v>472</v>
      </c>
      <c r="D1512" s="4">
        <v>64336.8</v>
      </c>
      <c r="E1512" s="4">
        <v>16.22</v>
      </c>
      <c r="F1512" s="4">
        <v>1043542.89</v>
      </c>
      <c r="G1512" s="4">
        <v>16.22</v>
      </c>
      <c r="H1512" s="4">
        <v>1043542.89</v>
      </c>
    </row>
    <row r="1513" s="1" customFormat="1" ht="14" spans="1:8">
      <c r="A1513" s="2">
        <v>4717415</v>
      </c>
      <c r="B1513" s="2" t="s">
        <v>2185</v>
      </c>
      <c r="C1513" s="3" t="s">
        <v>472</v>
      </c>
      <c r="D1513" s="4">
        <v>1638.42</v>
      </c>
      <c r="E1513" s="4">
        <v>50.99</v>
      </c>
      <c r="F1513" s="4">
        <v>83543.03</v>
      </c>
      <c r="G1513" s="4">
        <v>50.99</v>
      </c>
      <c r="H1513" s="4">
        <v>83543.03</v>
      </c>
    </row>
    <row r="1514" s="1" customFormat="1" ht="14" spans="1:8">
      <c r="A1514" s="2">
        <v>4717416</v>
      </c>
      <c r="B1514" s="2" t="s">
        <v>2186</v>
      </c>
      <c r="C1514" s="3" t="s">
        <v>472</v>
      </c>
      <c r="D1514" s="4">
        <v>40</v>
      </c>
      <c r="E1514" s="4">
        <v>32.15</v>
      </c>
      <c r="F1514" s="4">
        <v>1286</v>
      </c>
      <c r="G1514" s="4">
        <v>32.15</v>
      </c>
      <c r="H1514" s="4">
        <v>1286</v>
      </c>
    </row>
    <row r="1515" s="1" customFormat="1" ht="14" spans="1:8">
      <c r="A1515" s="2">
        <v>4717421</v>
      </c>
      <c r="B1515" s="2" t="s">
        <v>2187</v>
      </c>
      <c r="C1515" s="3" t="s">
        <v>472</v>
      </c>
      <c r="D1515" s="4">
        <v>20.2</v>
      </c>
      <c r="E1515" s="4">
        <v>33.61</v>
      </c>
      <c r="F1515" s="4">
        <v>678.92</v>
      </c>
      <c r="G1515" s="4">
        <v>33.61</v>
      </c>
      <c r="H1515" s="4">
        <v>678.92</v>
      </c>
    </row>
    <row r="1516" s="1" customFormat="1" ht="14" spans="1:8">
      <c r="A1516" s="2">
        <v>4717422</v>
      </c>
      <c r="B1516" s="2" t="s">
        <v>2188</v>
      </c>
      <c r="C1516" s="3" t="s">
        <v>472</v>
      </c>
      <c r="D1516" s="4">
        <v>18998.9</v>
      </c>
      <c r="E1516" s="4">
        <v>4.17</v>
      </c>
      <c r="F1516" s="4">
        <v>79225.39</v>
      </c>
      <c r="G1516" s="4">
        <v>4.17</v>
      </c>
      <c r="H1516" s="4">
        <v>79225.39</v>
      </c>
    </row>
    <row r="1517" s="1" customFormat="1" ht="14" spans="1:8">
      <c r="A1517" s="2">
        <v>4720102</v>
      </c>
      <c r="B1517" s="2" t="s">
        <v>2189</v>
      </c>
      <c r="C1517" s="3" t="s">
        <v>472</v>
      </c>
      <c r="D1517" s="4">
        <v>40300</v>
      </c>
      <c r="E1517" s="4">
        <v>7.23</v>
      </c>
      <c r="F1517" s="4">
        <v>291369</v>
      </c>
      <c r="G1517" s="4">
        <v>8.77</v>
      </c>
      <c r="H1517" s="4">
        <v>353431</v>
      </c>
    </row>
    <row r="1518" s="1" customFormat="1" ht="14" spans="1:8">
      <c r="A1518" s="2">
        <v>4720104</v>
      </c>
      <c r="B1518" s="2" t="s">
        <v>2190</v>
      </c>
      <c r="C1518" s="3" t="s">
        <v>472</v>
      </c>
      <c r="D1518" s="4">
        <v>1470</v>
      </c>
      <c r="E1518" s="4">
        <v>15.95</v>
      </c>
      <c r="F1518" s="4">
        <v>23446.5</v>
      </c>
      <c r="G1518" s="4">
        <v>19.88</v>
      </c>
      <c r="H1518" s="4">
        <v>29223.6</v>
      </c>
    </row>
    <row r="1519" s="1" customFormat="1" ht="14" spans="1:8">
      <c r="A1519" s="2">
        <v>4720105</v>
      </c>
      <c r="B1519" s="2" t="s">
        <v>2191</v>
      </c>
      <c r="C1519" s="3" t="s">
        <v>472</v>
      </c>
      <c r="D1519" s="4">
        <v>28557</v>
      </c>
      <c r="E1519" s="4">
        <v>24.38</v>
      </c>
      <c r="F1519" s="4">
        <v>696219.66</v>
      </c>
      <c r="G1519" s="4">
        <v>30.71</v>
      </c>
      <c r="H1519" s="4">
        <v>876985.47</v>
      </c>
    </row>
    <row r="1520" s="1" customFormat="1" ht="14" spans="1:8">
      <c r="A1520" s="2">
        <v>4720304</v>
      </c>
      <c r="B1520" s="2" t="s">
        <v>2192</v>
      </c>
      <c r="C1520" s="3" t="s">
        <v>472</v>
      </c>
      <c r="D1520" s="4">
        <v>54300</v>
      </c>
      <c r="E1520" s="4">
        <v>11.31</v>
      </c>
      <c r="F1520" s="4">
        <v>614133</v>
      </c>
      <c r="G1520" s="4">
        <v>14</v>
      </c>
      <c r="H1520" s="4">
        <v>760200</v>
      </c>
    </row>
    <row r="1521" s="1" customFormat="1" ht="14" spans="1:8">
      <c r="A1521" s="2">
        <v>4720306</v>
      </c>
      <c r="B1521" s="2" t="s">
        <v>2193</v>
      </c>
      <c r="C1521" s="3" t="s">
        <v>472</v>
      </c>
      <c r="D1521" s="4">
        <v>6120</v>
      </c>
      <c r="E1521" s="4">
        <v>24</v>
      </c>
      <c r="F1521" s="4">
        <v>146880</v>
      </c>
      <c r="G1521" s="4">
        <v>30.48</v>
      </c>
      <c r="H1521" s="4">
        <v>186537.6</v>
      </c>
    </row>
    <row r="1522" s="1" customFormat="1" ht="14" spans="1:8">
      <c r="A1522" s="2">
        <v>4725010</v>
      </c>
      <c r="B1522" s="2" t="s">
        <v>2194</v>
      </c>
      <c r="C1522" s="3" t="s">
        <v>472</v>
      </c>
      <c r="D1522" s="4">
        <v>55.08</v>
      </c>
      <c r="E1522" s="4">
        <v>6.4</v>
      </c>
      <c r="F1522" s="4">
        <v>352.51</v>
      </c>
      <c r="G1522" s="4">
        <v>6.4</v>
      </c>
      <c r="H1522" s="4">
        <v>352.51</v>
      </c>
    </row>
    <row r="1523" s="1" customFormat="1" ht="14" spans="1:8">
      <c r="A1523" s="2">
        <v>4725011</v>
      </c>
      <c r="B1523" s="2" t="s">
        <v>2195</v>
      </c>
      <c r="C1523" s="3" t="s">
        <v>472</v>
      </c>
      <c r="D1523" s="4">
        <v>1454.4</v>
      </c>
      <c r="E1523" s="4">
        <v>7.21</v>
      </c>
      <c r="F1523" s="4">
        <v>10486.23</v>
      </c>
      <c r="G1523" s="4">
        <v>7.21</v>
      </c>
      <c r="H1523" s="4">
        <v>10486.23</v>
      </c>
    </row>
    <row r="1524" s="1" customFormat="1" ht="14" spans="1:8">
      <c r="A1524" s="2">
        <v>4729009</v>
      </c>
      <c r="B1524" s="2" t="s">
        <v>2196</v>
      </c>
      <c r="C1524" s="3" t="s">
        <v>472</v>
      </c>
      <c r="D1524" s="4">
        <v>620</v>
      </c>
      <c r="E1524" s="4">
        <v>52.87</v>
      </c>
      <c r="F1524" s="4">
        <v>32779.4</v>
      </c>
      <c r="G1524" s="4">
        <v>52.87</v>
      </c>
      <c r="H1524" s="4">
        <v>32779.4</v>
      </c>
    </row>
    <row r="1525" s="1" customFormat="1" ht="14" spans="1:8">
      <c r="A1525" s="2">
        <v>4729110</v>
      </c>
      <c r="B1525" s="2" t="s">
        <v>2197</v>
      </c>
      <c r="C1525" s="3" t="s">
        <v>472</v>
      </c>
      <c r="D1525" s="4">
        <v>36000</v>
      </c>
      <c r="E1525" s="4">
        <v>7.23</v>
      </c>
      <c r="F1525" s="4">
        <v>260280</v>
      </c>
      <c r="G1525" s="4">
        <v>8.83</v>
      </c>
      <c r="H1525" s="4">
        <v>317880</v>
      </c>
    </row>
    <row r="1526" s="1" customFormat="1" ht="14" spans="1:8">
      <c r="A1526" s="2">
        <v>4729111</v>
      </c>
      <c r="B1526" s="2" t="s">
        <v>2198</v>
      </c>
      <c r="C1526" s="3" t="s">
        <v>472</v>
      </c>
      <c r="D1526" s="4">
        <v>31794</v>
      </c>
      <c r="E1526" s="4">
        <v>14.61</v>
      </c>
      <c r="F1526" s="4">
        <v>464510.34</v>
      </c>
      <c r="G1526" s="4">
        <v>18.09</v>
      </c>
      <c r="H1526" s="4">
        <v>575153.46</v>
      </c>
    </row>
    <row r="1527" s="1" customFormat="1" ht="14" spans="1:8">
      <c r="A1527" s="2">
        <v>4729112</v>
      </c>
      <c r="B1527" s="2" t="s">
        <v>2199</v>
      </c>
      <c r="C1527" s="3" t="s">
        <v>472</v>
      </c>
      <c r="D1527" s="4">
        <v>30</v>
      </c>
      <c r="E1527" s="4">
        <v>23.14</v>
      </c>
      <c r="F1527" s="4">
        <v>694.2</v>
      </c>
      <c r="G1527" s="4">
        <v>29.05</v>
      </c>
      <c r="H1527" s="4">
        <v>871.5</v>
      </c>
    </row>
    <row r="1528" s="1" customFormat="1" ht="14" spans="1:8">
      <c r="A1528" s="2">
        <v>4729210</v>
      </c>
      <c r="B1528" s="2" t="s">
        <v>2200</v>
      </c>
      <c r="C1528" s="3" t="s">
        <v>472</v>
      </c>
      <c r="D1528" s="4">
        <v>790</v>
      </c>
      <c r="E1528" s="4">
        <v>9.44</v>
      </c>
      <c r="F1528" s="4">
        <v>7457.6</v>
      </c>
      <c r="G1528" s="4">
        <v>11.52</v>
      </c>
      <c r="H1528" s="4">
        <v>9100.8</v>
      </c>
    </row>
    <row r="1529" s="1" customFormat="1" ht="14" spans="1:8">
      <c r="A1529" s="2">
        <v>4729211</v>
      </c>
      <c r="B1529" s="2" t="s">
        <v>2201</v>
      </c>
      <c r="C1529" s="3" t="s">
        <v>472</v>
      </c>
      <c r="D1529" s="4">
        <v>130</v>
      </c>
      <c r="E1529" s="4">
        <v>18.53</v>
      </c>
      <c r="F1529" s="4">
        <v>2408.9</v>
      </c>
      <c r="G1529" s="4">
        <v>22.95</v>
      </c>
      <c r="H1529" s="4">
        <v>2983.5</v>
      </c>
    </row>
    <row r="1530" s="1" customFormat="1" ht="28" spans="1:8">
      <c r="A1530" s="2">
        <v>4729711</v>
      </c>
      <c r="B1530" s="2" t="s">
        <v>2202</v>
      </c>
      <c r="C1530" s="3" t="s">
        <v>472</v>
      </c>
      <c r="D1530" s="4">
        <v>2320</v>
      </c>
      <c r="E1530" s="4">
        <v>19.23</v>
      </c>
      <c r="F1530" s="4">
        <v>44613.6</v>
      </c>
      <c r="G1530" s="4">
        <v>23.49</v>
      </c>
      <c r="H1530" s="4">
        <v>54496.8</v>
      </c>
    </row>
    <row r="1531" s="1" customFormat="1" ht="28" spans="1:8">
      <c r="A1531" s="2">
        <v>4729712</v>
      </c>
      <c r="B1531" s="2" t="s">
        <v>2203</v>
      </c>
      <c r="C1531" s="3" t="s">
        <v>472</v>
      </c>
      <c r="D1531" s="4">
        <v>1240</v>
      </c>
      <c r="E1531" s="4">
        <v>28.16</v>
      </c>
      <c r="F1531" s="4">
        <v>34918.4</v>
      </c>
      <c r="G1531" s="4">
        <v>34.49</v>
      </c>
      <c r="H1531" s="4">
        <v>42767.6</v>
      </c>
    </row>
    <row r="1532" s="1" customFormat="1" ht="28" spans="1:8">
      <c r="A1532" s="2">
        <v>4729713</v>
      </c>
      <c r="B1532" s="2" t="s">
        <v>2204</v>
      </c>
      <c r="C1532" s="3" t="s">
        <v>472</v>
      </c>
      <c r="D1532" s="4">
        <v>810</v>
      </c>
      <c r="E1532" s="4">
        <v>38.59</v>
      </c>
      <c r="F1532" s="4">
        <v>31257.9</v>
      </c>
      <c r="G1532" s="4">
        <v>47.84</v>
      </c>
      <c r="H1532" s="4">
        <v>38750.4</v>
      </c>
    </row>
    <row r="1533" s="1" customFormat="1" ht="14" spans="1:8">
      <c r="A1533" s="2">
        <v>4731012</v>
      </c>
      <c r="B1533" s="2" t="s">
        <v>2205</v>
      </c>
      <c r="C1533" s="3" t="s">
        <v>472</v>
      </c>
      <c r="D1533" s="4">
        <v>148.09</v>
      </c>
      <c r="E1533" s="4">
        <v>100.9</v>
      </c>
      <c r="F1533" s="4">
        <v>14941.88</v>
      </c>
      <c r="G1533" s="4">
        <v>125.63</v>
      </c>
      <c r="H1533" s="4">
        <v>18604.04</v>
      </c>
    </row>
    <row r="1534" s="1" customFormat="1" ht="14" spans="1:8">
      <c r="A1534" s="2">
        <v>4731131</v>
      </c>
      <c r="B1534" s="2" t="s">
        <v>2206</v>
      </c>
      <c r="C1534" s="3" t="s">
        <v>472</v>
      </c>
      <c r="D1534" s="4">
        <v>28780.32</v>
      </c>
      <c r="E1534" s="4">
        <v>85.27</v>
      </c>
      <c r="F1534" s="4">
        <v>2454097.89</v>
      </c>
      <c r="G1534" s="4">
        <v>85.27</v>
      </c>
      <c r="H1534" s="4">
        <v>2454097.89</v>
      </c>
    </row>
    <row r="1535" s="1" customFormat="1" ht="14" spans="1:8">
      <c r="A1535" s="2">
        <v>4731135</v>
      </c>
      <c r="B1535" s="2" t="s">
        <v>2207</v>
      </c>
      <c r="C1535" s="3" t="s">
        <v>472</v>
      </c>
      <c r="D1535" s="4">
        <v>3480</v>
      </c>
      <c r="E1535" s="4">
        <v>215.66</v>
      </c>
      <c r="F1535" s="4">
        <v>750496.8</v>
      </c>
      <c r="G1535" s="4">
        <v>215.66</v>
      </c>
      <c r="H1535" s="4">
        <v>750496.8</v>
      </c>
    </row>
    <row r="1536" s="1" customFormat="1" ht="14" spans="1:8">
      <c r="A1536" s="2">
        <v>4731141</v>
      </c>
      <c r="B1536" s="2" t="s">
        <v>2208</v>
      </c>
      <c r="C1536" s="3" t="s">
        <v>472</v>
      </c>
      <c r="D1536" s="4">
        <v>2970</v>
      </c>
      <c r="E1536" s="4">
        <v>62.97</v>
      </c>
      <c r="F1536" s="4">
        <v>187020.9</v>
      </c>
      <c r="G1536" s="4">
        <v>62.97</v>
      </c>
      <c r="H1536" s="4">
        <v>187020.9</v>
      </c>
    </row>
    <row r="1537" s="1" customFormat="1" ht="14" spans="1:8">
      <c r="A1537" s="2">
        <v>4731143</v>
      </c>
      <c r="B1537" s="2" t="s">
        <v>2209</v>
      </c>
      <c r="C1537" s="3" t="s">
        <v>472</v>
      </c>
      <c r="D1537" s="4">
        <v>35230</v>
      </c>
      <c r="E1537" s="4">
        <v>31.05</v>
      </c>
      <c r="F1537" s="4">
        <v>1093891.5</v>
      </c>
      <c r="G1537" s="4">
        <v>31.05</v>
      </c>
      <c r="H1537" s="4">
        <v>1093891.5</v>
      </c>
    </row>
    <row r="1538" s="1" customFormat="1" ht="14" spans="1:8">
      <c r="A1538" s="2">
        <v>4731145</v>
      </c>
      <c r="B1538" s="2" t="s">
        <v>2210</v>
      </c>
      <c r="C1538" s="3" t="s">
        <v>472</v>
      </c>
      <c r="D1538" s="4">
        <v>13500</v>
      </c>
      <c r="E1538" s="4">
        <v>63.47</v>
      </c>
      <c r="F1538" s="4">
        <v>856845</v>
      </c>
      <c r="G1538" s="4">
        <v>63.47</v>
      </c>
      <c r="H1538" s="4">
        <v>856845</v>
      </c>
    </row>
    <row r="1539" s="1" customFormat="1" ht="14" spans="1:8">
      <c r="A1539" s="2">
        <v>4731150</v>
      </c>
      <c r="B1539" s="2" t="s">
        <v>2211</v>
      </c>
      <c r="C1539" s="3" t="s">
        <v>472</v>
      </c>
      <c r="D1539" s="4">
        <v>450</v>
      </c>
      <c r="E1539" s="4">
        <v>258.79</v>
      </c>
      <c r="F1539" s="4">
        <v>116455.5</v>
      </c>
      <c r="G1539" s="4">
        <v>258.79</v>
      </c>
      <c r="H1539" s="4">
        <v>116455.5</v>
      </c>
    </row>
    <row r="1540" s="1" customFormat="1" ht="28" spans="1:8">
      <c r="A1540" s="2">
        <v>4731602</v>
      </c>
      <c r="B1540" s="2" t="s">
        <v>2212</v>
      </c>
      <c r="C1540" s="3" t="s">
        <v>472</v>
      </c>
      <c r="D1540" s="4">
        <v>1338.25</v>
      </c>
      <c r="E1540" s="4">
        <v>6.77</v>
      </c>
      <c r="F1540" s="4">
        <v>9059.96</v>
      </c>
      <c r="G1540" s="4">
        <v>6.77</v>
      </c>
      <c r="H1540" s="4">
        <v>9059.96</v>
      </c>
    </row>
    <row r="1541" s="1" customFormat="1" ht="28" spans="1:8">
      <c r="A1541" s="2">
        <v>4731603</v>
      </c>
      <c r="B1541" s="2" t="s">
        <v>2213</v>
      </c>
      <c r="C1541" s="3" t="s">
        <v>472</v>
      </c>
      <c r="D1541" s="4">
        <v>1287.75</v>
      </c>
      <c r="E1541" s="4">
        <v>9.14</v>
      </c>
      <c r="F1541" s="4">
        <v>11770.04</v>
      </c>
      <c r="G1541" s="4">
        <v>9.14</v>
      </c>
      <c r="H1541" s="4">
        <v>11770.04</v>
      </c>
    </row>
    <row r="1542" s="1" customFormat="1" ht="28" spans="1:8">
      <c r="A1542" s="2">
        <v>4731607</v>
      </c>
      <c r="B1542" s="2" t="s">
        <v>2214</v>
      </c>
      <c r="C1542" s="3" t="s">
        <v>472</v>
      </c>
      <c r="D1542" s="4">
        <v>2305.2</v>
      </c>
      <c r="E1542" s="4">
        <v>8.69</v>
      </c>
      <c r="F1542" s="4">
        <v>20032.19</v>
      </c>
      <c r="G1542" s="4">
        <v>8.69</v>
      </c>
      <c r="H1542" s="4">
        <v>20032.19</v>
      </c>
    </row>
    <row r="1543" s="1" customFormat="1" ht="28" spans="1:8">
      <c r="A1543" s="2">
        <v>4731608</v>
      </c>
      <c r="B1543" s="2" t="s">
        <v>2215</v>
      </c>
      <c r="C1543" s="3" t="s">
        <v>472</v>
      </c>
      <c r="D1543" s="4">
        <v>1632</v>
      </c>
      <c r="E1543" s="4">
        <v>12.51</v>
      </c>
      <c r="F1543" s="4">
        <v>20416.32</v>
      </c>
      <c r="G1543" s="4">
        <v>12.51</v>
      </c>
      <c r="H1543" s="4">
        <v>20416.32</v>
      </c>
    </row>
    <row r="1544" s="1" customFormat="1" ht="28" spans="1:8">
      <c r="A1544" s="2">
        <v>4731609</v>
      </c>
      <c r="B1544" s="2" t="s">
        <v>2216</v>
      </c>
      <c r="C1544" s="3" t="s">
        <v>472</v>
      </c>
      <c r="D1544" s="4">
        <v>475.4</v>
      </c>
      <c r="E1544" s="4">
        <v>15.77</v>
      </c>
      <c r="F1544" s="4">
        <v>7497.06</v>
      </c>
      <c r="G1544" s="4">
        <v>15.77</v>
      </c>
      <c r="H1544" s="4">
        <v>7497.06</v>
      </c>
    </row>
    <row r="1545" s="1" customFormat="1" ht="28" spans="1:8">
      <c r="A1545" s="2">
        <v>4731610</v>
      </c>
      <c r="B1545" s="2" t="s">
        <v>2217</v>
      </c>
      <c r="C1545" s="3" t="s">
        <v>472</v>
      </c>
      <c r="D1545" s="4">
        <v>200</v>
      </c>
      <c r="E1545" s="4">
        <v>18.35</v>
      </c>
      <c r="F1545" s="4">
        <v>3670</v>
      </c>
      <c r="G1545" s="4">
        <v>18.35</v>
      </c>
      <c r="H1545" s="4">
        <v>3670</v>
      </c>
    </row>
    <row r="1546" s="1" customFormat="1" ht="28" spans="1:8">
      <c r="A1546" s="2">
        <v>4732012</v>
      </c>
      <c r="B1546" s="2" t="s">
        <v>2218</v>
      </c>
      <c r="C1546" s="3" t="s">
        <v>472</v>
      </c>
      <c r="D1546" s="4">
        <v>7202.5</v>
      </c>
      <c r="E1546" s="4">
        <v>8.16</v>
      </c>
      <c r="F1546" s="4">
        <v>58772.52</v>
      </c>
      <c r="G1546" s="4">
        <v>10.27</v>
      </c>
      <c r="H1546" s="4">
        <v>73969.81</v>
      </c>
    </row>
    <row r="1547" s="1" customFormat="1" ht="28" spans="1:8">
      <c r="A1547" s="2">
        <v>4732014</v>
      </c>
      <c r="B1547" s="2" t="s">
        <v>2219</v>
      </c>
      <c r="C1547" s="3" t="s">
        <v>472</v>
      </c>
      <c r="D1547" s="4">
        <v>228602.4</v>
      </c>
      <c r="E1547" s="4">
        <v>11.87</v>
      </c>
      <c r="F1547" s="4">
        <v>2713510.49</v>
      </c>
      <c r="G1547" s="4">
        <v>15.27</v>
      </c>
      <c r="H1547" s="4">
        <v>3490758.65</v>
      </c>
    </row>
    <row r="1548" s="1" customFormat="1" ht="28" spans="1:8">
      <c r="A1548" s="2">
        <v>4732526</v>
      </c>
      <c r="B1548" s="2" t="s">
        <v>2220</v>
      </c>
      <c r="C1548" s="3" t="s">
        <v>472</v>
      </c>
      <c r="D1548" s="4">
        <v>3737</v>
      </c>
      <c r="E1548" s="4">
        <v>14.52</v>
      </c>
      <c r="F1548" s="4">
        <v>54261.24</v>
      </c>
      <c r="G1548" s="4">
        <v>14.52</v>
      </c>
      <c r="H1548" s="4">
        <v>54261.24</v>
      </c>
    </row>
    <row r="1549" s="1" customFormat="1" ht="28" spans="1:8">
      <c r="A1549" s="2">
        <v>4732546</v>
      </c>
      <c r="B1549" s="2" t="s">
        <v>2221</v>
      </c>
      <c r="C1549" s="3" t="s">
        <v>472</v>
      </c>
      <c r="D1549" s="4">
        <v>20400</v>
      </c>
      <c r="E1549" s="4">
        <v>2.32</v>
      </c>
      <c r="F1549" s="4">
        <v>47328</v>
      </c>
      <c r="G1549" s="4">
        <v>2.32</v>
      </c>
      <c r="H1549" s="4">
        <v>47328</v>
      </c>
    </row>
    <row r="1550" s="1" customFormat="1" ht="28" spans="1:8">
      <c r="A1550" s="2">
        <v>4732547</v>
      </c>
      <c r="B1550" s="2" t="s">
        <v>2222</v>
      </c>
      <c r="C1550" s="3" t="s">
        <v>472</v>
      </c>
      <c r="D1550" s="4">
        <v>16932</v>
      </c>
      <c r="E1550" s="4">
        <v>3.69</v>
      </c>
      <c r="F1550" s="4">
        <v>62479.08</v>
      </c>
      <c r="G1550" s="4">
        <v>3.69</v>
      </c>
      <c r="H1550" s="4">
        <v>62479.08</v>
      </c>
    </row>
    <row r="1551" s="1" customFormat="1" ht="28" spans="1:8">
      <c r="A1551" s="2">
        <v>4732653</v>
      </c>
      <c r="B1551" s="2" t="s">
        <v>2223</v>
      </c>
      <c r="C1551" s="3" t="s">
        <v>472</v>
      </c>
      <c r="D1551" s="4">
        <v>20.4</v>
      </c>
      <c r="E1551" s="4">
        <v>54.48</v>
      </c>
      <c r="F1551" s="4">
        <v>1111.39</v>
      </c>
      <c r="G1551" s="4">
        <v>54.48</v>
      </c>
      <c r="H1551" s="4">
        <v>1111.39</v>
      </c>
    </row>
    <row r="1552" s="1" customFormat="1" ht="28" spans="1:8">
      <c r="A1552" s="2">
        <v>4732832</v>
      </c>
      <c r="B1552" s="2" t="s">
        <v>2224</v>
      </c>
      <c r="C1552" s="3" t="s">
        <v>472</v>
      </c>
      <c r="D1552" s="4">
        <v>22500</v>
      </c>
      <c r="E1552" s="4">
        <v>9.91</v>
      </c>
      <c r="F1552" s="4">
        <v>222975</v>
      </c>
      <c r="G1552" s="4">
        <v>9.91</v>
      </c>
      <c r="H1552" s="4">
        <v>222975</v>
      </c>
    </row>
    <row r="1553" s="1" customFormat="1" ht="28" spans="1:8">
      <c r="A1553" s="2">
        <v>4732834</v>
      </c>
      <c r="B1553" s="2" t="s">
        <v>2225</v>
      </c>
      <c r="C1553" s="3" t="s">
        <v>472</v>
      </c>
      <c r="D1553" s="4">
        <v>93300</v>
      </c>
      <c r="E1553" s="4">
        <v>14.23</v>
      </c>
      <c r="F1553" s="4">
        <v>1327659</v>
      </c>
      <c r="G1553" s="4">
        <v>14.23</v>
      </c>
      <c r="H1553" s="4">
        <v>1327659</v>
      </c>
    </row>
    <row r="1554" s="1" customFormat="1" ht="28" spans="1:8">
      <c r="A1554" s="2">
        <v>4732836</v>
      </c>
      <c r="B1554" s="2" t="s">
        <v>2226</v>
      </c>
      <c r="C1554" s="3" t="s">
        <v>472</v>
      </c>
      <c r="D1554" s="4">
        <v>31500</v>
      </c>
      <c r="E1554" s="4">
        <v>20.01</v>
      </c>
      <c r="F1554" s="4">
        <v>630315</v>
      </c>
      <c r="G1554" s="4">
        <v>20.01</v>
      </c>
      <c r="H1554" s="4">
        <v>630315</v>
      </c>
    </row>
    <row r="1555" s="1" customFormat="1" ht="14" spans="1:8">
      <c r="A1555" s="2">
        <v>4733014</v>
      </c>
      <c r="B1555" s="2" t="s">
        <v>2227</v>
      </c>
      <c r="C1555" s="3" t="s">
        <v>472</v>
      </c>
      <c r="D1555" s="4">
        <v>300</v>
      </c>
      <c r="E1555" s="4">
        <v>7.52</v>
      </c>
      <c r="F1555" s="4">
        <v>2256</v>
      </c>
      <c r="G1555" s="4">
        <v>9.13</v>
      </c>
      <c r="H1555" s="4">
        <v>2739</v>
      </c>
    </row>
    <row r="1556" s="1" customFormat="1" ht="14" spans="1:8">
      <c r="A1556" s="2">
        <v>4733015</v>
      </c>
      <c r="B1556" s="2" t="s">
        <v>2228</v>
      </c>
      <c r="C1556" s="3" t="s">
        <v>472</v>
      </c>
      <c r="D1556" s="4">
        <v>2800</v>
      </c>
      <c r="E1556" s="4">
        <v>6.82</v>
      </c>
      <c r="F1556" s="4">
        <v>19096</v>
      </c>
      <c r="G1556" s="4">
        <v>8.34</v>
      </c>
      <c r="H1556" s="4">
        <v>23352</v>
      </c>
    </row>
    <row r="1557" s="1" customFormat="1" ht="14" spans="1:8">
      <c r="A1557" s="2">
        <v>4733016</v>
      </c>
      <c r="B1557" s="2" t="s">
        <v>2229</v>
      </c>
      <c r="C1557" s="3" t="s">
        <v>472</v>
      </c>
      <c r="D1557" s="4">
        <v>4100</v>
      </c>
      <c r="E1557" s="4">
        <v>9.91</v>
      </c>
      <c r="F1557" s="4">
        <v>40631</v>
      </c>
      <c r="G1557" s="4">
        <v>12.1</v>
      </c>
      <c r="H1557" s="4">
        <v>49610</v>
      </c>
    </row>
    <row r="1558" s="1" customFormat="1" ht="14" spans="1:8">
      <c r="A1558" s="2">
        <v>4733109</v>
      </c>
      <c r="B1558" s="2" t="s">
        <v>2230</v>
      </c>
      <c r="C1558" s="3" t="s">
        <v>472</v>
      </c>
      <c r="D1558" s="4">
        <v>1100</v>
      </c>
      <c r="E1558" s="4">
        <v>15.2</v>
      </c>
      <c r="F1558" s="4">
        <v>16720</v>
      </c>
      <c r="G1558" s="4">
        <v>18.78</v>
      </c>
      <c r="H1558" s="4">
        <v>20658</v>
      </c>
    </row>
    <row r="1559" s="1" customFormat="1" ht="14" spans="1:8">
      <c r="A1559" s="2">
        <v>4733309</v>
      </c>
      <c r="B1559" s="2" t="s">
        <v>2231</v>
      </c>
      <c r="C1559" s="3" t="s">
        <v>472</v>
      </c>
      <c r="D1559" s="4">
        <v>600</v>
      </c>
      <c r="E1559" s="4">
        <v>25.09</v>
      </c>
      <c r="F1559" s="4">
        <v>15054</v>
      </c>
      <c r="G1559" s="4">
        <v>31.5</v>
      </c>
      <c r="H1559" s="4">
        <v>18900</v>
      </c>
    </row>
    <row r="1560" s="1" customFormat="1" ht="14" spans="1:8">
      <c r="A1560" s="2">
        <v>4733451</v>
      </c>
      <c r="B1560" s="2" t="s">
        <v>2232</v>
      </c>
      <c r="C1560" s="3" t="s">
        <v>472</v>
      </c>
      <c r="D1560" s="4">
        <v>6200</v>
      </c>
      <c r="E1560" s="4">
        <v>23.94</v>
      </c>
      <c r="F1560" s="4">
        <v>148428</v>
      </c>
      <c r="G1560" s="4">
        <v>23.94</v>
      </c>
      <c r="H1560" s="4">
        <v>148428</v>
      </c>
    </row>
    <row r="1561" s="1" customFormat="1" ht="14" spans="1:8">
      <c r="A1561" s="2">
        <v>4733456</v>
      </c>
      <c r="B1561" s="2" t="s">
        <v>2233</v>
      </c>
      <c r="C1561" s="3" t="s">
        <v>472</v>
      </c>
      <c r="D1561" s="4">
        <v>21730</v>
      </c>
      <c r="E1561" s="4">
        <v>14.87</v>
      </c>
      <c r="F1561" s="4">
        <v>323125.1</v>
      </c>
      <c r="G1561" s="4">
        <v>14.87</v>
      </c>
      <c r="H1561" s="4">
        <v>323125.1</v>
      </c>
    </row>
    <row r="1562" s="1" customFormat="1" ht="14" spans="1:8">
      <c r="A1562" s="2">
        <v>4740011</v>
      </c>
      <c r="B1562" s="2" t="s">
        <v>2234</v>
      </c>
      <c r="C1562" s="3" t="s">
        <v>824</v>
      </c>
      <c r="D1562" s="4">
        <v>56285.01</v>
      </c>
      <c r="E1562" s="4">
        <v>2.02</v>
      </c>
      <c r="F1562" s="4">
        <v>113695.69</v>
      </c>
      <c r="G1562" s="4">
        <v>2.02</v>
      </c>
      <c r="H1562" s="4">
        <v>113695.69</v>
      </c>
    </row>
    <row r="1563" s="1" customFormat="1" ht="14" spans="1:8">
      <c r="A1563" s="2">
        <v>4740012</v>
      </c>
      <c r="B1563" s="2" t="s">
        <v>2235</v>
      </c>
      <c r="C1563" s="3" t="s">
        <v>824</v>
      </c>
      <c r="D1563" s="4">
        <v>8169.58</v>
      </c>
      <c r="E1563" s="4">
        <v>2.44</v>
      </c>
      <c r="F1563" s="4">
        <v>19933.77</v>
      </c>
      <c r="G1563" s="4">
        <v>2.44</v>
      </c>
      <c r="H1563" s="4">
        <v>19933.77</v>
      </c>
    </row>
    <row r="1564" s="1" customFormat="1" ht="14" spans="1:8">
      <c r="A1564" s="2">
        <v>4740014</v>
      </c>
      <c r="B1564" s="2" t="s">
        <v>2236</v>
      </c>
      <c r="C1564" s="3" t="s">
        <v>725</v>
      </c>
      <c r="D1564" s="4">
        <v>10857.5</v>
      </c>
      <c r="E1564" s="4">
        <v>14.54</v>
      </c>
      <c r="F1564" s="4">
        <v>157868.05</v>
      </c>
      <c r="G1564" s="4">
        <v>14.54</v>
      </c>
      <c r="H1564" s="4">
        <v>157868.05</v>
      </c>
    </row>
    <row r="1565" s="1" customFormat="1" ht="14" spans="1:8">
      <c r="A1565" s="2">
        <v>4740015</v>
      </c>
      <c r="B1565" s="2" t="s">
        <v>2237</v>
      </c>
      <c r="C1565" s="3" t="s">
        <v>824</v>
      </c>
      <c r="D1565" s="4">
        <v>18.97</v>
      </c>
      <c r="E1565" s="4">
        <v>6.46</v>
      </c>
      <c r="F1565" s="4">
        <v>122.57</v>
      </c>
      <c r="G1565" s="4">
        <v>6.46</v>
      </c>
      <c r="H1565" s="4">
        <v>122.57</v>
      </c>
    </row>
    <row r="1566" s="1" customFormat="1" ht="14" spans="1:8">
      <c r="A1566" s="2">
        <v>4740018</v>
      </c>
      <c r="B1566" s="2" t="s">
        <v>2238</v>
      </c>
      <c r="C1566" s="3" t="s">
        <v>1019</v>
      </c>
      <c r="D1566" s="4">
        <v>1948.8</v>
      </c>
      <c r="E1566" s="4">
        <v>1.64</v>
      </c>
      <c r="F1566" s="4">
        <v>3196.03</v>
      </c>
      <c r="G1566" s="4">
        <v>1.64</v>
      </c>
      <c r="H1566" s="4">
        <v>3196.03</v>
      </c>
    </row>
    <row r="1567" s="1" customFormat="1" ht="14" spans="1:8">
      <c r="A1567" s="2">
        <v>4740019</v>
      </c>
      <c r="B1567" s="2" t="s">
        <v>2239</v>
      </c>
      <c r="C1567" s="3" t="s">
        <v>1019</v>
      </c>
      <c r="D1567" s="4">
        <v>365.4</v>
      </c>
      <c r="E1567" s="4">
        <v>2.05</v>
      </c>
      <c r="F1567" s="4">
        <v>749.07</v>
      </c>
      <c r="G1567" s="4">
        <v>2.05</v>
      </c>
      <c r="H1567" s="4">
        <v>749.07</v>
      </c>
    </row>
    <row r="1568" s="1" customFormat="1" ht="14" spans="1:8">
      <c r="A1568" s="2">
        <v>4741144</v>
      </c>
      <c r="B1568" s="2" t="s">
        <v>2240</v>
      </c>
      <c r="C1568" s="3" t="s">
        <v>472</v>
      </c>
      <c r="D1568" s="4">
        <v>1517.55</v>
      </c>
      <c r="E1568" s="4">
        <v>181.79</v>
      </c>
      <c r="F1568" s="4">
        <v>275875.43</v>
      </c>
      <c r="G1568" s="4">
        <v>181.79</v>
      </c>
      <c r="H1568" s="4">
        <v>275875.43</v>
      </c>
    </row>
    <row r="1569" s="1" customFormat="1" ht="14" spans="1:8">
      <c r="A1569" s="2">
        <v>4741154</v>
      </c>
      <c r="B1569" s="2" t="s">
        <v>2241</v>
      </c>
      <c r="C1569" s="3" t="s">
        <v>472</v>
      </c>
      <c r="D1569" s="4">
        <v>301.5</v>
      </c>
      <c r="E1569" s="4">
        <v>177.85</v>
      </c>
      <c r="F1569" s="4">
        <v>53621.78</v>
      </c>
      <c r="G1569" s="4">
        <v>177.85</v>
      </c>
      <c r="H1569" s="4">
        <v>53621.78</v>
      </c>
    </row>
    <row r="1570" s="1" customFormat="1" ht="14" spans="1:8">
      <c r="A1570" s="2">
        <v>4742010</v>
      </c>
      <c r="B1570" s="2" t="s">
        <v>2242</v>
      </c>
      <c r="C1570" s="3" t="s">
        <v>824</v>
      </c>
      <c r="D1570" s="4">
        <v>600.88</v>
      </c>
      <c r="E1570" s="4">
        <v>84.89</v>
      </c>
      <c r="F1570" s="4">
        <v>51008.69</v>
      </c>
      <c r="G1570" s="4">
        <v>84.89</v>
      </c>
      <c r="H1570" s="4">
        <v>51008.69</v>
      </c>
    </row>
    <row r="1571" s="1" customFormat="1" ht="14" spans="1:8">
      <c r="A1571" s="2">
        <v>4743013</v>
      </c>
      <c r="B1571" s="2" t="s">
        <v>2243</v>
      </c>
      <c r="C1571" s="3" t="s">
        <v>824</v>
      </c>
      <c r="D1571" s="4">
        <v>1757.4</v>
      </c>
      <c r="E1571" s="4">
        <v>4.63</v>
      </c>
      <c r="F1571" s="4">
        <v>8136.77</v>
      </c>
      <c r="G1571" s="4">
        <v>4.63</v>
      </c>
      <c r="H1571" s="4">
        <v>8136.77</v>
      </c>
    </row>
    <row r="1572" s="1" customFormat="1" ht="14" spans="1:8">
      <c r="A1572" s="2">
        <v>4743014</v>
      </c>
      <c r="B1572" s="2" t="s">
        <v>2244</v>
      </c>
      <c r="C1572" s="3" t="s">
        <v>824</v>
      </c>
      <c r="D1572" s="4">
        <v>313.1</v>
      </c>
      <c r="E1572" s="4">
        <v>12.81</v>
      </c>
      <c r="F1572" s="4">
        <v>4010.81</v>
      </c>
      <c r="G1572" s="4">
        <v>12.81</v>
      </c>
      <c r="H1572" s="4">
        <v>4010.81</v>
      </c>
    </row>
    <row r="1573" s="1" customFormat="1" ht="14" spans="1:8">
      <c r="A1573" s="2">
        <v>4745010</v>
      </c>
      <c r="B1573" s="2" t="s">
        <v>2245</v>
      </c>
      <c r="C1573" s="3" t="s">
        <v>824</v>
      </c>
      <c r="D1573" s="4">
        <v>619.24</v>
      </c>
      <c r="E1573" s="4">
        <v>32</v>
      </c>
      <c r="F1573" s="4">
        <v>19815.68</v>
      </c>
      <c r="G1573" s="4">
        <v>32</v>
      </c>
      <c r="H1573" s="4">
        <v>19815.68</v>
      </c>
    </row>
    <row r="1574" s="1" customFormat="1" ht="14" spans="1:8">
      <c r="A1574" s="2">
        <v>4752010</v>
      </c>
      <c r="B1574" s="2" t="s">
        <v>2246</v>
      </c>
      <c r="C1574" s="3" t="s">
        <v>876</v>
      </c>
      <c r="D1574" s="4">
        <v>395.92</v>
      </c>
      <c r="E1574" s="4">
        <v>249.84</v>
      </c>
      <c r="F1574" s="4">
        <v>98916.66</v>
      </c>
      <c r="G1574" s="4">
        <v>249.84</v>
      </c>
      <c r="H1574" s="4">
        <v>98916.66</v>
      </c>
    </row>
    <row r="1575" s="1" customFormat="1" ht="14" spans="1:8">
      <c r="A1575" s="2">
        <v>4752011</v>
      </c>
      <c r="B1575" s="2" t="s">
        <v>2247</v>
      </c>
      <c r="C1575" s="3" t="s">
        <v>876</v>
      </c>
      <c r="D1575" s="4">
        <v>416.12</v>
      </c>
      <c r="E1575" s="4">
        <v>325.88</v>
      </c>
      <c r="F1575" s="4">
        <v>135605.18</v>
      </c>
      <c r="G1575" s="4">
        <v>325.88</v>
      </c>
      <c r="H1575" s="4">
        <v>135605.18</v>
      </c>
    </row>
    <row r="1576" s="1" customFormat="1" ht="14" spans="1:8">
      <c r="A1576" s="2">
        <v>4752012</v>
      </c>
      <c r="B1576" s="2" t="s">
        <v>2248</v>
      </c>
      <c r="C1576" s="3" t="s">
        <v>876</v>
      </c>
      <c r="D1576" s="4">
        <v>315.12</v>
      </c>
      <c r="E1576" s="4">
        <v>488.83</v>
      </c>
      <c r="F1576" s="4">
        <v>154040.11</v>
      </c>
      <c r="G1576" s="4">
        <v>488.83</v>
      </c>
      <c r="H1576" s="4">
        <v>154040.11</v>
      </c>
    </row>
    <row r="1577" s="1" customFormat="1" ht="14" spans="1:8">
      <c r="A1577" s="2">
        <v>4753010</v>
      </c>
      <c r="B1577" s="2" t="s">
        <v>2249</v>
      </c>
      <c r="C1577" s="3" t="s">
        <v>876</v>
      </c>
      <c r="D1577" s="4">
        <v>864.56</v>
      </c>
      <c r="E1577" s="4">
        <v>325.88</v>
      </c>
      <c r="F1577" s="4">
        <v>281742.81</v>
      </c>
      <c r="G1577" s="4">
        <v>325.88</v>
      </c>
      <c r="H1577" s="4">
        <v>281742.81</v>
      </c>
    </row>
    <row r="1578" s="1" customFormat="1" ht="28" spans="1:8">
      <c r="A1578" s="2">
        <v>4753112</v>
      </c>
      <c r="B1578" s="2" t="s">
        <v>2250</v>
      </c>
      <c r="C1578" s="3" t="s">
        <v>824</v>
      </c>
      <c r="D1578" s="4">
        <v>206.04</v>
      </c>
      <c r="E1578" s="4">
        <v>1154.78</v>
      </c>
      <c r="F1578" s="4">
        <v>237930.87</v>
      </c>
      <c r="G1578" s="4">
        <v>1154.78</v>
      </c>
      <c r="H1578" s="4">
        <v>237930.87</v>
      </c>
    </row>
    <row r="1579" s="1" customFormat="1" ht="28" spans="1:8">
      <c r="A1579" s="2">
        <v>4753117</v>
      </c>
      <c r="B1579" s="2" t="s">
        <v>2251</v>
      </c>
      <c r="C1579" s="3" t="s">
        <v>824</v>
      </c>
      <c r="D1579" s="4">
        <v>1180.49</v>
      </c>
      <c r="E1579" s="4">
        <v>1667.01</v>
      </c>
      <c r="F1579" s="4">
        <v>1967888.59</v>
      </c>
      <c r="G1579" s="4">
        <v>1667.01</v>
      </c>
      <c r="H1579" s="4">
        <v>1967888.59</v>
      </c>
    </row>
    <row r="1580" s="1" customFormat="1" ht="28" spans="1:8">
      <c r="A1580" s="2">
        <v>4753119</v>
      </c>
      <c r="B1580" s="2" t="s">
        <v>2252</v>
      </c>
      <c r="C1580" s="3" t="s">
        <v>824</v>
      </c>
      <c r="D1580" s="4">
        <v>83.83</v>
      </c>
      <c r="E1580" s="4">
        <v>2156.78</v>
      </c>
      <c r="F1580" s="4">
        <v>180802.86</v>
      </c>
      <c r="G1580" s="4">
        <v>2156.78</v>
      </c>
      <c r="H1580" s="4">
        <v>180802.86</v>
      </c>
    </row>
    <row r="1581" s="1" customFormat="1" ht="28" spans="1:8">
      <c r="A1581" s="2">
        <v>4753238</v>
      </c>
      <c r="B1581" s="2" t="s">
        <v>2253</v>
      </c>
      <c r="C1581" s="3" t="s">
        <v>824</v>
      </c>
      <c r="D1581" s="4">
        <v>46.46</v>
      </c>
      <c r="E1581" s="4">
        <v>5841.28</v>
      </c>
      <c r="F1581" s="4">
        <v>271385.87</v>
      </c>
      <c r="G1581" s="4">
        <v>5841.28</v>
      </c>
      <c r="H1581" s="4">
        <v>271385.87</v>
      </c>
    </row>
    <row r="1582" s="1" customFormat="1" ht="14" spans="1:8">
      <c r="A1582" s="2">
        <v>4810110</v>
      </c>
      <c r="B1582" s="2" t="s">
        <v>2254</v>
      </c>
      <c r="C1582" s="3" t="s">
        <v>824</v>
      </c>
      <c r="D1582" s="4">
        <v>4538.32</v>
      </c>
      <c r="E1582" s="4">
        <v>27.05</v>
      </c>
      <c r="F1582" s="4">
        <v>122761.52</v>
      </c>
      <c r="G1582" s="4">
        <v>27.05</v>
      </c>
      <c r="H1582" s="4">
        <v>122761.52</v>
      </c>
    </row>
    <row r="1583" s="1" customFormat="1" ht="14" spans="1:8">
      <c r="A1583" s="2">
        <v>4810111</v>
      </c>
      <c r="B1583" s="2" t="s">
        <v>2255</v>
      </c>
      <c r="C1583" s="3" t="s">
        <v>824</v>
      </c>
      <c r="D1583" s="4">
        <v>8007.37</v>
      </c>
      <c r="E1583" s="4">
        <v>22.96</v>
      </c>
      <c r="F1583" s="4">
        <v>183848.99</v>
      </c>
      <c r="G1583" s="4">
        <v>22.96</v>
      </c>
      <c r="H1583" s="4">
        <v>183848.99</v>
      </c>
    </row>
    <row r="1584" s="1" customFormat="1" ht="14" spans="1:8">
      <c r="A1584" s="2">
        <v>4810210</v>
      </c>
      <c r="B1584" s="2" t="s">
        <v>2256</v>
      </c>
      <c r="C1584" s="3" t="s">
        <v>824</v>
      </c>
      <c r="D1584" s="4">
        <v>1269.35</v>
      </c>
      <c r="E1584" s="4">
        <v>5.57</v>
      </c>
      <c r="F1584" s="4">
        <v>7070.3</v>
      </c>
      <c r="G1584" s="4">
        <v>5.57</v>
      </c>
      <c r="H1584" s="4">
        <v>7070.3</v>
      </c>
    </row>
    <row r="1585" s="1" customFormat="1" ht="14" spans="1:8">
      <c r="A1585" s="2">
        <v>4810211</v>
      </c>
      <c r="B1585" s="2" t="s">
        <v>2257</v>
      </c>
      <c r="C1585" s="3" t="s">
        <v>824</v>
      </c>
      <c r="D1585" s="4">
        <v>7406.34</v>
      </c>
      <c r="E1585" s="4">
        <v>21.44</v>
      </c>
      <c r="F1585" s="4">
        <v>158791.84</v>
      </c>
      <c r="G1585" s="4">
        <v>21.44</v>
      </c>
      <c r="H1585" s="4">
        <v>158791.84</v>
      </c>
    </row>
    <row r="1586" s="1" customFormat="1" ht="14" spans="1:8">
      <c r="A1586" s="2">
        <v>4810310</v>
      </c>
      <c r="B1586" s="2" t="s">
        <v>2258</v>
      </c>
      <c r="C1586" s="3" t="s">
        <v>824</v>
      </c>
      <c r="D1586" s="4">
        <v>1569.62</v>
      </c>
      <c r="E1586" s="4">
        <v>15.62</v>
      </c>
      <c r="F1586" s="4">
        <v>24517.53</v>
      </c>
      <c r="G1586" s="4">
        <v>15.62</v>
      </c>
      <c r="H1586" s="4">
        <v>24517.53</v>
      </c>
    </row>
    <row r="1587" s="1" customFormat="1" ht="14" spans="1:8">
      <c r="A1587" s="2">
        <v>4810314</v>
      </c>
      <c r="B1587" s="2" t="s">
        <v>2259</v>
      </c>
      <c r="C1587" s="3" t="s">
        <v>824</v>
      </c>
      <c r="D1587" s="4">
        <v>14304.22</v>
      </c>
      <c r="E1587" s="4">
        <v>56.5</v>
      </c>
      <c r="F1587" s="4">
        <v>808188.21</v>
      </c>
      <c r="G1587" s="4">
        <v>56.5</v>
      </c>
      <c r="H1587" s="4">
        <v>808188.21</v>
      </c>
    </row>
    <row r="1588" s="1" customFormat="1" ht="14" spans="1:8">
      <c r="A1588" s="2">
        <v>4811311</v>
      </c>
      <c r="B1588" s="2" t="s">
        <v>2260</v>
      </c>
      <c r="C1588" s="3" t="s">
        <v>824</v>
      </c>
      <c r="D1588" s="4">
        <v>127.89</v>
      </c>
      <c r="E1588" s="4">
        <v>102.3</v>
      </c>
      <c r="F1588" s="4">
        <v>13083.15</v>
      </c>
      <c r="G1588" s="4">
        <v>102.3</v>
      </c>
      <c r="H1588" s="4">
        <v>13083.15</v>
      </c>
    </row>
    <row r="1589" s="1" customFormat="1" ht="14" spans="1:8">
      <c r="A1589" s="2">
        <v>4812012</v>
      </c>
      <c r="B1589" s="2" t="s">
        <v>2261</v>
      </c>
      <c r="C1589" s="3" t="s">
        <v>824</v>
      </c>
      <c r="D1589" s="4">
        <v>2.4</v>
      </c>
      <c r="E1589" s="4">
        <v>0.81</v>
      </c>
      <c r="F1589" s="4">
        <v>1.95</v>
      </c>
      <c r="G1589" s="4">
        <v>0.81</v>
      </c>
      <c r="H1589" s="4">
        <v>1.95</v>
      </c>
    </row>
    <row r="1590" s="1" customFormat="1" ht="14" spans="1:8">
      <c r="A1590" s="2">
        <v>4812110</v>
      </c>
      <c r="B1590" s="2" t="s">
        <v>2262</v>
      </c>
      <c r="C1590" s="3" t="s">
        <v>824</v>
      </c>
      <c r="D1590" s="4">
        <v>25.17</v>
      </c>
      <c r="E1590" s="4">
        <v>0.13</v>
      </c>
      <c r="F1590" s="4">
        <v>3.29</v>
      </c>
      <c r="G1590" s="4">
        <v>0.13</v>
      </c>
      <c r="H1590" s="4">
        <v>3.29</v>
      </c>
    </row>
    <row r="1591" s="1" customFormat="1" ht="14" spans="1:8">
      <c r="A1591" s="2">
        <v>4812111</v>
      </c>
      <c r="B1591" s="2" t="s">
        <v>2263</v>
      </c>
      <c r="C1591" s="3" t="s">
        <v>824</v>
      </c>
      <c r="D1591" s="4">
        <v>459.38</v>
      </c>
      <c r="E1591" s="4">
        <v>1.27</v>
      </c>
      <c r="F1591" s="4">
        <v>583.41</v>
      </c>
      <c r="G1591" s="4">
        <v>1.27</v>
      </c>
      <c r="H1591" s="4">
        <v>583.41</v>
      </c>
    </row>
    <row r="1592" s="1" customFormat="1" ht="14" spans="1:8">
      <c r="A1592" s="2">
        <v>4812317</v>
      </c>
      <c r="B1592" s="2" t="s">
        <v>2264</v>
      </c>
      <c r="C1592" s="3" t="s">
        <v>824</v>
      </c>
      <c r="D1592" s="4">
        <v>6337.21</v>
      </c>
      <c r="E1592" s="4">
        <v>11.82</v>
      </c>
      <c r="F1592" s="4">
        <v>74905.91</v>
      </c>
      <c r="G1592" s="4">
        <v>11.82</v>
      </c>
      <c r="H1592" s="4">
        <v>74905.91</v>
      </c>
    </row>
    <row r="1593" s="1" customFormat="1" ht="14" spans="1:8">
      <c r="A1593" s="2">
        <v>4820010</v>
      </c>
      <c r="B1593" s="2" t="s">
        <v>2265</v>
      </c>
      <c r="C1593" s="3" t="s">
        <v>824</v>
      </c>
      <c r="D1593" s="4">
        <v>295.48</v>
      </c>
      <c r="E1593" s="4">
        <v>13.52</v>
      </c>
      <c r="F1593" s="4">
        <v>3994.76</v>
      </c>
      <c r="G1593" s="4">
        <v>13.52</v>
      </c>
      <c r="H1593" s="4">
        <v>3994.76</v>
      </c>
    </row>
    <row r="1594" s="1" customFormat="1" ht="14" spans="1:8">
      <c r="A1594" s="2">
        <v>4820011</v>
      </c>
      <c r="B1594" s="2" t="s">
        <v>2266</v>
      </c>
      <c r="C1594" s="3" t="s">
        <v>824</v>
      </c>
      <c r="D1594" s="4">
        <v>7650.52</v>
      </c>
      <c r="E1594" s="4">
        <v>15.5</v>
      </c>
      <c r="F1594" s="4">
        <v>118583.31</v>
      </c>
      <c r="G1594" s="4">
        <v>15.5</v>
      </c>
      <c r="H1594" s="4">
        <v>118583.31</v>
      </c>
    </row>
    <row r="1595" s="1" customFormat="1" ht="14" spans="1:8">
      <c r="A1595" s="2">
        <v>4821010</v>
      </c>
      <c r="B1595" s="2" t="s">
        <v>2267</v>
      </c>
      <c r="C1595" s="3" t="s">
        <v>824</v>
      </c>
      <c r="D1595" s="4">
        <v>15463.58</v>
      </c>
      <c r="E1595" s="4">
        <v>10.8</v>
      </c>
      <c r="F1595" s="4">
        <v>167006.7</v>
      </c>
      <c r="G1595" s="4">
        <v>10.8</v>
      </c>
      <c r="H1595" s="4">
        <v>167006.7</v>
      </c>
    </row>
    <row r="1596" s="1" customFormat="1" ht="14" spans="1:8">
      <c r="A1596" s="2">
        <v>4821011</v>
      </c>
      <c r="B1596" s="2" t="s">
        <v>2268</v>
      </c>
      <c r="C1596" s="3" t="s">
        <v>824</v>
      </c>
      <c r="D1596" s="4">
        <v>154.77</v>
      </c>
      <c r="E1596" s="4">
        <v>12</v>
      </c>
      <c r="F1596" s="4">
        <v>1857.24</v>
      </c>
      <c r="G1596" s="4">
        <v>12</v>
      </c>
      <c r="H1596" s="4">
        <v>1857.24</v>
      </c>
    </row>
    <row r="1597" s="1" customFormat="1" ht="14" spans="1:8">
      <c r="A1597" s="2">
        <v>4821012</v>
      </c>
      <c r="B1597" s="2" t="s">
        <v>2269</v>
      </c>
      <c r="C1597" s="3" t="s">
        <v>824</v>
      </c>
      <c r="D1597" s="4">
        <v>1554.17</v>
      </c>
      <c r="E1597" s="4">
        <v>4.76</v>
      </c>
      <c r="F1597" s="4">
        <v>7397.81</v>
      </c>
      <c r="G1597" s="4">
        <v>4.76</v>
      </c>
      <c r="H1597" s="4">
        <v>7397.81</v>
      </c>
    </row>
    <row r="1598" s="1" customFormat="1" ht="14" spans="1:8">
      <c r="A1598" s="2">
        <v>4821013</v>
      </c>
      <c r="B1598" s="2" t="s">
        <v>2270</v>
      </c>
      <c r="C1598" s="3" t="s">
        <v>824</v>
      </c>
      <c r="D1598" s="4">
        <v>1256.85</v>
      </c>
      <c r="E1598" s="4">
        <v>6.34</v>
      </c>
      <c r="F1598" s="4">
        <v>7968.4</v>
      </c>
      <c r="G1598" s="4">
        <v>6.34</v>
      </c>
      <c r="H1598" s="4">
        <v>7968.4</v>
      </c>
    </row>
    <row r="1599" s="1" customFormat="1" ht="14" spans="1:8">
      <c r="A1599" s="2">
        <v>4821014</v>
      </c>
      <c r="B1599" s="2" t="s">
        <v>2271</v>
      </c>
      <c r="C1599" s="3" t="s">
        <v>824</v>
      </c>
      <c r="D1599" s="4">
        <v>7761.49</v>
      </c>
      <c r="E1599" s="4">
        <v>7.92</v>
      </c>
      <c r="F1599" s="4">
        <v>61471.07</v>
      </c>
      <c r="G1599" s="4">
        <v>7.92</v>
      </c>
      <c r="H1599" s="4">
        <v>61471.07</v>
      </c>
    </row>
    <row r="1600" s="1" customFormat="1" ht="14" spans="1:8">
      <c r="A1600" s="2">
        <v>4821015</v>
      </c>
      <c r="B1600" s="2" t="s">
        <v>2272</v>
      </c>
      <c r="C1600" s="3" t="s">
        <v>876</v>
      </c>
      <c r="D1600" s="4">
        <v>763.8</v>
      </c>
      <c r="E1600" s="4">
        <v>32.58</v>
      </c>
      <c r="F1600" s="4">
        <v>24884.61</v>
      </c>
      <c r="G1600" s="4">
        <v>32.58</v>
      </c>
      <c r="H1600" s="4">
        <v>24884.61</v>
      </c>
    </row>
    <row r="1601" s="1" customFormat="1" ht="14" spans="1:8">
      <c r="A1601" s="2">
        <v>4823014</v>
      </c>
      <c r="B1601" s="2" t="s">
        <v>2273</v>
      </c>
      <c r="C1601" s="3" t="s">
        <v>824</v>
      </c>
      <c r="D1601" s="4">
        <v>530.64</v>
      </c>
      <c r="E1601" s="4">
        <v>17.96</v>
      </c>
      <c r="F1601" s="4">
        <v>9530.29</v>
      </c>
      <c r="G1601" s="4">
        <v>17.96</v>
      </c>
      <c r="H1601" s="4">
        <v>9530.29</v>
      </c>
    </row>
    <row r="1602" s="1" customFormat="1" ht="14" spans="1:8">
      <c r="A1602" s="2">
        <v>4823016</v>
      </c>
      <c r="B1602" s="2" t="s">
        <v>2274</v>
      </c>
      <c r="C1602" s="3" t="s">
        <v>876</v>
      </c>
      <c r="D1602" s="4">
        <v>7799.71</v>
      </c>
      <c r="E1602" s="4">
        <v>7.29</v>
      </c>
      <c r="F1602" s="4">
        <v>56859.84</v>
      </c>
      <c r="G1602" s="4">
        <v>7.29</v>
      </c>
      <c r="H1602" s="4">
        <v>56859.84</v>
      </c>
    </row>
    <row r="1603" s="1" customFormat="1" ht="14" spans="1:8">
      <c r="A1603" s="2">
        <v>4823017</v>
      </c>
      <c r="B1603" s="2" t="s">
        <v>2275</v>
      </c>
      <c r="C1603" s="3" t="s">
        <v>824</v>
      </c>
      <c r="D1603" s="4">
        <v>4665.48</v>
      </c>
      <c r="E1603" s="4">
        <v>4.29</v>
      </c>
      <c r="F1603" s="4">
        <v>20014.94</v>
      </c>
      <c r="G1603" s="4">
        <v>4.29</v>
      </c>
      <c r="H1603" s="4">
        <v>20014.94</v>
      </c>
    </row>
    <row r="1604" s="1" customFormat="1" ht="14" spans="1:8">
      <c r="A1604" s="2">
        <v>4823022</v>
      </c>
      <c r="B1604" s="2" t="s">
        <v>2276</v>
      </c>
      <c r="C1604" s="3" t="s">
        <v>824</v>
      </c>
      <c r="D1604" s="4">
        <v>7761.49</v>
      </c>
      <c r="E1604" s="4">
        <v>38.78</v>
      </c>
      <c r="F1604" s="4">
        <v>300990.85</v>
      </c>
      <c r="G1604" s="4">
        <v>38.78</v>
      </c>
      <c r="H1604" s="4">
        <v>300990.85</v>
      </c>
    </row>
    <row r="1605" s="1" customFormat="1" ht="14" spans="1:8">
      <c r="A1605" s="2">
        <v>4824023</v>
      </c>
      <c r="B1605" s="2" t="s">
        <v>2277</v>
      </c>
      <c r="C1605" s="3" t="s">
        <v>725</v>
      </c>
      <c r="D1605" s="4">
        <v>40.2</v>
      </c>
      <c r="E1605" s="4">
        <v>28.01</v>
      </c>
      <c r="F1605" s="4">
        <v>1126</v>
      </c>
      <c r="G1605" s="4">
        <v>28.01</v>
      </c>
      <c r="H1605" s="4">
        <v>1126</v>
      </c>
    </row>
    <row r="1606" s="1" customFormat="1" ht="14" spans="1:8">
      <c r="A1606" s="2">
        <v>4824031</v>
      </c>
      <c r="B1606" s="2" t="s">
        <v>2278</v>
      </c>
      <c r="C1606" s="3" t="s">
        <v>725</v>
      </c>
      <c r="D1606" s="4">
        <v>3964.24</v>
      </c>
      <c r="E1606" s="4">
        <v>16.04</v>
      </c>
      <c r="F1606" s="4">
        <v>63586.34</v>
      </c>
      <c r="G1606" s="4">
        <v>16.04</v>
      </c>
      <c r="H1606" s="4">
        <v>63586.34</v>
      </c>
    </row>
    <row r="1607" s="1" customFormat="1" ht="14" spans="1:8">
      <c r="A1607" s="2">
        <v>4824035</v>
      </c>
      <c r="B1607" s="2" t="s">
        <v>2279</v>
      </c>
      <c r="C1607" s="3" t="s">
        <v>725</v>
      </c>
      <c r="D1607" s="4">
        <v>3007.09</v>
      </c>
      <c r="E1607" s="4">
        <v>51.03</v>
      </c>
      <c r="F1607" s="4">
        <v>153451.35</v>
      </c>
      <c r="G1607" s="4">
        <v>51.03</v>
      </c>
      <c r="H1607" s="4">
        <v>153451.35</v>
      </c>
    </row>
    <row r="1608" s="1" customFormat="1" ht="14" spans="1:8">
      <c r="A1608" s="2">
        <v>4824053</v>
      </c>
      <c r="B1608" s="2" t="s">
        <v>2280</v>
      </c>
      <c r="C1608" s="3" t="s">
        <v>725</v>
      </c>
      <c r="D1608" s="4">
        <v>140.7</v>
      </c>
      <c r="E1608" s="4">
        <v>67.15</v>
      </c>
      <c r="F1608" s="4">
        <v>9448.33</v>
      </c>
      <c r="G1608" s="4">
        <v>67.15</v>
      </c>
      <c r="H1608" s="4">
        <v>9448.33</v>
      </c>
    </row>
    <row r="1609" s="1" customFormat="1" ht="14" spans="1:8">
      <c r="A1609" s="2">
        <v>4824057</v>
      </c>
      <c r="B1609" s="2" t="s">
        <v>2281</v>
      </c>
      <c r="C1609" s="3" t="s">
        <v>725</v>
      </c>
      <c r="D1609" s="4">
        <v>140.7</v>
      </c>
      <c r="E1609" s="4">
        <v>74.07</v>
      </c>
      <c r="F1609" s="4">
        <v>10422</v>
      </c>
      <c r="G1609" s="4">
        <v>74.07</v>
      </c>
      <c r="H1609" s="4">
        <v>10422</v>
      </c>
    </row>
    <row r="1610" s="1" customFormat="1" ht="14" spans="1:8">
      <c r="A1610" s="2">
        <v>4824079</v>
      </c>
      <c r="B1610" s="2" t="s">
        <v>2282</v>
      </c>
      <c r="C1610" s="3" t="s">
        <v>725</v>
      </c>
      <c r="D1610" s="4">
        <v>4018.17</v>
      </c>
      <c r="E1610" s="4">
        <v>68.75</v>
      </c>
      <c r="F1610" s="4">
        <v>276250.05</v>
      </c>
      <c r="G1610" s="4">
        <v>68.75</v>
      </c>
      <c r="H1610" s="4">
        <v>276250.05</v>
      </c>
    </row>
    <row r="1611" s="1" customFormat="1" ht="14" spans="1:8">
      <c r="A1611" s="2">
        <v>4824100</v>
      </c>
      <c r="B1611" s="2" t="s">
        <v>2283</v>
      </c>
      <c r="C1611" s="3" t="s">
        <v>725</v>
      </c>
      <c r="D1611" s="4">
        <v>6415.88</v>
      </c>
      <c r="E1611" s="4">
        <v>67.73</v>
      </c>
      <c r="F1611" s="4">
        <v>434547.77</v>
      </c>
      <c r="G1611" s="4">
        <v>67.73</v>
      </c>
      <c r="H1611" s="4">
        <v>434547.77</v>
      </c>
    </row>
    <row r="1612" s="1" customFormat="1" ht="14" spans="1:8">
      <c r="A1612" s="2">
        <v>4825014</v>
      </c>
      <c r="B1612" s="2" t="s">
        <v>2284</v>
      </c>
      <c r="C1612" s="3" t="s">
        <v>725</v>
      </c>
      <c r="D1612" s="4">
        <v>32.16</v>
      </c>
      <c r="E1612" s="4">
        <v>36.51</v>
      </c>
      <c r="F1612" s="4">
        <v>1174.16</v>
      </c>
      <c r="G1612" s="4">
        <v>36.51</v>
      </c>
      <c r="H1612" s="4">
        <v>1174.16</v>
      </c>
    </row>
    <row r="1613" s="1" customFormat="1" ht="14" spans="1:8">
      <c r="A1613" s="2">
        <v>4825015</v>
      </c>
      <c r="B1613" s="2" t="s">
        <v>2285</v>
      </c>
      <c r="C1613" s="3" t="s">
        <v>725</v>
      </c>
      <c r="D1613" s="4">
        <v>32.16</v>
      </c>
      <c r="E1613" s="4">
        <v>104.22</v>
      </c>
      <c r="F1613" s="4">
        <v>3351.72</v>
      </c>
      <c r="G1613" s="4">
        <v>104.22</v>
      </c>
      <c r="H1613" s="4">
        <v>3351.72</v>
      </c>
    </row>
    <row r="1614" s="1" customFormat="1" ht="14" spans="1:8">
      <c r="A1614" s="2">
        <v>4826010</v>
      </c>
      <c r="B1614" s="2" t="s">
        <v>2286</v>
      </c>
      <c r="C1614" s="3" t="s">
        <v>876</v>
      </c>
      <c r="D1614" s="4">
        <v>92.89</v>
      </c>
      <c r="E1614" s="4">
        <v>7.23</v>
      </c>
      <c r="F1614" s="4">
        <v>671.47</v>
      </c>
      <c r="G1614" s="4">
        <v>7.23</v>
      </c>
      <c r="H1614" s="4">
        <v>671.47</v>
      </c>
    </row>
    <row r="1615" s="1" customFormat="1" ht="14" spans="1:8">
      <c r="A1615" s="2">
        <v>4826013</v>
      </c>
      <c r="B1615" s="2" t="s">
        <v>2287</v>
      </c>
      <c r="C1615" s="3" t="s">
        <v>876</v>
      </c>
      <c r="D1615" s="4">
        <v>28.14</v>
      </c>
      <c r="E1615" s="4">
        <v>8.21</v>
      </c>
      <c r="F1615" s="4">
        <v>231.03</v>
      </c>
      <c r="G1615" s="4">
        <v>8.21</v>
      </c>
      <c r="H1615" s="4">
        <v>231.03</v>
      </c>
    </row>
    <row r="1616" s="1" customFormat="1" ht="14" spans="1:8">
      <c r="A1616" s="2">
        <v>4826014</v>
      </c>
      <c r="B1616" s="2" t="s">
        <v>2288</v>
      </c>
      <c r="C1616" s="3" t="s">
        <v>876</v>
      </c>
      <c r="D1616" s="4">
        <v>3058.22</v>
      </c>
      <c r="E1616" s="4">
        <v>10.2</v>
      </c>
      <c r="F1616" s="4">
        <v>31193.8</v>
      </c>
      <c r="G1616" s="4">
        <v>10.2</v>
      </c>
      <c r="H1616" s="4">
        <v>31193.8</v>
      </c>
    </row>
    <row r="1617" s="1" customFormat="1" ht="14" spans="1:8">
      <c r="A1617" s="2">
        <v>4826015</v>
      </c>
      <c r="B1617" s="2" t="s">
        <v>2289</v>
      </c>
      <c r="C1617" s="3" t="s">
        <v>876</v>
      </c>
      <c r="D1617" s="4">
        <v>1125.6</v>
      </c>
      <c r="E1617" s="4">
        <v>16.71</v>
      </c>
      <c r="F1617" s="4">
        <v>18808.78</v>
      </c>
      <c r="G1617" s="4">
        <v>16.71</v>
      </c>
      <c r="H1617" s="4">
        <v>18808.78</v>
      </c>
    </row>
    <row r="1618" s="1" customFormat="1" ht="14" spans="1:8">
      <c r="A1618" s="2">
        <v>4826016</v>
      </c>
      <c r="B1618" s="2" t="s">
        <v>2290</v>
      </c>
      <c r="C1618" s="3" t="s">
        <v>876</v>
      </c>
      <c r="D1618" s="4">
        <v>281.4</v>
      </c>
      <c r="E1618" s="4">
        <v>5.96</v>
      </c>
      <c r="F1618" s="4">
        <v>1677.15</v>
      </c>
      <c r="G1618" s="4">
        <v>5.96</v>
      </c>
      <c r="H1618" s="4">
        <v>1677.15</v>
      </c>
    </row>
    <row r="1619" s="1" customFormat="1" ht="14" spans="1:8">
      <c r="A1619" s="2">
        <v>4826051</v>
      </c>
      <c r="B1619" s="2" t="s">
        <v>2291</v>
      </c>
      <c r="C1619" s="3" t="s">
        <v>876</v>
      </c>
      <c r="D1619" s="4">
        <v>5367.03</v>
      </c>
      <c r="E1619" s="4">
        <v>28.06</v>
      </c>
      <c r="F1619" s="4">
        <v>150598.6</v>
      </c>
      <c r="G1619" s="4">
        <v>28.06</v>
      </c>
      <c r="H1619" s="4">
        <v>150598.6</v>
      </c>
    </row>
    <row r="1620" s="1" customFormat="1" ht="14" spans="1:8">
      <c r="A1620" s="2">
        <v>4827010</v>
      </c>
      <c r="B1620" s="2" t="s">
        <v>2292</v>
      </c>
      <c r="C1620" s="3" t="s">
        <v>876</v>
      </c>
      <c r="D1620" s="4">
        <v>896.47</v>
      </c>
      <c r="E1620" s="4">
        <v>11.02</v>
      </c>
      <c r="F1620" s="4">
        <v>9879.01</v>
      </c>
      <c r="G1620" s="4">
        <v>11.02</v>
      </c>
      <c r="H1620" s="4">
        <v>9879.01</v>
      </c>
    </row>
    <row r="1621" s="1" customFormat="1" ht="14" spans="1:8">
      <c r="A1621" s="2">
        <v>4827011</v>
      </c>
      <c r="B1621" s="2" t="s">
        <v>2293</v>
      </c>
      <c r="C1621" s="3" t="s">
        <v>876</v>
      </c>
      <c r="D1621" s="4">
        <v>2905.25</v>
      </c>
      <c r="E1621" s="4">
        <v>17.46</v>
      </c>
      <c r="F1621" s="4">
        <v>50725.46</v>
      </c>
      <c r="G1621" s="4">
        <v>17.46</v>
      </c>
      <c r="H1621" s="4">
        <v>50725.46</v>
      </c>
    </row>
    <row r="1622" s="1" customFormat="1" ht="14" spans="1:8">
      <c r="A1622" s="2">
        <v>4827015</v>
      </c>
      <c r="B1622" s="2" t="s">
        <v>2294</v>
      </c>
      <c r="C1622" s="3" t="s">
        <v>876</v>
      </c>
      <c r="D1622" s="4">
        <v>6905.23</v>
      </c>
      <c r="E1622" s="4">
        <v>18.23</v>
      </c>
      <c r="F1622" s="4">
        <v>125882.47</v>
      </c>
      <c r="G1622" s="4">
        <v>18.23</v>
      </c>
      <c r="H1622" s="4">
        <v>125882.47</v>
      </c>
    </row>
    <row r="1623" s="1" customFormat="1" ht="14" spans="1:8">
      <c r="A1623" s="2">
        <v>4828016</v>
      </c>
      <c r="B1623" s="2" t="s">
        <v>2295</v>
      </c>
      <c r="C1623" s="3" t="s">
        <v>876</v>
      </c>
      <c r="D1623" s="4">
        <v>22.53</v>
      </c>
      <c r="E1623" s="4">
        <v>12.01</v>
      </c>
      <c r="F1623" s="4">
        <v>270.51</v>
      </c>
      <c r="G1623" s="4">
        <v>12.01</v>
      </c>
      <c r="H1623" s="4">
        <v>270.51</v>
      </c>
    </row>
    <row r="1624" s="1" customFormat="1" ht="14" spans="1:8">
      <c r="A1624" s="2">
        <v>4828017</v>
      </c>
      <c r="B1624" s="2" t="s">
        <v>2296</v>
      </c>
      <c r="C1624" s="3" t="s">
        <v>876</v>
      </c>
      <c r="D1624" s="4">
        <v>235.17</v>
      </c>
      <c r="E1624" s="4">
        <v>16.17</v>
      </c>
      <c r="F1624" s="4">
        <v>3802.71</v>
      </c>
      <c r="G1624" s="4">
        <v>16.17</v>
      </c>
      <c r="H1624" s="4">
        <v>3802.71</v>
      </c>
    </row>
    <row r="1625" s="1" customFormat="1" ht="14" spans="1:8">
      <c r="A1625" s="2">
        <v>4828018</v>
      </c>
      <c r="B1625" s="2" t="s">
        <v>2297</v>
      </c>
      <c r="C1625" s="3" t="s">
        <v>876</v>
      </c>
      <c r="D1625" s="4">
        <v>281.4</v>
      </c>
      <c r="E1625" s="4">
        <v>14.69</v>
      </c>
      <c r="F1625" s="4">
        <v>4133.75</v>
      </c>
      <c r="G1625" s="4">
        <v>14.69</v>
      </c>
      <c r="H1625" s="4">
        <v>4133.75</v>
      </c>
    </row>
    <row r="1626" s="1" customFormat="1" ht="14" spans="1:8">
      <c r="A1626" s="2">
        <v>4828019</v>
      </c>
      <c r="B1626" s="2" t="s">
        <v>2298</v>
      </c>
      <c r="C1626" s="3" t="s">
        <v>876</v>
      </c>
      <c r="D1626" s="4">
        <v>22355.78</v>
      </c>
      <c r="E1626" s="4">
        <v>9.3</v>
      </c>
      <c r="F1626" s="4">
        <v>207908.72</v>
      </c>
      <c r="G1626" s="4">
        <v>9.3</v>
      </c>
      <c r="H1626" s="4">
        <v>207908.72</v>
      </c>
    </row>
    <row r="1627" s="1" customFormat="1" ht="14" spans="1:8">
      <c r="A1627" s="2">
        <v>4828020</v>
      </c>
      <c r="B1627" s="2" t="s">
        <v>2299</v>
      </c>
      <c r="C1627" s="3" t="s">
        <v>876</v>
      </c>
      <c r="D1627" s="4">
        <v>281.4</v>
      </c>
      <c r="E1627" s="4">
        <v>18.62</v>
      </c>
      <c r="F1627" s="4">
        <v>5239.68</v>
      </c>
      <c r="G1627" s="4">
        <v>18.62</v>
      </c>
      <c r="H1627" s="4">
        <v>5239.68</v>
      </c>
    </row>
    <row r="1628" s="1" customFormat="1" ht="14" spans="1:8">
      <c r="A1628" s="2">
        <v>4828024</v>
      </c>
      <c r="B1628" s="2" t="s">
        <v>2300</v>
      </c>
      <c r="C1628" s="3" t="s">
        <v>876</v>
      </c>
      <c r="D1628" s="4">
        <v>428.13</v>
      </c>
      <c r="E1628" s="4">
        <v>18.64</v>
      </c>
      <c r="F1628" s="4">
        <v>7980.34</v>
      </c>
      <c r="G1628" s="4">
        <v>18.64</v>
      </c>
      <c r="H1628" s="4">
        <v>7980.34</v>
      </c>
    </row>
    <row r="1629" s="1" customFormat="1" ht="28" spans="1:8">
      <c r="A1629" s="2">
        <v>4828030</v>
      </c>
      <c r="B1629" s="2" t="s">
        <v>2301</v>
      </c>
      <c r="C1629" s="3" t="s">
        <v>876</v>
      </c>
      <c r="D1629" s="4">
        <v>1273.15</v>
      </c>
      <c r="E1629" s="4">
        <v>27.54</v>
      </c>
      <c r="F1629" s="4">
        <v>35062.8</v>
      </c>
      <c r="G1629" s="4">
        <v>27.54</v>
      </c>
      <c r="H1629" s="4">
        <v>35062.8</v>
      </c>
    </row>
    <row r="1630" s="1" customFormat="1" ht="14" spans="1:8">
      <c r="A1630" s="2">
        <v>4828033</v>
      </c>
      <c r="B1630" s="2" t="s">
        <v>2302</v>
      </c>
      <c r="C1630" s="3" t="s">
        <v>876</v>
      </c>
      <c r="D1630" s="4">
        <v>636.57</v>
      </c>
      <c r="E1630" s="4">
        <v>20.15</v>
      </c>
      <c r="F1630" s="4">
        <v>12827.18</v>
      </c>
      <c r="G1630" s="4">
        <v>20.15</v>
      </c>
      <c r="H1630" s="4">
        <v>12827.18</v>
      </c>
    </row>
    <row r="1631" s="1" customFormat="1" ht="14" spans="1:8">
      <c r="A1631" s="2">
        <v>4828034</v>
      </c>
      <c r="B1631" s="2" t="s">
        <v>2303</v>
      </c>
      <c r="C1631" s="3" t="s">
        <v>876</v>
      </c>
      <c r="D1631" s="4">
        <v>1909.75</v>
      </c>
      <c r="E1631" s="4">
        <v>21.03</v>
      </c>
      <c r="F1631" s="4">
        <v>40161.87</v>
      </c>
      <c r="G1631" s="4">
        <v>21.03</v>
      </c>
      <c r="H1631" s="4">
        <v>40161.87</v>
      </c>
    </row>
    <row r="1632" s="1" customFormat="1" ht="14" spans="1:8">
      <c r="A1632" s="2">
        <v>4828035</v>
      </c>
      <c r="B1632" s="2" t="s">
        <v>2304</v>
      </c>
      <c r="C1632" s="3" t="s">
        <v>876</v>
      </c>
      <c r="D1632" s="4">
        <v>98.5</v>
      </c>
      <c r="E1632" s="4">
        <v>25.05</v>
      </c>
      <c r="F1632" s="4">
        <v>2467.17</v>
      </c>
      <c r="G1632" s="4">
        <v>25.05</v>
      </c>
      <c r="H1632" s="4">
        <v>2467.17</v>
      </c>
    </row>
    <row r="1633" s="1" customFormat="1" ht="14" spans="1:8">
      <c r="A1633" s="2">
        <v>4828037</v>
      </c>
      <c r="B1633" s="2" t="s">
        <v>2305</v>
      </c>
      <c r="C1633" s="3" t="s">
        <v>876</v>
      </c>
      <c r="D1633" s="4">
        <v>270.36</v>
      </c>
      <c r="E1633" s="4">
        <v>21.03</v>
      </c>
      <c r="F1633" s="4">
        <v>5685.58</v>
      </c>
      <c r="G1633" s="4">
        <v>21.03</v>
      </c>
      <c r="H1633" s="4">
        <v>5685.58</v>
      </c>
    </row>
    <row r="1634" s="1" customFormat="1" ht="14" spans="1:8">
      <c r="A1634" s="2">
        <v>4828044</v>
      </c>
      <c r="B1634" s="2" t="s">
        <v>2306</v>
      </c>
      <c r="C1634" s="3" t="s">
        <v>876</v>
      </c>
      <c r="D1634" s="4">
        <v>270.36</v>
      </c>
      <c r="E1634" s="4">
        <v>20.97</v>
      </c>
      <c r="F1634" s="4">
        <v>5669.33</v>
      </c>
      <c r="G1634" s="4">
        <v>20.97</v>
      </c>
      <c r="H1634" s="4">
        <v>5669.33</v>
      </c>
    </row>
    <row r="1635" s="1" customFormat="1" ht="14" spans="1:8">
      <c r="A1635" s="2">
        <v>4828045</v>
      </c>
      <c r="B1635" s="2" t="s">
        <v>2307</v>
      </c>
      <c r="C1635" s="3" t="s">
        <v>876</v>
      </c>
      <c r="D1635" s="4">
        <v>270.36</v>
      </c>
      <c r="E1635" s="4">
        <v>24.04</v>
      </c>
      <c r="F1635" s="4">
        <v>6499.32</v>
      </c>
      <c r="G1635" s="4">
        <v>24.04</v>
      </c>
      <c r="H1635" s="4">
        <v>6499.32</v>
      </c>
    </row>
    <row r="1636" s="1" customFormat="1" ht="14" spans="1:8">
      <c r="A1636" s="2">
        <v>4828049</v>
      </c>
      <c r="B1636" s="2" t="s">
        <v>2308</v>
      </c>
      <c r="C1636" s="3" t="s">
        <v>876</v>
      </c>
      <c r="D1636" s="4">
        <v>5043.72</v>
      </c>
      <c r="E1636" s="4">
        <v>11.02</v>
      </c>
      <c r="F1636" s="4">
        <v>55582.01</v>
      </c>
      <c r="G1636" s="4">
        <v>11.02</v>
      </c>
      <c r="H1636" s="4">
        <v>55582.01</v>
      </c>
    </row>
    <row r="1637" s="1" customFormat="1" ht="14" spans="1:8">
      <c r="A1637" s="2">
        <v>4828050</v>
      </c>
      <c r="B1637" s="2" t="s">
        <v>2309</v>
      </c>
      <c r="C1637" s="3" t="s">
        <v>876</v>
      </c>
      <c r="D1637" s="4">
        <v>3800.78</v>
      </c>
      <c r="E1637" s="4">
        <v>14.02</v>
      </c>
      <c r="F1637" s="4">
        <v>53287.04</v>
      </c>
      <c r="G1637" s="4">
        <v>14.02</v>
      </c>
      <c r="H1637" s="4">
        <v>53287.04</v>
      </c>
    </row>
    <row r="1638" s="1" customFormat="1" ht="14" spans="1:8">
      <c r="A1638" s="2">
        <v>4829011</v>
      </c>
      <c r="B1638" s="2" t="s">
        <v>2310</v>
      </c>
      <c r="C1638" s="3" t="s">
        <v>824</v>
      </c>
      <c r="D1638" s="4">
        <v>157.67</v>
      </c>
      <c r="E1638" s="4">
        <v>28.79</v>
      </c>
      <c r="F1638" s="4">
        <v>4539.26</v>
      </c>
      <c r="G1638" s="4">
        <v>28.79</v>
      </c>
      <c r="H1638" s="4">
        <v>4539.26</v>
      </c>
    </row>
    <row r="1639" s="1" customFormat="1" ht="14" spans="1:8">
      <c r="A1639" s="2">
        <v>4829012</v>
      </c>
      <c r="B1639" s="2" t="s">
        <v>2311</v>
      </c>
      <c r="C1639" s="3" t="s">
        <v>824</v>
      </c>
      <c r="D1639" s="4">
        <v>337.86</v>
      </c>
      <c r="E1639" s="4">
        <v>67.19</v>
      </c>
      <c r="F1639" s="4">
        <v>22700.95</v>
      </c>
      <c r="G1639" s="4">
        <v>67.19</v>
      </c>
      <c r="H1639" s="4">
        <v>22700.95</v>
      </c>
    </row>
    <row r="1640" s="1" customFormat="1" ht="14" spans="1:8">
      <c r="A1640" s="2">
        <v>4830010</v>
      </c>
      <c r="B1640" s="2" t="s">
        <v>2312</v>
      </c>
      <c r="C1640" s="3" t="s">
        <v>725</v>
      </c>
      <c r="D1640" s="4">
        <v>1054.14</v>
      </c>
      <c r="E1640" s="4">
        <v>19.92</v>
      </c>
      <c r="F1640" s="4">
        <v>20998.23</v>
      </c>
      <c r="G1640" s="4">
        <v>19.92</v>
      </c>
      <c r="H1640" s="4">
        <v>20998.23</v>
      </c>
    </row>
    <row r="1641" s="1" customFormat="1" ht="14" spans="1:8">
      <c r="A1641" s="2">
        <v>4830011</v>
      </c>
      <c r="B1641" s="2" t="s">
        <v>2313</v>
      </c>
      <c r="C1641" s="3" t="s">
        <v>725</v>
      </c>
      <c r="D1641" s="4">
        <v>45.04</v>
      </c>
      <c r="E1641" s="4">
        <v>28.06</v>
      </c>
      <c r="F1641" s="4">
        <v>1264.07</v>
      </c>
      <c r="G1641" s="4">
        <v>28.06</v>
      </c>
      <c r="H1641" s="4">
        <v>1264.07</v>
      </c>
    </row>
    <row r="1642" s="1" customFormat="1" ht="14" spans="1:8">
      <c r="A1642" s="2">
        <v>4830012</v>
      </c>
      <c r="B1642" s="2" t="s">
        <v>2314</v>
      </c>
      <c r="C1642" s="3" t="s">
        <v>725</v>
      </c>
      <c r="D1642" s="4">
        <v>6995.51</v>
      </c>
      <c r="E1642" s="4">
        <v>53.32</v>
      </c>
      <c r="F1642" s="4">
        <v>373000.39</v>
      </c>
      <c r="G1642" s="4">
        <v>53.32</v>
      </c>
      <c r="H1642" s="4">
        <v>373000.39</v>
      </c>
    </row>
    <row r="1643" s="1" customFormat="1" ht="14" spans="1:8">
      <c r="A1643" s="2">
        <v>4832022</v>
      </c>
      <c r="B1643" s="2" t="s">
        <v>2315</v>
      </c>
      <c r="C1643" s="3" t="s">
        <v>725</v>
      </c>
      <c r="D1643" s="4">
        <v>48.24</v>
      </c>
      <c r="E1643" s="4">
        <v>5.01</v>
      </c>
      <c r="F1643" s="4">
        <v>241.68</v>
      </c>
      <c r="G1643" s="4">
        <v>5.01</v>
      </c>
      <c r="H1643" s="4">
        <v>241.68</v>
      </c>
    </row>
    <row r="1644" s="1" customFormat="1" ht="28" spans="1:8">
      <c r="A1644" s="2">
        <v>4832023</v>
      </c>
      <c r="B1644" s="2" t="s">
        <v>2316</v>
      </c>
      <c r="C1644" s="3" t="s">
        <v>824</v>
      </c>
      <c r="D1644" s="4">
        <v>80.4</v>
      </c>
      <c r="E1644" s="4">
        <v>4.4</v>
      </c>
      <c r="F1644" s="4">
        <v>353.76</v>
      </c>
      <c r="G1644" s="4">
        <v>4.4</v>
      </c>
      <c r="H1644" s="4">
        <v>353.76</v>
      </c>
    </row>
    <row r="1645" s="1" customFormat="1" ht="14" spans="1:8">
      <c r="A1645" s="2">
        <v>4832024</v>
      </c>
      <c r="B1645" s="2" t="s">
        <v>2317</v>
      </c>
      <c r="C1645" s="3" t="s">
        <v>876</v>
      </c>
      <c r="D1645" s="4">
        <v>22.53</v>
      </c>
      <c r="E1645" s="4">
        <v>54.71</v>
      </c>
      <c r="F1645" s="4">
        <v>1232.28</v>
      </c>
      <c r="G1645" s="4">
        <v>54.71</v>
      </c>
      <c r="H1645" s="4">
        <v>1232.28</v>
      </c>
    </row>
    <row r="1646" s="1" customFormat="1" ht="14" spans="1:8">
      <c r="A1646" s="2">
        <v>4832026</v>
      </c>
      <c r="B1646" s="2" t="s">
        <v>2318</v>
      </c>
      <c r="C1646" s="3" t="s">
        <v>843</v>
      </c>
      <c r="D1646" s="4">
        <v>120.61</v>
      </c>
      <c r="E1646" s="4">
        <v>2.01</v>
      </c>
      <c r="F1646" s="4">
        <v>242.4</v>
      </c>
      <c r="G1646" s="4">
        <v>2.01</v>
      </c>
      <c r="H1646" s="4">
        <v>242.4</v>
      </c>
    </row>
    <row r="1647" s="1" customFormat="1" ht="14" spans="1:8">
      <c r="A1647" s="2">
        <v>4833110</v>
      </c>
      <c r="B1647" s="2" t="s">
        <v>2319</v>
      </c>
      <c r="C1647" s="3" t="s">
        <v>876</v>
      </c>
      <c r="D1647" s="4">
        <v>1144.38</v>
      </c>
      <c r="E1647" s="4">
        <v>69.01</v>
      </c>
      <c r="F1647" s="4">
        <v>78973.74</v>
      </c>
      <c r="G1647" s="4">
        <v>69.01</v>
      </c>
      <c r="H1647" s="4">
        <v>78973.74</v>
      </c>
    </row>
    <row r="1648" s="1" customFormat="1" ht="14" spans="1:8">
      <c r="A1648" s="2">
        <v>4833510</v>
      </c>
      <c r="B1648" s="2" t="s">
        <v>2320</v>
      </c>
      <c r="C1648" s="3" t="s">
        <v>1172</v>
      </c>
      <c r="D1648" s="4">
        <v>636.58</v>
      </c>
      <c r="E1648" s="4">
        <v>200.35</v>
      </c>
      <c r="F1648" s="4">
        <v>127539.62</v>
      </c>
      <c r="G1648" s="4">
        <v>200.35</v>
      </c>
      <c r="H1648" s="4">
        <v>127539.62</v>
      </c>
    </row>
    <row r="1649" s="1" customFormat="1" ht="14" spans="1:8">
      <c r="A1649" s="2">
        <v>4834012</v>
      </c>
      <c r="B1649" s="2" t="s">
        <v>2321</v>
      </c>
      <c r="C1649" s="3" t="s">
        <v>1317</v>
      </c>
      <c r="D1649" s="4">
        <v>9975.46</v>
      </c>
      <c r="E1649" s="4">
        <v>10.42</v>
      </c>
      <c r="F1649" s="4">
        <v>103944.22</v>
      </c>
      <c r="G1649" s="4">
        <v>10.42</v>
      </c>
      <c r="H1649" s="4">
        <v>103944.22</v>
      </c>
    </row>
    <row r="1650" s="1" customFormat="1" ht="14" spans="1:8">
      <c r="A1650" s="2">
        <v>4834013</v>
      </c>
      <c r="B1650" s="2" t="s">
        <v>2322</v>
      </c>
      <c r="C1650" s="3" t="s">
        <v>1317</v>
      </c>
      <c r="D1650" s="4">
        <v>1535.71</v>
      </c>
      <c r="E1650" s="4">
        <v>10.42</v>
      </c>
      <c r="F1650" s="4">
        <v>16002</v>
      </c>
      <c r="G1650" s="4">
        <v>10.42</v>
      </c>
      <c r="H1650" s="4">
        <v>16002</v>
      </c>
    </row>
    <row r="1651" s="1" customFormat="1" ht="14" spans="1:8">
      <c r="A1651" s="2">
        <v>4835017</v>
      </c>
      <c r="B1651" s="2" t="s">
        <v>2323</v>
      </c>
      <c r="C1651" s="3" t="s">
        <v>725</v>
      </c>
      <c r="D1651" s="4">
        <v>771.84</v>
      </c>
      <c r="E1651" s="4">
        <v>28.53</v>
      </c>
      <c r="F1651" s="4">
        <v>22020.6</v>
      </c>
      <c r="G1651" s="4">
        <v>28.53</v>
      </c>
      <c r="H1651" s="4">
        <v>22020.6</v>
      </c>
    </row>
    <row r="1652" s="1" customFormat="1" ht="14" spans="1:8">
      <c r="A1652" s="2">
        <v>4835115</v>
      </c>
      <c r="B1652" s="2" t="s">
        <v>2324</v>
      </c>
      <c r="C1652" s="3" t="s">
        <v>843</v>
      </c>
      <c r="D1652" s="4">
        <v>1935.15</v>
      </c>
      <c r="E1652" s="4">
        <v>2.41</v>
      </c>
      <c r="F1652" s="4">
        <v>4663.71</v>
      </c>
      <c r="G1652" s="4">
        <v>2.41</v>
      </c>
      <c r="H1652" s="4">
        <v>4663.71</v>
      </c>
    </row>
    <row r="1653" s="1" customFormat="1" ht="14" spans="1:8">
      <c r="A1653" s="2">
        <v>4835210</v>
      </c>
      <c r="B1653" s="2" t="s">
        <v>2325</v>
      </c>
      <c r="C1653" s="3" t="s">
        <v>843</v>
      </c>
      <c r="D1653" s="4">
        <v>4502.4</v>
      </c>
      <c r="E1653" s="4">
        <v>3.97</v>
      </c>
      <c r="F1653" s="4">
        <v>17874.54</v>
      </c>
      <c r="G1653" s="4">
        <v>3.97</v>
      </c>
      <c r="H1653" s="4">
        <v>17874.54</v>
      </c>
    </row>
    <row r="1654" s="1" customFormat="1" ht="14" spans="1:8">
      <c r="A1654" s="2">
        <v>4835314</v>
      </c>
      <c r="B1654" s="2" t="s">
        <v>2326</v>
      </c>
      <c r="C1654" s="3" t="s">
        <v>725</v>
      </c>
      <c r="D1654" s="4">
        <v>2546.32</v>
      </c>
      <c r="E1654" s="4">
        <v>38.96</v>
      </c>
      <c r="F1654" s="4">
        <v>99204.46</v>
      </c>
      <c r="G1654" s="4">
        <v>38.96</v>
      </c>
      <c r="H1654" s="4">
        <v>99204.46</v>
      </c>
    </row>
    <row r="1655" s="1" customFormat="1" ht="14" spans="1:8">
      <c r="A1655" s="2">
        <v>4835318</v>
      </c>
      <c r="B1655" s="2" t="s">
        <v>2327</v>
      </c>
      <c r="C1655" s="3" t="s">
        <v>824</v>
      </c>
      <c r="D1655" s="4">
        <v>1688.4</v>
      </c>
      <c r="E1655" s="4">
        <v>2.21</v>
      </c>
      <c r="F1655" s="4">
        <v>3731.39</v>
      </c>
      <c r="G1655" s="4">
        <v>2.21</v>
      </c>
      <c r="H1655" s="4">
        <v>3731.39</v>
      </c>
    </row>
    <row r="1656" s="1" customFormat="1" ht="14" spans="1:8">
      <c r="A1656" s="2">
        <v>4835348</v>
      </c>
      <c r="B1656" s="2" t="s">
        <v>2328</v>
      </c>
      <c r="C1656" s="3" t="s">
        <v>876</v>
      </c>
      <c r="D1656" s="4">
        <v>67.57</v>
      </c>
      <c r="E1656" s="4">
        <v>12.42</v>
      </c>
      <c r="F1656" s="4">
        <v>839.26</v>
      </c>
      <c r="G1656" s="4">
        <v>12.42</v>
      </c>
      <c r="H1656" s="4">
        <v>839.26</v>
      </c>
    </row>
    <row r="1657" s="1" customFormat="1" ht="14" spans="1:8">
      <c r="A1657" s="2">
        <v>4835349</v>
      </c>
      <c r="B1657" s="2" t="s">
        <v>2329</v>
      </c>
      <c r="C1657" s="3" t="s">
        <v>876</v>
      </c>
      <c r="D1657" s="4">
        <v>651.86</v>
      </c>
      <c r="E1657" s="4">
        <v>206.02</v>
      </c>
      <c r="F1657" s="4">
        <v>134294.97</v>
      </c>
      <c r="G1657" s="4">
        <v>206.02</v>
      </c>
      <c r="H1657" s="4">
        <v>134294.97</v>
      </c>
    </row>
    <row r="1658" s="1" customFormat="1" ht="14" spans="1:8">
      <c r="A1658" s="2">
        <v>4835420</v>
      </c>
      <c r="B1658" s="2" t="s">
        <v>2330</v>
      </c>
      <c r="C1658" s="3" t="s">
        <v>824</v>
      </c>
      <c r="D1658" s="4">
        <v>422.11</v>
      </c>
      <c r="E1658" s="4">
        <v>3.62</v>
      </c>
      <c r="F1658" s="4">
        <v>1528.02</v>
      </c>
      <c r="G1658" s="4">
        <v>3.62</v>
      </c>
      <c r="H1658" s="4">
        <v>1528.02</v>
      </c>
    </row>
    <row r="1659" s="1" customFormat="1" ht="14" spans="1:8">
      <c r="A1659" s="2">
        <v>4835426</v>
      </c>
      <c r="B1659" s="2" t="s">
        <v>2331</v>
      </c>
      <c r="C1659" s="3" t="s">
        <v>725</v>
      </c>
      <c r="D1659" s="4">
        <v>2894.4</v>
      </c>
      <c r="E1659" s="4">
        <v>12.11</v>
      </c>
      <c r="F1659" s="4">
        <v>35051.18</v>
      </c>
      <c r="G1659" s="4">
        <v>12.11</v>
      </c>
      <c r="H1659" s="4">
        <v>35051.18</v>
      </c>
    </row>
    <row r="1660" s="1" customFormat="1" ht="14" spans="1:8">
      <c r="A1660" s="2">
        <v>4835427</v>
      </c>
      <c r="B1660" s="2" t="s">
        <v>2332</v>
      </c>
      <c r="C1660" s="3" t="s">
        <v>725</v>
      </c>
      <c r="D1660" s="4">
        <v>1943.67</v>
      </c>
      <c r="E1660" s="4">
        <v>12.97</v>
      </c>
      <c r="F1660" s="4">
        <v>25209.42</v>
      </c>
      <c r="G1660" s="4">
        <v>12.97</v>
      </c>
      <c r="H1660" s="4">
        <v>25209.42</v>
      </c>
    </row>
    <row r="1661" s="1" customFormat="1" ht="14" spans="1:8">
      <c r="A1661" s="2">
        <v>4835432</v>
      </c>
      <c r="B1661" s="2" t="s">
        <v>2333</v>
      </c>
      <c r="C1661" s="3" t="s">
        <v>843</v>
      </c>
      <c r="D1661" s="4">
        <v>196.98</v>
      </c>
      <c r="E1661" s="4">
        <v>13.02</v>
      </c>
      <c r="F1661" s="4">
        <v>2564.69</v>
      </c>
      <c r="G1661" s="4">
        <v>13.02</v>
      </c>
      <c r="H1661" s="4">
        <v>2564.69</v>
      </c>
    </row>
    <row r="1662" s="1" customFormat="1" ht="14" spans="1:8">
      <c r="A1662" s="2">
        <v>4835433</v>
      </c>
      <c r="B1662" s="2" t="s">
        <v>2334</v>
      </c>
      <c r="C1662" s="3" t="s">
        <v>843</v>
      </c>
      <c r="D1662" s="4">
        <v>3964.24</v>
      </c>
      <c r="E1662" s="4">
        <v>6.63</v>
      </c>
      <c r="F1662" s="4">
        <v>26282.88</v>
      </c>
      <c r="G1662" s="4">
        <v>6.63</v>
      </c>
      <c r="H1662" s="4">
        <v>26282.88</v>
      </c>
    </row>
    <row r="1663" s="1" customFormat="1" ht="14" spans="1:8">
      <c r="A1663" s="2">
        <v>4835438</v>
      </c>
      <c r="B1663" s="2" t="s">
        <v>2335</v>
      </c>
      <c r="C1663" s="3" t="s">
        <v>824</v>
      </c>
      <c r="D1663" s="4">
        <v>811.05</v>
      </c>
      <c r="E1663" s="4">
        <v>1.81</v>
      </c>
      <c r="F1663" s="4">
        <v>1467.99</v>
      </c>
      <c r="G1663" s="4">
        <v>1.81</v>
      </c>
      <c r="H1663" s="4">
        <v>1467.99</v>
      </c>
    </row>
    <row r="1664" s="1" customFormat="1" ht="14" spans="1:8">
      <c r="A1664" s="2">
        <v>4835445</v>
      </c>
      <c r="B1664" s="2" t="s">
        <v>2336</v>
      </c>
      <c r="C1664" s="3" t="s">
        <v>725</v>
      </c>
      <c r="D1664" s="4">
        <v>16.08</v>
      </c>
      <c r="E1664" s="4">
        <v>12.94</v>
      </c>
      <c r="F1664" s="4">
        <v>208.08</v>
      </c>
      <c r="G1664" s="4">
        <v>12.94</v>
      </c>
      <c r="H1664" s="4">
        <v>208.08</v>
      </c>
    </row>
    <row r="1665" s="1" customFormat="1" ht="14" spans="1:8">
      <c r="A1665" s="2">
        <v>4835446</v>
      </c>
      <c r="B1665" s="2" t="s">
        <v>2337</v>
      </c>
      <c r="C1665" s="3" t="s">
        <v>725</v>
      </c>
      <c r="D1665" s="4">
        <v>32</v>
      </c>
      <c r="E1665" s="4">
        <v>18.23</v>
      </c>
      <c r="F1665" s="4">
        <v>583.36</v>
      </c>
      <c r="G1665" s="4">
        <v>18.23</v>
      </c>
      <c r="H1665" s="4">
        <v>583.36</v>
      </c>
    </row>
    <row r="1666" s="1" customFormat="1" ht="14" spans="1:8">
      <c r="A1666" s="2">
        <v>4835447</v>
      </c>
      <c r="B1666" s="2" t="s">
        <v>2338</v>
      </c>
      <c r="C1666" s="3" t="s">
        <v>725</v>
      </c>
      <c r="D1666" s="4">
        <v>8.04</v>
      </c>
      <c r="E1666" s="4">
        <v>19.99</v>
      </c>
      <c r="F1666" s="4">
        <v>160.72</v>
      </c>
      <c r="G1666" s="4">
        <v>19.99</v>
      </c>
      <c r="H1666" s="4">
        <v>160.72</v>
      </c>
    </row>
    <row r="1667" s="1" customFormat="1" ht="14" spans="1:8">
      <c r="A1667" s="2">
        <v>4835448</v>
      </c>
      <c r="B1667" s="2" t="s">
        <v>2339</v>
      </c>
      <c r="C1667" s="3" t="s">
        <v>725</v>
      </c>
      <c r="D1667" s="4">
        <v>8.04</v>
      </c>
      <c r="E1667" s="4">
        <v>35.71</v>
      </c>
      <c r="F1667" s="4">
        <v>287.11</v>
      </c>
      <c r="G1667" s="4">
        <v>35.71</v>
      </c>
      <c r="H1667" s="4">
        <v>287.11</v>
      </c>
    </row>
    <row r="1668" s="1" customFormat="1" ht="14" spans="1:8">
      <c r="A1668" s="2">
        <v>4836602</v>
      </c>
      <c r="B1668" s="2" t="s">
        <v>2340</v>
      </c>
      <c r="C1668" s="3" t="s">
        <v>472</v>
      </c>
      <c r="D1668" s="4">
        <v>18.14</v>
      </c>
      <c r="E1668" s="4">
        <v>81.62</v>
      </c>
      <c r="F1668" s="4">
        <v>1480.91</v>
      </c>
      <c r="G1668" s="4">
        <v>81.62</v>
      </c>
      <c r="H1668" s="4">
        <v>1480.91</v>
      </c>
    </row>
    <row r="1669" s="1" customFormat="1" ht="14" spans="1:8">
      <c r="A1669" s="2">
        <v>4838010</v>
      </c>
      <c r="B1669" s="2" t="s">
        <v>2341</v>
      </c>
      <c r="C1669" s="3" t="s">
        <v>824</v>
      </c>
      <c r="D1669" s="4">
        <v>6121.61</v>
      </c>
      <c r="E1669" s="4">
        <v>1.14</v>
      </c>
      <c r="F1669" s="4">
        <v>6978.59</v>
      </c>
      <c r="G1669" s="4">
        <v>1.14</v>
      </c>
      <c r="H1669" s="4">
        <v>6978.59</v>
      </c>
    </row>
    <row r="1670" s="1" customFormat="1" ht="14" spans="1:8">
      <c r="A1670" s="2">
        <v>4838013</v>
      </c>
      <c r="B1670" s="2" t="s">
        <v>2342</v>
      </c>
      <c r="C1670" s="3" t="s">
        <v>725</v>
      </c>
      <c r="D1670" s="4">
        <v>294.92</v>
      </c>
      <c r="E1670" s="4">
        <v>2.05</v>
      </c>
      <c r="F1670" s="4">
        <v>604.59</v>
      </c>
      <c r="G1670" s="4">
        <v>2.05</v>
      </c>
      <c r="H1670" s="4">
        <v>604.59</v>
      </c>
    </row>
    <row r="1671" s="1" customFormat="1" ht="14" spans="1:8">
      <c r="A1671" s="2">
        <v>4838014</v>
      </c>
      <c r="B1671" s="2" t="s">
        <v>2343</v>
      </c>
      <c r="C1671" s="3" t="s">
        <v>725</v>
      </c>
      <c r="D1671" s="4">
        <v>1800.05</v>
      </c>
      <c r="E1671" s="4">
        <v>2.29</v>
      </c>
      <c r="F1671" s="4">
        <v>4122.12</v>
      </c>
      <c r="G1671" s="4">
        <v>2.29</v>
      </c>
      <c r="H1671" s="4">
        <v>4122.12</v>
      </c>
    </row>
    <row r="1672" s="1" customFormat="1" ht="14" spans="1:8">
      <c r="A1672" s="2">
        <v>4838016</v>
      </c>
      <c r="B1672" s="2" t="s">
        <v>2344</v>
      </c>
      <c r="C1672" s="3" t="s">
        <v>725</v>
      </c>
      <c r="D1672" s="4">
        <v>348.84</v>
      </c>
      <c r="E1672" s="4">
        <v>32.5</v>
      </c>
      <c r="F1672" s="4">
        <v>11337.3</v>
      </c>
      <c r="G1672" s="4">
        <v>32.5</v>
      </c>
      <c r="H1672" s="4">
        <v>11337.3</v>
      </c>
    </row>
    <row r="1673" s="1" customFormat="1" ht="14" spans="1:8">
      <c r="A1673" s="2">
        <v>4839016</v>
      </c>
      <c r="B1673" s="2" t="s">
        <v>2345</v>
      </c>
      <c r="C1673" s="3" t="s">
        <v>876</v>
      </c>
      <c r="D1673" s="4">
        <v>31500.99</v>
      </c>
      <c r="E1673" s="4">
        <v>1.74</v>
      </c>
      <c r="F1673" s="4">
        <v>54811.73</v>
      </c>
      <c r="G1673" s="4">
        <v>1.74</v>
      </c>
      <c r="H1673" s="4">
        <v>54811.73</v>
      </c>
    </row>
    <row r="1674" s="1" customFormat="1" ht="14" spans="1:8">
      <c r="A1674" s="2">
        <v>4839022</v>
      </c>
      <c r="B1674" s="2" t="s">
        <v>2346</v>
      </c>
      <c r="C1674" s="3" t="s">
        <v>876</v>
      </c>
      <c r="D1674" s="4">
        <v>250</v>
      </c>
      <c r="E1674" s="4">
        <v>3.01</v>
      </c>
      <c r="F1674" s="4">
        <v>752.5</v>
      </c>
      <c r="G1674" s="4">
        <v>3.01</v>
      </c>
      <c r="H1674" s="4">
        <v>752.5</v>
      </c>
    </row>
    <row r="1675" s="1" customFormat="1" ht="14" spans="1:8">
      <c r="A1675" s="2">
        <v>4839024</v>
      </c>
      <c r="B1675" s="2" t="s">
        <v>2347</v>
      </c>
      <c r="C1675" s="3" t="s">
        <v>876</v>
      </c>
      <c r="D1675" s="4">
        <v>960.57</v>
      </c>
      <c r="E1675" s="4">
        <v>7.36</v>
      </c>
      <c r="F1675" s="4">
        <v>7069.78</v>
      </c>
      <c r="G1675" s="4">
        <v>7.36</v>
      </c>
      <c r="H1675" s="4">
        <v>7069.78</v>
      </c>
    </row>
    <row r="1676" s="1" customFormat="1" ht="14" spans="1:8">
      <c r="A1676" s="2">
        <v>4839025</v>
      </c>
      <c r="B1676" s="2" t="s">
        <v>2348</v>
      </c>
      <c r="C1676" s="3" t="s">
        <v>876</v>
      </c>
      <c r="D1676" s="4">
        <v>996.91</v>
      </c>
      <c r="E1676" s="4">
        <v>9.08</v>
      </c>
      <c r="F1676" s="4">
        <v>9051.94</v>
      </c>
      <c r="G1676" s="4">
        <v>9.08</v>
      </c>
      <c r="H1676" s="4">
        <v>9051.94</v>
      </c>
    </row>
    <row r="1677" s="1" customFormat="1" ht="14" spans="1:8">
      <c r="A1677" s="2">
        <v>4839026</v>
      </c>
      <c r="B1677" s="2" t="s">
        <v>2349</v>
      </c>
      <c r="C1677" s="3" t="s">
        <v>876</v>
      </c>
      <c r="D1677" s="4">
        <v>6906.26</v>
      </c>
      <c r="E1677" s="4">
        <v>27.31</v>
      </c>
      <c r="F1677" s="4">
        <v>188609.96</v>
      </c>
      <c r="G1677" s="4">
        <v>27.31</v>
      </c>
      <c r="H1677" s="4">
        <v>188609.96</v>
      </c>
    </row>
    <row r="1678" s="1" customFormat="1" ht="14" spans="1:8">
      <c r="A1678" s="2">
        <v>4840014</v>
      </c>
      <c r="B1678" s="2" t="s">
        <v>2350</v>
      </c>
      <c r="C1678" s="3" t="s">
        <v>824</v>
      </c>
      <c r="D1678" s="4">
        <v>534.66</v>
      </c>
      <c r="E1678" s="4">
        <v>8.2</v>
      </c>
      <c r="F1678" s="4">
        <v>4384.2</v>
      </c>
      <c r="G1678" s="4">
        <v>8.2</v>
      </c>
      <c r="H1678" s="4">
        <v>4384.2</v>
      </c>
    </row>
    <row r="1679" s="1" customFormat="1" ht="14" spans="1:8">
      <c r="A1679" s="2">
        <v>4841015</v>
      </c>
      <c r="B1679" s="2" t="s">
        <v>2351</v>
      </c>
      <c r="C1679" s="3" t="s">
        <v>876</v>
      </c>
      <c r="D1679" s="4">
        <v>540.69</v>
      </c>
      <c r="E1679" s="4">
        <v>13.68</v>
      </c>
      <c r="F1679" s="4">
        <v>7396.63</v>
      </c>
      <c r="G1679" s="4">
        <v>13.68</v>
      </c>
      <c r="H1679" s="4">
        <v>7396.63</v>
      </c>
    </row>
    <row r="1680" s="1" customFormat="1" ht="14" spans="1:8">
      <c r="A1680" s="2">
        <v>4841016</v>
      </c>
      <c r="B1680" s="2" t="s">
        <v>2352</v>
      </c>
      <c r="C1680" s="3" t="s">
        <v>876</v>
      </c>
      <c r="D1680" s="4">
        <v>286.84</v>
      </c>
      <c r="E1680" s="4">
        <v>4.96</v>
      </c>
      <c r="F1680" s="4">
        <v>1422.74</v>
      </c>
      <c r="G1680" s="4">
        <v>4.96</v>
      </c>
      <c r="H1680" s="4">
        <v>1422.74</v>
      </c>
    </row>
    <row r="1681" s="1" customFormat="1" ht="14" spans="1:8">
      <c r="A1681" s="2">
        <v>4841020</v>
      </c>
      <c r="B1681" s="2" t="s">
        <v>2353</v>
      </c>
      <c r="C1681" s="3" t="s">
        <v>876</v>
      </c>
      <c r="D1681" s="4">
        <v>9.09</v>
      </c>
      <c r="E1681" s="4">
        <v>7.71</v>
      </c>
      <c r="F1681" s="4">
        <v>70.08</v>
      </c>
      <c r="G1681" s="4">
        <v>7.71</v>
      </c>
      <c r="H1681" s="4">
        <v>70.08</v>
      </c>
    </row>
    <row r="1682" s="1" customFormat="1" ht="14" spans="1:8">
      <c r="A1682" s="2">
        <v>4842013</v>
      </c>
      <c r="B1682" s="2" t="s">
        <v>2354</v>
      </c>
      <c r="C1682" s="3" t="s">
        <v>824</v>
      </c>
      <c r="D1682" s="4">
        <v>1348.71</v>
      </c>
      <c r="E1682" s="4">
        <v>2.14</v>
      </c>
      <c r="F1682" s="4">
        <v>2886.23</v>
      </c>
      <c r="G1682" s="4">
        <v>2.14</v>
      </c>
      <c r="H1682" s="4">
        <v>2886.23</v>
      </c>
    </row>
    <row r="1683" s="1" customFormat="1" ht="14" spans="1:8">
      <c r="A1683" s="2">
        <v>4842017</v>
      </c>
      <c r="B1683" s="2" t="s">
        <v>2355</v>
      </c>
      <c r="C1683" s="3" t="s">
        <v>725</v>
      </c>
      <c r="D1683" s="4">
        <v>428.14</v>
      </c>
      <c r="E1683" s="4">
        <v>8.82</v>
      </c>
      <c r="F1683" s="4">
        <v>3776.11</v>
      </c>
      <c r="G1683" s="4">
        <v>8.82</v>
      </c>
      <c r="H1683" s="4">
        <v>3776.11</v>
      </c>
    </row>
    <row r="1684" s="1" customFormat="1" ht="14" spans="1:8">
      <c r="A1684" s="2">
        <v>4842127</v>
      </c>
      <c r="B1684" s="2" t="s">
        <v>2356</v>
      </c>
      <c r="C1684" s="3" t="s">
        <v>843</v>
      </c>
      <c r="D1684" s="4">
        <v>1255</v>
      </c>
      <c r="E1684" s="4">
        <v>8.15</v>
      </c>
      <c r="F1684" s="4">
        <v>10228.25</v>
      </c>
      <c r="G1684" s="4">
        <v>8.15</v>
      </c>
      <c r="H1684" s="4">
        <v>10228.25</v>
      </c>
    </row>
    <row r="1685" s="1" customFormat="1" ht="14" spans="1:8">
      <c r="A1685" s="2">
        <v>4842130</v>
      </c>
      <c r="B1685" s="2" t="s">
        <v>2357</v>
      </c>
      <c r="C1685" s="3" t="s">
        <v>824</v>
      </c>
      <c r="D1685" s="4">
        <v>271.35</v>
      </c>
      <c r="E1685" s="4">
        <v>16.94</v>
      </c>
      <c r="F1685" s="4">
        <v>4596.67</v>
      </c>
      <c r="G1685" s="4">
        <v>16.94</v>
      </c>
      <c r="H1685" s="4">
        <v>4596.67</v>
      </c>
    </row>
    <row r="1686" s="1" customFormat="1" ht="14" spans="1:8">
      <c r="A1686" s="2">
        <v>4842131</v>
      </c>
      <c r="B1686" s="2" t="s">
        <v>2358</v>
      </c>
      <c r="C1686" s="3" t="s">
        <v>824</v>
      </c>
      <c r="D1686" s="4">
        <v>2202.36</v>
      </c>
      <c r="E1686" s="4">
        <v>18.86</v>
      </c>
      <c r="F1686" s="4">
        <v>41536.54</v>
      </c>
      <c r="G1686" s="4">
        <v>18.86</v>
      </c>
      <c r="H1686" s="4">
        <v>41536.54</v>
      </c>
    </row>
    <row r="1687" s="1" customFormat="1" ht="14" spans="1:8">
      <c r="A1687" s="2">
        <v>4842139</v>
      </c>
      <c r="B1687" s="2" t="s">
        <v>2359</v>
      </c>
      <c r="C1687" s="3" t="s">
        <v>824</v>
      </c>
      <c r="D1687" s="4">
        <v>64.32</v>
      </c>
      <c r="E1687" s="4">
        <v>13.72</v>
      </c>
      <c r="F1687" s="4">
        <v>882.47</v>
      </c>
      <c r="G1687" s="4">
        <v>13.72</v>
      </c>
      <c r="H1687" s="4">
        <v>882.47</v>
      </c>
    </row>
    <row r="1688" s="1" customFormat="1" ht="14" spans="1:8">
      <c r="A1688" s="2">
        <v>4842140</v>
      </c>
      <c r="B1688" s="2" t="s">
        <v>2360</v>
      </c>
      <c r="C1688" s="3" t="s">
        <v>52</v>
      </c>
      <c r="D1688" s="4">
        <v>19831</v>
      </c>
      <c r="E1688" s="4">
        <v>6.08</v>
      </c>
      <c r="F1688" s="4">
        <v>120572.36</v>
      </c>
      <c r="G1688" s="4">
        <v>6.08</v>
      </c>
      <c r="H1688" s="4">
        <v>120572.36</v>
      </c>
    </row>
    <row r="1689" s="1" customFormat="1" ht="14" spans="1:8">
      <c r="A1689" s="2">
        <v>4842143</v>
      </c>
      <c r="B1689" s="2" t="s">
        <v>2361</v>
      </c>
      <c r="C1689" s="3" t="s">
        <v>679</v>
      </c>
      <c r="D1689" s="4">
        <v>67.38</v>
      </c>
      <c r="E1689" s="4">
        <v>444.63</v>
      </c>
      <c r="F1689" s="4">
        <v>29959.17</v>
      </c>
      <c r="G1689" s="4">
        <v>444.63</v>
      </c>
      <c r="H1689" s="4">
        <v>29959.17</v>
      </c>
    </row>
    <row r="1690" s="1" customFormat="1" ht="14" spans="1:8">
      <c r="A1690" s="2">
        <v>4900011</v>
      </c>
      <c r="B1690" s="2" t="s">
        <v>2362</v>
      </c>
      <c r="C1690" s="3" t="s">
        <v>923</v>
      </c>
      <c r="D1690" s="4">
        <v>19028.43</v>
      </c>
      <c r="E1690" s="4">
        <v>8.95</v>
      </c>
      <c r="F1690" s="4">
        <v>170304.36</v>
      </c>
      <c r="G1690" s="4">
        <v>8.95</v>
      </c>
      <c r="H1690" s="4">
        <v>170304.36</v>
      </c>
    </row>
    <row r="1691" s="1" customFormat="1" ht="14" spans="1:8">
      <c r="A1691" s="2">
        <v>4900014</v>
      </c>
      <c r="B1691" s="2" t="s">
        <v>2363</v>
      </c>
      <c r="C1691" s="3" t="s">
        <v>923</v>
      </c>
      <c r="D1691" s="4">
        <v>1024.76</v>
      </c>
      <c r="E1691" s="4">
        <v>1.46</v>
      </c>
      <c r="F1691" s="4">
        <v>1496.16</v>
      </c>
      <c r="G1691" s="4">
        <v>1.46</v>
      </c>
      <c r="H1691" s="4">
        <v>1496.16</v>
      </c>
    </row>
    <row r="1692" s="1" customFormat="1" ht="14" spans="1:8">
      <c r="A1692" s="2">
        <v>4900016</v>
      </c>
      <c r="B1692" s="2" t="s">
        <v>2364</v>
      </c>
      <c r="C1692" s="3" t="s">
        <v>923</v>
      </c>
      <c r="D1692" s="4">
        <v>13093.52</v>
      </c>
      <c r="E1692" s="4">
        <v>5.07</v>
      </c>
      <c r="F1692" s="4">
        <v>66384.22</v>
      </c>
      <c r="G1692" s="4">
        <v>5.07</v>
      </c>
      <c r="H1692" s="4">
        <v>66384.22</v>
      </c>
    </row>
    <row r="1693" s="1" customFormat="1" ht="14" spans="1:8">
      <c r="A1693" s="2">
        <v>4900017</v>
      </c>
      <c r="B1693" s="2" t="s">
        <v>2365</v>
      </c>
      <c r="C1693" s="3" t="s">
        <v>923</v>
      </c>
      <c r="D1693" s="4">
        <v>1475.05</v>
      </c>
      <c r="E1693" s="4">
        <v>7.55</v>
      </c>
      <c r="F1693" s="4">
        <v>11136.49</v>
      </c>
      <c r="G1693" s="4">
        <v>7.55</v>
      </c>
      <c r="H1693" s="4">
        <v>11136.49</v>
      </c>
    </row>
    <row r="1694" s="1" customFormat="1" ht="14" spans="1:8">
      <c r="A1694" s="2">
        <v>4900020</v>
      </c>
      <c r="B1694" s="2" t="s">
        <v>2366</v>
      </c>
      <c r="C1694" s="3" t="s">
        <v>923</v>
      </c>
      <c r="D1694" s="4">
        <v>225</v>
      </c>
      <c r="E1694" s="4">
        <v>19.76</v>
      </c>
      <c r="F1694" s="4">
        <v>4446</v>
      </c>
      <c r="G1694" s="4">
        <v>19.76</v>
      </c>
      <c r="H1694" s="4">
        <v>4446</v>
      </c>
    </row>
    <row r="1695" s="1" customFormat="1" ht="14" spans="1:8">
      <c r="A1695" s="2">
        <v>4900021</v>
      </c>
      <c r="B1695" s="2" t="s">
        <v>2367</v>
      </c>
      <c r="C1695" s="3" t="s">
        <v>923</v>
      </c>
      <c r="D1695" s="4">
        <v>110.2</v>
      </c>
      <c r="E1695" s="4">
        <v>20.82</v>
      </c>
      <c r="F1695" s="4">
        <v>2294.36</v>
      </c>
      <c r="G1695" s="4">
        <v>20.82</v>
      </c>
      <c r="H1695" s="4">
        <v>2294.36</v>
      </c>
    </row>
    <row r="1696" s="1" customFormat="1" ht="14" spans="1:8">
      <c r="A1696" s="2">
        <v>4900022</v>
      </c>
      <c r="B1696" s="2" t="s">
        <v>2368</v>
      </c>
      <c r="C1696" s="3" t="s">
        <v>923</v>
      </c>
      <c r="D1696" s="4">
        <v>416.5</v>
      </c>
      <c r="E1696" s="4">
        <v>5.53</v>
      </c>
      <c r="F1696" s="4">
        <v>2303.24</v>
      </c>
      <c r="G1696" s="4">
        <v>5.53</v>
      </c>
      <c r="H1696" s="4">
        <v>2303.24</v>
      </c>
    </row>
    <row r="1697" s="1" customFormat="1" ht="14" spans="1:8">
      <c r="A1697" s="2">
        <v>4900026</v>
      </c>
      <c r="B1697" s="2" t="s">
        <v>2369</v>
      </c>
      <c r="C1697" s="3" t="s">
        <v>52</v>
      </c>
      <c r="D1697" s="4">
        <v>48.08</v>
      </c>
      <c r="E1697" s="4">
        <v>5.12</v>
      </c>
      <c r="F1697" s="4">
        <v>246.17</v>
      </c>
      <c r="G1697" s="4">
        <v>5.12</v>
      </c>
      <c r="H1697" s="4">
        <v>246.17</v>
      </c>
    </row>
    <row r="1698" s="1" customFormat="1" ht="14" spans="1:8">
      <c r="A1698" s="2">
        <v>4900027</v>
      </c>
      <c r="B1698" s="2" t="s">
        <v>2370</v>
      </c>
      <c r="C1698" s="3" t="s">
        <v>923</v>
      </c>
      <c r="D1698" s="4">
        <v>6153.29</v>
      </c>
      <c r="E1698" s="4">
        <v>6.78</v>
      </c>
      <c r="F1698" s="4">
        <v>41719.32</v>
      </c>
      <c r="G1698" s="4">
        <v>6.78</v>
      </c>
      <c r="H1698" s="4">
        <v>41719.32</v>
      </c>
    </row>
    <row r="1699" s="1" customFormat="1" ht="14" spans="1:8">
      <c r="A1699" s="2">
        <v>4900101</v>
      </c>
      <c r="B1699" s="2" t="s">
        <v>2371</v>
      </c>
      <c r="C1699" s="3" t="s">
        <v>52</v>
      </c>
      <c r="D1699" s="4">
        <v>731.03</v>
      </c>
      <c r="E1699" s="4">
        <v>20.67</v>
      </c>
      <c r="F1699" s="4">
        <v>15110.36</v>
      </c>
      <c r="G1699" s="4">
        <v>20.67</v>
      </c>
      <c r="H1699" s="4">
        <v>15110.36</v>
      </c>
    </row>
    <row r="1700" s="1" customFormat="1" ht="14" spans="1:8">
      <c r="A1700" s="2">
        <v>4900201</v>
      </c>
      <c r="B1700" s="2" t="s">
        <v>2372</v>
      </c>
      <c r="C1700" s="3" t="s">
        <v>52</v>
      </c>
      <c r="D1700" s="4">
        <v>10148.11</v>
      </c>
      <c r="E1700" s="4">
        <v>11.38</v>
      </c>
      <c r="F1700" s="4">
        <v>115485.47</v>
      </c>
      <c r="G1700" s="4">
        <v>11.38</v>
      </c>
      <c r="H1700" s="4">
        <v>115485.47</v>
      </c>
    </row>
    <row r="1701" s="1" customFormat="1" ht="14" spans="1:8">
      <c r="A1701" s="2">
        <v>4900221</v>
      </c>
      <c r="B1701" s="2" t="s">
        <v>2373</v>
      </c>
      <c r="C1701" s="3" t="s">
        <v>52</v>
      </c>
      <c r="D1701" s="4">
        <v>3387.17</v>
      </c>
      <c r="E1701" s="4">
        <v>5.65</v>
      </c>
      <c r="F1701" s="4">
        <v>19137.54</v>
      </c>
      <c r="G1701" s="4">
        <v>5.65</v>
      </c>
      <c r="H1701" s="4">
        <v>19137.54</v>
      </c>
    </row>
    <row r="1702" s="1" customFormat="1" ht="14" spans="1:8">
      <c r="A1702" s="2">
        <v>4900231</v>
      </c>
      <c r="B1702" s="2" t="s">
        <v>2374</v>
      </c>
      <c r="C1702" s="3" t="s">
        <v>876</v>
      </c>
      <c r="D1702" s="4">
        <v>727.2</v>
      </c>
      <c r="E1702" s="4">
        <v>67.1</v>
      </c>
      <c r="F1702" s="4">
        <v>48795.12</v>
      </c>
      <c r="G1702" s="4">
        <v>67.1</v>
      </c>
      <c r="H1702" s="4">
        <v>48795.12</v>
      </c>
    </row>
    <row r="1703" s="1" customFormat="1" ht="14" spans="1:8">
      <c r="A1703" s="2">
        <v>4900241</v>
      </c>
      <c r="B1703" s="2" t="s">
        <v>2375</v>
      </c>
      <c r="C1703" s="3" t="s">
        <v>679</v>
      </c>
      <c r="D1703" s="4">
        <v>51.84</v>
      </c>
      <c r="E1703" s="4">
        <v>127.12</v>
      </c>
      <c r="F1703" s="4">
        <v>6589.89</v>
      </c>
      <c r="G1703" s="4">
        <v>127.12</v>
      </c>
      <c r="H1703" s="4">
        <v>6589.89</v>
      </c>
    </row>
    <row r="1704" s="1" customFormat="1" ht="14" spans="1:8">
      <c r="A1704" s="2">
        <v>5100009</v>
      </c>
      <c r="B1704" s="2" t="s">
        <v>2376</v>
      </c>
      <c r="C1704" s="3" t="s">
        <v>52</v>
      </c>
      <c r="D1704" s="4">
        <v>8225.16</v>
      </c>
      <c r="E1704" s="4">
        <v>6.56</v>
      </c>
      <c r="F1704" s="4">
        <v>53957.02</v>
      </c>
      <c r="G1704" s="4">
        <v>6.56</v>
      </c>
      <c r="H1704" s="4">
        <v>53957.02</v>
      </c>
    </row>
    <row r="1705" s="1" customFormat="1" ht="14" spans="1:8">
      <c r="A1705" s="2">
        <v>5100183</v>
      </c>
      <c r="B1705" s="2" t="s">
        <v>2377</v>
      </c>
      <c r="C1705" s="3" t="s">
        <v>52</v>
      </c>
      <c r="D1705" s="4">
        <v>825942.58</v>
      </c>
      <c r="E1705" s="4">
        <v>7.12</v>
      </c>
      <c r="F1705" s="4">
        <v>5880711.17</v>
      </c>
      <c r="G1705" s="4">
        <v>7.12</v>
      </c>
      <c r="H1705" s="4">
        <v>5880711.17</v>
      </c>
    </row>
    <row r="1706" s="1" customFormat="1" ht="14" spans="1:8">
      <c r="A1706" s="2">
        <v>5100194</v>
      </c>
      <c r="B1706" s="2" t="s">
        <v>2378</v>
      </c>
      <c r="C1706" s="3" t="s">
        <v>876</v>
      </c>
      <c r="D1706" s="4">
        <v>506.52</v>
      </c>
      <c r="E1706" s="4">
        <v>9.03</v>
      </c>
      <c r="F1706" s="4">
        <v>4573.88</v>
      </c>
      <c r="G1706" s="4">
        <v>9.03</v>
      </c>
      <c r="H1706" s="4">
        <v>4573.88</v>
      </c>
    </row>
    <row r="1707" s="1" customFormat="1" ht="28" spans="1:8">
      <c r="A1707" s="2">
        <v>5100246</v>
      </c>
      <c r="B1707" s="2" t="s">
        <v>2379</v>
      </c>
      <c r="C1707" s="3" t="s">
        <v>876</v>
      </c>
      <c r="D1707" s="4">
        <v>2265.28</v>
      </c>
      <c r="E1707" s="4">
        <v>204.47</v>
      </c>
      <c r="F1707" s="4">
        <v>463181.81</v>
      </c>
      <c r="G1707" s="4">
        <v>204.47</v>
      </c>
      <c r="H1707" s="4">
        <v>463181.81</v>
      </c>
    </row>
    <row r="1708" s="1" customFormat="1" ht="28" spans="1:8">
      <c r="A1708" s="2">
        <v>5200698</v>
      </c>
      <c r="B1708" s="2" t="s">
        <v>2380</v>
      </c>
      <c r="C1708" s="3" t="s">
        <v>725</v>
      </c>
      <c r="D1708" s="4">
        <v>0</v>
      </c>
      <c r="E1708" s="4">
        <v>2694.97</v>
      </c>
      <c r="F1708" s="4">
        <v>0</v>
      </c>
      <c r="G1708" s="4">
        <v>2694.97</v>
      </c>
      <c r="H1708" s="4">
        <v>0</v>
      </c>
    </row>
    <row r="1709" s="1" customFormat="1" ht="14" spans="1:8">
      <c r="A1709" s="2">
        <v>5200861</v>
      </c>
      <c r="B1709" s="2" t="s">
        <v>2381</v>
      </c>
      <c r="C1709" s="3" t="s">
        <v>843</v>
      </c>
      <c r="D1709" s="4">
        <v>5451.27</v>
      </c>
      <c r="E1709" s="4">
        <v>38.11</v>
      </c>
      <c r="F1709" s="4">
        <v>207747.92</v>
      </c>
      <c r="G1709" s="4">
        <v>38.11</v>
      </c>
      <c r="H1709" s="4">
        <v>207747.92</v>
      </c>
    </row>
    <row r="1710" s="1" customFormat="1" ht="28" spans="1:8">
      <c r="A1710" s="2">
        <v>5300382</v>
      </c>
      <c r="B1710" s="2" t="s">
        <v>2382</v>
      </c>
      <c r="C1710" s="3" t="s">
        <v>29</v>
      </c>
      <c r="D1710" s="4">
        <v>39.97</v>
      </c>
      <c r="E1710" s="4">
        <v>6168.49</v>
      </c>
      <c r="F1710" s="4">
        <v>246554.55</v>
      </c>
      <c r="G1710" s="4">
        <v>7417</v>
      </c>
      <c r="H1710" s="4">
        <v>296457.49</v>
      </c>
    </row>
    <row r="1711" s="1" customFormat="1" ht="14" spans="1:8">
      <c r="A1711" s="2">
        <v>5300387</v>
      </c>
      <c r="B1711" s="2" t="s">
        <v>2383</v>
      </c>
      <c r="C1711" s="3" t="s">
        <v>29</v>
      </c>
      <c r="D1711" s="4">
        <v>0</v>
      </c>
      <c r="E1711" s="4">
        <v>6349.87</v>
      </c>
      <c r="F1711" s="4">
        <v>0</v>
      </c>
      <c r="G1711" s="4">
        <v>7654</v>
      </c>
      <c r="H1711" s="4">
        <v>0</v>
      </c>
    </row>
    <row r="1712" s="1" customFormat="1" ht="14" spans="1:8">
      <c r="A1712" s="2">
        <v>5300388</v>
      </c>
      <c r="B1712" s="2" t="s">
        <v>2384</v>
      </c>
      <c r="C1712" s="3" t="s">
        <v>29</v>
      </c>
      <c r="D1712" s="4">
        <v>0</v>
      </c>
      <c r="E1712" s="4">
        <v>6349.87</v>
      </c>
      <c r="F1712" s="4">
        <v>0</v>
      </c>
      <c r="G1712" s="4">
        <v>7654</v>
      </c>
      <c r="H1712" s="4">
        <v>0</v>
      </c>
    </row>
    <row r="1713" s="1" customFormat="1" ht="14" spans="1:8">
      <c r="A1713" s="2">
        <v>5300389</v>
      </c>
      <c r="B1713" s="2" t="s">
        <v>2385</v>
      </c>
      <c r="C1713" s="3" t="s">
        <v>29</v>
      </c>
      <c r="D1713" s="4">
        <v>0</v>
      </c>
      <c r="E1713" s="4">
        <v>7547.64</v>
      </c>
      <c r="F1713" s="4">
        <v>0</v>
      </c>
      <c r="G1713" s="4">
        <v>8898</v>
      </c>
      <c r="H1713" s="4">
        <v>0</v>
      </c>
    </row>
    <row r="1714" s="1" customFormat="1" ht="14" spans="1:8">
      <c r="A1714" s="2">
        <v>5300391</v>
      </c>
      <c r="B1714" s="2" t="s">
        <v>2386</v>
      </c>
      <c r="C1714" s="3" t="s">
        <v>29</v>
      </c>
      <c r="D1714" s="4">
        <v>0</v>
      </c>
      <c r="E1714" s="4">
        <v>7804.3</v>
      </c>
      <c r="F1714" s="4">
        <v>0</v>
      </c>
      <c r="G1714" s="4">
        <v>9189</v>
      </c>
      <c r="H1714" s="4">
        <v>0</v>
      </c>
    </row>
    <row r="1715" s="1" customFormat="1" ht="14" spans="1:8">
      <c r="A1715" s="2">
        <v>5300393</v>
      </c>
      <c r="B1715" s="2" t="s">
        <v>2387</v>
      </c>
      <c r="C1715" s="3" t="s">
        <v>29</v>
      </c>
      <c r="D1715" s="4">
        <v>0</v>
      </c>
      <c r="E1715" s="4">
        <v>6093.21</v>
      </c>
      <c r="F1715" s="4">
        <v>0</v>
      </c>
      <c r="G1715" s="4">
        <v>7191</v>
      </c>
      <c r="H1715" s="4">
        <v>0</v>
      </c>
    </row>
    <row r="1716" s="1" customFormat="1" ht="14" spans="1:8">
      <c r="A1716" s="2">
        <v>5322054</v>
      </c>
      <c r="B1716" s="2" t="s">
        <v>2388</v>
      </c>
      <c r="C1716" s="3" t="s">
        <v>29</v>
      </c>
      <c r="D1716" s="4">
        <v>490.79</v>
      </c>
      <c r="E1716" s="4">
        <v>7528.81</v>
      </c>
      <c r="F1716" s="4">
        <v>3695064.66</v>
      </c>
      <c r="G1716" s="4">
        <v>7528.81</v>
      </c>
      <c r="H1716" s="4">
        <v>3695064.66</v>
      </c>
    </row>
    <row r="1717" s="1" customFormat="1" ht="14" spans="1:8">
      <c r="A1717" s="2">
        <v>5333015</v>
      </c>
      <c r="B1717" s="2" t="s">
        <v>2389</v>
      </c>
      <c r="C1717" s="3" t="s">
        <v>876</v>
      </c>
      <c r="D1717" s="4">
        <v>154</v>
      </c>
      <c r="E1717" s="4">
        <v>1093.61</v>
      </c>
      <c r="F1717" s="4">
        <v>168415.94</v>
      </c>
      <c r="G1717" s="4">
        <v>1159.62528</v>
      </c>
      <c r="H1717" s="4">
        <v>178582.3</v>
      </c>
    </row>
    <row r="1718" s="1" customFormat="1" ht="14" spans="1:8">
      <c r="A1718" s="2">
        <v>5333016</v>
      </c>
      <c r="B1718" s="2" t="s">
        <v>2390</v>
      </c>
      <c r="C1718" s="3" t="s">
        <v>876</v>
      </c>
      <c r="D1718" s="4">
        <v>12</v>
      </c>
      <c r="E1718" s="4">
        <v>1468.35</v>
      </c>
      <c r="F1718" s="4">
        <v>17620.2</v>
      </c>
      <c r="G1718" s="4">
        <v>1556.98444</v>
      </c>
      <c r="H1718" s="4">
        <v>18683.81</v>
      </c>
    </row>
    <row r="1719" s="1" customFormat="1" ht="14" spans="1:8">
      <c r="A1719" s="2">
        <v>5400501</v>
      </c>
      <c r="B1719" s="2" t="s">
        <v>2391</v>
      </c>
      <c r="C1719" s="3" t="s">
        <v>876</v>
      </c>
      <c r="D1719" s="4">
        <v>83.42</v>
      </c>
      <c r="E1719" s="4">
        <v>128.32</v>
      </c>
      <c r="F1719" s="4">
        <v>10705.1</v>
      </c>
      <c r="G1719" s="4">
        <v>128.32</v>
      </c>
      <c r="H1719" s="4">
        <v>10705.1</v>
      </c>
    </row>
    <row r="1720" s="1" customFormat="1" ht="14" spans="1:8">
      <c r="A1720" s="2">
        <v>5400520</v>
      </c>
      <c r="B1720" s="2" t="s">
        <v>2392</v>
      </c>
      <c r="C1720" s="3" t="s">
        <v>876</v>
      </c>
      <c r="D1720" s="4">
        <v>2267.29</v>
      </c>
      <c r="E1720" s="4">
        <v>269.55</v>
      </c>
      <c r="F1720" s="4">
        <v>611148.01</v>
      </c>
      <c r="G1720" s="4">
        <v>269.55</v>
      </c>
      <c r="H1720" s="4">
        <v>611148.01</v>
      </c>
    </row>
    <row r="1721" s="1" customFormat="1" ht="14" spans="1:8">
      <c r="A1721" s="2">
        <v>5400538</v>
      </c>
      <c r="B1721" s="2" t="s">
        <v>2393</v>
      </c>
      <c r="C1721" s="3" t="s">
        <v>876</v>
      </c>
      <c r="D1721" s="4">
        <v>920.58</v>
      </c>
      <c r="E1721" s="4">
        <v>229.81</v>
      </c>
      <c r="F1721" s="4">
        <v>211558.49</v>
      </c>
      <c r="G1721" s="4">
        <v>229.81</v>
      </c>
      <c r="H1721" s="4">
        <v>211558.49</v>
      </c>
    </row>
    <row r="1722" s="1" customFormat="1" ht="14" spans="1:8">
      <c r="A1722" s="2">
        <v>5400743</v>
      </c>
      <c r="B1722" s="2" t="s">
        <v>2394</v>
      </c>
      <c r="C1722" s="3" t="s">
        <v>1317</v>
      </c>
      <c r="D1722" s="4">
        <v>47.25</v>
      </c>
      <c r="E1722" s="4">
        <v>6.58</v>
      </c>
      <c r="F1722" s="4">
        <v>310.9</v>
      </c>
      <c r="G1722" s="4">
        <v>6.58</v>
      </c>
      <c r="H1722" s="4">
        <v>310.9</v>
      </c>
    </row>
    <row r="1723" s="1" customFormat="1" ht="14" spans="1:8">
      <c r="A1723" s="2">
        <v>5400988</v>
      </c>
      <c r="B1723" s="2" t="s">
        <v>2395</v>
      </c>
      <c r="C1723" s="3" t="s">
        <v>876</v>
      </c>
      <c r="D1723" s="4">
        <v>984.9</v>
      </c>
      <c r="E1723" s="4">
        <v>166.13</v>
      </c>
      <c r="F1723" s="4">
        <v>163622.27</v>
      </c>
      <c r="G1723" s="4">
        <v>166.13</v>
      </c>
      <c r="H1723" s="4">
        <v>163622.27</v>
      </c>
    </row>
    <row r="1724" s="1" customFormat="1" ht="14" spans="1:8">
      <c r="A1724" s="2">
        <v>5401827</v>
      </c>
      <c r="B1724" s="2" t="s">
        <v>2396</v>
      </c>
      <c r="C1724" s="3" t="s">
        <v>876</v>
      </c>
      <c r="D1724" s="4">
        <v>3800.95</v>
      </c>
      <c r="E1724" s="4">
        <v>52.32</v>
      </c>
      <c r="F1724" s="4">
        <v>198865.7</v>
      </c>
      <c r="G1724" s="4">
        <v>52.32</v>
      </c>
      <c r="H1724" s="4">
        <v>198865.7</v>
      </c>
    </row>
    <row r="1725" s="1" customFormat="1" ht="14" spans="1:8">
      <c r="A1725" s="2">
        <v>5401832</v>
      </c>
      <c r="B1725" s="2" t="s">
        <v>2397</v>
      </c>
      <c r="C1725" s="3" t="s">
        <v>876</v>
      </c>
      <c r="D1725" s="4">
        <v>3700.44</v>
      </c>
      <c r="E1725" s="4">
        <v>56.85</v>
      </c>
      <c r="F1725" s="4">
        <v>210370.03</v>
      </c>
      <c r="G1725" s="4">
        <v>56.85</v>
      </c>
      <c r="H1725" s="4">
        <v>210370.03</v>
      </c>
    </row>
    <row r="1726" s="1" customFormat="1" ht="14" spans="1:8">
      <c r="A1726" s="2">
        <v>5402004</v>
      </c>
      <c r="B1726" s="2" t="s">
        <v>2398</v>
      </c>
      <c r="C1726" s="3" t="s">
        <v>876</v>
      </c>
      <c r="D1726" s="4">
        <v>0</v>
      </c>
      <c r="E1726" s="4">
        <v>46.3</v>
      </c>
      <c r="F1726" s="4">
        <v>0</v>
      </c>
      <c r="G1726" s="4">
        <v>46.3</v>
      </c>
      <c r="H1726" s="4">
        <v>0</v>
      </c>
    </row>
    <row r="1727" s="1" customFormat="1" ht="14" spans="1:8">
      <c r="A1727" s="2">
        <v>5402015</v>
      </c>
      <c r="B1727" s="2" t="s">
        <v>2399</v>
      </c>
      <c r="C1727" s="3" t="s">
        <v>876</v>
      </c>
      <c r="D1727" s="4">
        <v>488.43</v>
      </c>
      <c r="E1727" s="4">
        <v>13.63</v>
      </c>
      <c r="F1727" s="4">
        <v>6657.3</v>
      </c>
      <c r="G1727" s="4">
        <v>13.63</v>
      </c>
      <c r="H1727" s="4">
        <v>6657.3</v>
      </c>
    </row>
    <row r="1728" s="1" customFormat="1" ht="14" spans="1:8">
      <c r="A1728" s="2">
        <v>5403811</v>
      </c>
      <c r="B1728" s="2" t="s">
        <v>2400</v>
      </c>
      <c r="C1728" s="3" t="s">
        <v>876</v>
      </c>
      <c r="D1728" s="4">
        <v>1098.4</v>
      </c>
      <c r="E1728" s="4">
        <v>77.05</v>
      </c>
      <c r="F1728" s="4">
        <v>84631.96</v>
      </c>
      <c r="G1728" s="4">
        <v>77.05</v>
      </c>
      <c r="H1728" s="4">
        <v>84631.96</v>
      </c>
    </row>
    <row r="1729" s="1" customFormat="1" ht="14" spans="1:8">
      <c r="A1729" s="2">
        <v>5405117</v>
      </c>
      <c r="B1729" s="2" t="s">
        <v>2401</v>
      </c>
      <c r="C1729" s="3" t="s">
        <v>876</v>
      </c>
      <c r="D1729" s="4">
        <v>0</v>
      </c>
      <c r="E1729" s="4">
        <v>643.12</v>
      </c>
      <c r="F1729" s="4">
        <v>0</v>
      </c>
      <c r="G1729" s="4">
        <v>643.12</v>
      </c>
      <c r="H1729" s="4">
        <v>0</v>
      </c>
    </row>
    <row r="1730" s="1" customFormat="1" ht="14" spans="1:8">
      <c r="A1730" s="2">
        <v>5410528</v>
      </c>
      <c r="B1730" s="2" t="s">
        <v>2402</v>
      </c>
      <c r="C1730" s="3" t="s">
        <v>876</v>
      </c>
      <c r="D1730" s="4">
        <v>15.08</v>
      </c>
      <c r="E1730" s="4">
        <v>1407.93</v>
      </c>
      <c r="F1730" s="4">
        <v>21231.58</v>
      </c>
      <c r="G1730" s="4">
        <v>1407.93</v>
      </c>
      <c r="H1730" s="4">
        <v>21231.58</v>
      </c>
    </row>
    <row r="1731" s="1" customFormat="1" ht="14" spans="1:8">
      <c r="A1731" s="2">
        <v>5410529</v>
      </c>
      <c r="B1731" s="2" t="s">
        <v>2403</v>
      </c>
      <c r="C1731" s="3" t="s">
        <v>876</v>
      </c>
      <c r="D1731" s="4">
        <v>15.08</v>
      </c>
      <c r="E1731" s="4">
        <v>1677.47</v>
      </c>
      <c r="F1731" s="4">
        <v>25296.25</v>
      </c>
      <c r="G1731" s="4">
        <v>1677.47</v>
      </c>
      <c r="H1731" s="4">
        <v>25296.25</v>
      </c>
    </row>
    <row r="1732" s="1" customFormat="1" ht="28" spans="1:8">
      <c r="A1732" s="2">
        <v>5427610</v>
      </c>
      <c r="B1732" s="2" t="s">
        <v>2404</v>
      </c>
      <c r="C1732" s="3" t="s">
        <v>876</v>
      </c>
      <c r="D1732" s="4">
        <v>0</v>
      </c>
      <c r="E1732" s="4">
        <v>196.34</v>
      </c>
      <c r="F1732" s="4">
        <v>0</v>
      </c>
      <c r="G1732" s="4">
        <v>196.34</v>
      </c>
      <c r="H1732" s="4">
        <v>0</v>
      </c>
    </row>
    <row r="1733" s="1" customFormat="1" ht="14" spans="1:8">
      <c r="A1733" s="2">
        <v>5427614</v>
      </c>
      <c r="B1733" s="2" t="s">
        <v>2405</v>
      </c>
      <c r="C1733" s="3" t="s">
        <v>876</v>
      </c>
      <c r="D1733" s="4">
        <v>0</v>
      </c>
      <c r="E1733" s="4">
        <v>131.21</v>
      </c>
      <c r="F1733" s="4">
        <v>0</v>
      </c>
      <c r="G1733" s="4">
        <v>131.21</v>
      </c>
      <c r="H1733" s="4">
        <v>0</v>
      </c>
    </row>
    <row r="1734" s="1" customFormat="1" ht="14" spans="1:8">
      <c r="A1734" s="2">
        <v>5427710</v>
      </c>
      <c r="B1734" s="2" t="s">
        <v>2406</v>
      </c>
      <c r="C1734" s="3" t="s">
        <v>876</v>
      </c>
      <c r="D1734" s="4">
        <v>0</v>
      </c>
      <c r="E1734" s="4">
        <v>300.87</v>
      </c>
      <c r="F1734" s="4">
        <v>0</v>
      </c>
      <c r="G1734" s="4">
        <v>300.87</v>
      </c>
      <c r="H1734" s="4">
        <v>0</v>
      </c>
    </row>
    <row r="1735" s="1" customFormat="1" ht="14" spans="1:8">
      <c r="A1735" s="2">
        <v>5427717</v>
      </c>
      <c r="B1735" s="2" t="s">
        <v>2407</v>
      </c>
      <c r="C1735" s="3" t="s">
        <v>876</v>
      </c>
      <c r="D1735" s="4">
        <v>0</v>
      </c>
      <c r="E1735" s="4">
        <v>241.15</v>
      </c>
      <c r="F1735" s="4">
        <v>0</v>
      </c>
      <c r="G1735" s="4">
        <v>241.15</v>
      </c>
      <c r="H1735" s="4">
        <v>0</v>
      </c>
    </row>
    <row r="1736" s="1" customFormat="1" ht="14" spans="1:8">
      <c r="A1736" s="2">
        <v>5427768</v>
      </c>
      <c r="B1736" s="2" t="s">
        <v>2408</v>
      </c>
      <c r="C1736" s="3" t="s">
        <v>876</v>
      </c>
      <c r="D1736" s="4">
        <v>0</v>
      </c>
      <c r="E1736" s="4">
        <v>267.4</v>
      </c>
      <c r="F1736" s="4">
        <v>0</v>
      </c>
      <c r="G1736" s="4">
        <v>267.4</v>
      </c>
      <c r="H1736" s="4">
        <v>0</v>
      </c>
    </row>
    <row r="1737" s="1" customFormat="1" ht="14" spans="1:8">
      <c r="A1737" s="2">
        <v>5427810</v>
      </c>
      <c r="B1737" s="2" t="s">
        <v>2409</v>
      </c>
      <c r="C1737" s="3" t="s">
        <v>876</v>
      </c>
      <c r="D1737" s="4">
        <v>1859.25</v>
      </c>
      <c r="E1737" s="4">
        <v>188.68</v>
      </c>
      <c r="F1737" s="4">
        <v>350803.29</v>
      </c>
      <c r="G1737" s="4">
        <v>188.68</v>
      </c>
      <c r="H1737" s="4">
        <v>350803.29</v>
      </c>
    </row>
    <row r="1738" s="1" customFormat="1" ht="14" spans="1:8">
      <c r="A1738" s="2">
        <v>5427812</v>
      </c>
      <c r="B1738" s="2" t="s">
        <v>2410</v>
      </c>
      <c r="C1738" s="3" t="s">
        <v>876</v>
      </c>
      <c r="D1738" s="4">
        <v>94.47</v>
      </c>
      <c r="E1738" s="4">
        <v>193.29</v>
      </c>
      <c r="F1738" s="4">
        <v>18260.1</v>
      </c>
      <c r="G1738" s="4">
        <v>193.29</v>
      </c>
      <c r="H1738" s="4">
        <v>18260.1</v>
      </c>
    </row>
    <row r="1739" s="1" customFormat="1" ht="28" spans="1:8">
      <c r="A1739" s="2">
        <v>5427831</v>
      </c>
      <c r="B1739" s="2" t="s">
        <v>2411</v>
      </c>
      <c r="C1739" s="3" t="s">
        <v>876</v>
      </c>
      <c r="D1739" s="4">
        <v>17.09</v>
      </c>
      <c r="E1739" s="4">
        <v>793.5</v>
      </c>
      <c r="F1739" s="4">
        <v>13564.89</v>
      </c>
      <c r="G1739" s="4">
        <v>793.5</v>
      </c>
      <c r="H1739" s="4">
        <v>13564.89</v>
      </c>
    </row>
    <row r="1740" s="1" customFormat="1" ht="14" spans="1:8">
      <c r="A1740" s="2">
        <v>5437391</v>
      </c>
      <c r="B1740" s="2" t="s">
        <v>2412</v>
      </c>
      <c r="C1740" s="3" t="s">
        <v>824</v>
      </c>
      <c r="D1740" s="4">
        <v>434.16</v>
      </c>
      <c r="E1740" s="4">
        <v>2.61</v>
      </c>
      <c r="F1740" s="4">
        <v>1133.16</v>
      </c>
      <c r="G1740" s="4">
        <v>2.61</v>
      </c>
      <c r="H1740" s="4">
        <v>1133.16</v>
      </c>
    </row>
    <row r="1741" s="1" customFormat="1" ht="14" spans="1:8">
      <c r="A1741" s="2">
        <v>5437561</v>
      </c>
      <c r="B1741" s="2" t="s">
        <v>2413</v>
      </c>
      <c r="C1741" s="3" t="s">
        <v>876</v>
      </c>
      <c r="D1741" s="4">
        <v>133.67</v>
      </c>
      <c r="E1741" s="4">
        <v>145.1</v>
      </c>
      <c r="F1741" s="4">
        <v>19395.52</v>
      </c>
      <c r="G1741" s="4">
        <v>145.1</v>
      </c>
      <c r="H1741" s="4">
        <v>19395.52</v>
      </c>
    </row>
    <row r="1742" s="1" customFormat="1" ht="14" spans="1:8">
      <c r="A1742" s="2">
        <v>5437702</v>
      </c>
      <c r="B1742" s="2" t="s">
        <v>2414</v>
      </c>
      <c r="C1742" s="3" t="s">
        <v>876</v>
      </c>
      <c r="D1742" s="4">
        <v>1101.19</v>
      </c>
      <c r="E1742" s="4">
        <v>90.29</v>
      </c>
      <c r="F1742" s="4">
        <v>99426.09</v>
      </c>
      <c r="G1742" s="4">
        <v>90.29</v>
      </c>
      <c r="H1742" s="4">
        <v>99426.09</v>
      </c>
    </row>
    <row r="1743" s="1" customFormat="1" ht="14" spans="1:8">
      <c r="A1743" s="2">
        <v>5437709</v>
      </c>
      <c r="B1743" s="2" t="s">
        <v>2415</v>
      </c>
      <c r="C1743" s="3" t="s">
        <v>876</v>
      </c>
      <c r="D1743" s="4">
        <v>169.86</v>
      </c>
      <c r="E1743" s="4">
        <v>49.49</v>
      </c>
      <c r="F1743" s="4">
        <v>8406.12</v>
      </c>
      <c r="G1743" s="4">
        <v>49.49</v>
      </c>
      <c r="H1743" s="4">
        <v>8406.12</v>
      </c>
    </row>
    <row r="1744" s="1" customFormat="1" ht="14" spans="1:8">
      <c r="A1744" s="2">
        <v>5437710</v>
      </c>
      <c r="B1744" s="2" t="s">
        <v>2416</v>
      </c>
      <c r="C1744" s="3" t="s">
        <v>876</v>
      </c>
      <c r="D1744" s="4">
        <v>10.05</v>
      </c>
      <c r="E1744" s="4">
        <v>83.61</v>
      </c>
      <c r="F1744" s="4">
        <v>840.28</v>
      </c>
      <c r="G1744" s="4">
        <v>83.61</v>
      </c>
      <c r="H1744" s="4">
        <v>840.28</v>
      </c>
    </row>
    <row r="1745" s="1" customFormat="1" ht="14" spans="1:8">
      <c r="A1745" s="2">
        <v>5447122</v>
      </c>
      <c r="B1745" s="2" t="s">
        <v>2417</v>
      </c>
      <c r="C1745" s="3" t="s">
        <v>876</v>
      </c>
      <c r="D1745" s="4">
        <v>0</v>
      </c>
      <c r="E1745" s="4">
        <v>246.14</v>
      </c>
      <c r="F1745" s="4">
        <v>0</v>
      </c>
      <c r="G1745" s="4">
        <v>246.14</v>
      </c>
      <c r="H1745" s="4">
        <v>0</v>
      </c>
    </row>
    <row r="1746" s="1" customFormat="1" ht="14" spans="1:8">
      <c r="A1746" s="2">
        <v>5448004</v>
      </c>
      <c r="B1746" s="2" t="s">
        <v>2418</v>
      </c>
      <c r="C1746" s="3" t="s">
        <v>876</v>
      </c>
      <c r="D1746" s="4">
        <v>2410.17</v>
      </c>
      <c r="E1746" s="4">
        <v>87.68</v>
      </c>
      <c r="F1746" s="4">
        <v>211323.71</v>
      </c>
      <c r="G1746" s="4">
        <v>87.68</v>
      </c>
      <c r="H1746" s="4">
        <v>211323.71</v>
      </c>
    </row>
    <row r="1747" s="1" customFormat="1" ht="14" spans="1:8">
      <c r="A1747" s="2">
        <v>5458232</v>
      </c>
      <c r="B1747" s="2" t="s">
        <v>2419</v>
      </c>
      <c r="C1747" s="3" t="s">
        <v>876</v>
      </c>
      <c r="D1747" s="4">
        <v>1342.68</v>
      </c>
      <c r="E1747" s="4">
        <v>85.32</v>
      </c>
      <c r="F1747" s="4">
        <v>114557.46</v>
      </c>
      <c r="G1747" s="4">
        <v>85.32</v>
      </c>
      <c r="H1747" s="4">
        <v>114557.46</v>
      </c>
    </row>
    <row r="1748" s="1" customFormat="1" ht="14" spans="1:8">
      <c r="A1748" s="2">
        <v>5458271</v>
      </c>
      <c r="B1748" s="2" t="s">
        <v>2420</v>
      </c>
      <c r="C1748" s="3" t="s">
        <v>876</v>
      </c>
      <c r="D1748" s="4">
        <v>1007.03</v>
      </c>
      <c r="E1748" s="4">
        <v>129.42</v>
      </c>
      <c r="F1748" s="4">
        <v>130328.52</v>
      </c>
      <c r="G1748" s="4">
        <v>129.42</v>
      </c>
      <c r="H1748" s="4">
        <v>130328.52</v>
      </c>
    </row>
    <row r="1749" s="1" customFormat="1" ht="14" spans="1:8">
      <c r="A1749" s="2">
        <v>5458281</v>
      </c>
      <c r="B1749" s="2" t="s">
        <v>2421</v>
      </c>
      <c r="C1749" s="3" t="s">
        <v>876</v>
      </c>
      <c r="D1749" s="4">
        <v>1469.31</v>
      </c>
      <c r="E1749" s="4">
        <v>50.91</v>
      </c>
      <c r="F1749" s="4">
        <v>74802.82</v>
      </c>
      <c r="G1749" s="4">
        <v>50.91</v>
      </c>
      <c r="H1749" s="4">
        <v>74802.82</v>
      </c>
    </row>
    <row r="1750" s="1" customFormat="1" ht="14" spans="1:8">
      <c r="A1750" s="2">
        <v>5458311</v>
      </c>
      <c r="B1750" s="2" t="s">
        <v>2422</v>
      </c>
      <c r="C1750" s="3" t="s">
        <v>876</v>
      </c>
      <c r="D1750" s="4">
        <v>0</v>
      </c>
      <c r="E1750" s="4">
        <v>83.19</v>
      </c>
      <c r="F1750" s="4">
        <v>0</v>
      </c>
      <c r="G1750" s="4">
        <v>83.19</v>
      </c>
      <c r="H1750" s="4">
        <v>0</v>
      </c>
    </row>
    <row r="1751" s="1" customFormat="1" ht="14" spans="1:8">
      <c r="A1751" s="2">
        <v>5458321</v>
      </c>
      <c r="B1751" s="2" t="s">
        <v>2423</v>
      </c>
      <c r="C1751" s="3" t="s">
        <v>876</v>
      </c>
      <c r="D1751" s="4">
        <v>0</v>
      </c>
      <c r="E1751" s="4">
        <v>211.44</v>
      </c>
      <c r="F1751" s="4">
        <v>0</v>
      </c>
      <c r="G1751" s="4">
        <v>211.44</v>
      </c>
      <c r="H1751" s="4">
        <v>0</v>
      </c>
    </row>
    <row r="1752" s="1" customFormat="1" ht="14" spans="1:8">
      <c r="A1752" s="2">
        <v>5468401</v>
      </c>
      <c r="B1752" s="2" t="s">
        <v>2424</v>
      </c>
      <c r="C1752" s="3" t="s">
        <v>843</v>
      </c>
      <c r="D1752" s="4">
        <v>10423.42</v>
      </c>
      <c r="E1752" s="4">
        <v>57.02</v>
      </c>
      <c r="F1752" s="4">
        <v>594343.91</v>
      </c>
      <c r="G1752" s="4">
        <v>57.02</v>
      </c>
      <c r="H1752" s="4">
        <v>594343.91</v>
      </c>
    </row>
    <row r="1753" s="1" customFormat="1" ht="14" spans="1:8">
      <c r="A1753" s="2">
        <v>5468411</v>
      </c>
      <c r="B1753" s="2" t="s">
        <v>2425</v>
      </c>
      <c r="C1753" s="3" t="s">
        <v>876</v>
      </c>
      <c r="D1753" s="4">
        <v>136.68</v>
      </c>
      <c r="E1753" s="4">
        <v>232.32</v>
      </c>
      <c r="F1753" s="4">
        <v>31753.5</v>
      </c>
      <c r="G1753" s="4">
        <v>232.32</v>
      </c>
      <c r="H1753" s="4">
        <v>31753.5</v>
      </c>
    </row>
    <row r="1754" s="1" customFormat="1" ht="14" spans="1:8">
      <c r="A1754" s="2">
        <v>5468421</v>
      </c>
      <c r="B1754" s="2" t="s">
        <v>2426</v>
      </c>
      <c r="C1754" s="3" t="s">
        <v>876</v>
      </c>
      <c r="D1754" s="4">
        <v>68.34</v>
      </c>
      <c r="E1754" s="4">
        <v>419.81</v>
      </c>
      <c r="F1754" s="4">
        <v>28689.82</v>
      </c>
      <c r="G1754" s="4">
        <v>419.81</v>
      </c>
      <c r="H1754" s="4">
        <v>28689.82</v>
      </c>
    </row>
    <row r="1755" s="1" customFormat="1" ht="14" spans="1:8">
      <c r="A1755" s="2">
        <v>5468431</v>
      </c>
      <c r="B1755" s="2" t="s">
        <v>2427</v>
      </c>
      <c r="C1755" s="3" t="s">
        <v>876</v>
      </c>
      <c r="D1755" s="4">
        <v>31.16</v>
      </c>
      <c r="E1755" s="4">
        <v>185.04</v>
      </c>
      <c r="F1755" s="4">
        <v>5765.84</v>
      </c>
      <c r="G1755" s="4">
        <v>185.04</v>
      </c>
      <c r="H1755" s="4">
        <v>5765.84</v>
      </c>
    </row>
    <row r="1756" s="1" customFormat="1" ht="14" spans="1:8">
      <c r="A1756" s="2">
        <v>5468441</v>
      </c>
      <c r="B1756" s="2" t="s">
        <v>2428</v>
      </c>
      <c r="C1756" s="3" t="s">
        <v>876</v>
      </c>
      <c r="D1756" s="4">
        <v>53.27</v>
      </c>
      <c r="E1756" s="4">
        <v>134.8</v>
      </c>
      <c r="F1756" s="4">
        <v>7180.8</v>
      </c>
      <c r="G1756" s="4">
        <v>134.8</v>
      </c>
      <c r="H1756" s="4">
        <v>7180.8</v>
      </c>
    </row>
    <row r="1757" s="1" customFormat="1" ht="14" spans="1:8">
      <c r="A1757" s="2">
        <v>5468451</v>
      </c>
      <c r="B1757" s="2" t="s">
        <v>2429</v>
      </c>
      <c r="C1757" s="3" t="s">
        <v>876</v>
      </c>
      <c r="D1757" s="4">
        <v>2312.51</v>
      </c>
      <c r="E1757" s="4">
        <v>133.88</v>
      </c>
      <c r="F1757" s="4">
        <v>309598.83</v>
      </c>
      <c r="G1757" s="4">
        <v>133.88</v>
      </c>
      <c r="H1757" s="4">
        <v>309598.83</v>
      </c>
    </row>
    <row r="1758" s="1" customFormat="1" ht="14" spans="1:8">
      <c r="A1758" s="2">
        <v>5468472</v>
      </c>
      <c r="B1758" s="2" t="s">
        <v>2430</v>
      </c>
      <c r="C1758" s="3" t="s">
        <v>876</v>
      </c>
      <c r="D1758" s="4">
        <v>591.95</v>
      </c>
      <c r="E1758" s="4">
        <v>28.95</v>
      </c>
      <c r="F1758" s="4">
        <v>17136.95</v>
      </c>
      <c r="G1758" s="4">
        <v>28.95</v>
      </c>
      <c r="H1758" s="4">
        <v>17136.95</v>
      </c>
    </row>
    <row r="1759" s="1" customFormat="1" ht="14" spans="1:8">
      <c r="A1759" s="2">
        <v>5468473</v>
      </c>
      <c r="B1759" s="2" t="s">
        <v>2431</v>
      </c>
      <c r="C1759" s="3" t="s">
        <v>876</v>
      </c>
      <c r="D1759" s="4">
        <v>16168.44</v>
      </c>
      <c r="E1759" s="4">
        <v>35.15</v>
      </c>
      <c r="F1759" s="4">
        <v>568320.66</v>
      </c>
      <c r="G1759" s="4">
        <v>35.15</v>
      </c>
      <c r="H1759" s="4">
        <v>568320.66</v>
      </c>
    </row>
    <row r="1760" s="1" customFormat="1" ht="14" spans="1:8">
      <c r="A1760" s="2">
        <v>5468481</v>
      </c>
      <c r="B1760" s="2" t="s">
        <v>2432</v>
      </c>
      <c r="C1760" s="3" t="s">
        <v>876</v>
      </c>
      <c r="D1760" s="4">
        <v>236.19</v>
      </c>
      <c r="E1760" s="4">
        <v>165.21</v>
      </c>
      <c r="F1760" s="4">
        <v>39020.95</v>
      </c>
      <c r="G1760" s="4">
        <v>165.21</v>
      </c>
      <c r="H1760" s="4">
        <v>39020.95</v>
      </c>
    </row>
    <row r="1761" s="1" customFormat="1" ht="28" spans="1:8">
      <c r="A1761" s="2">
        <v>5500121</v>
      </c>
      <c r="B1761" s="2" t="s">
        <v>2433</v>
      </c>
      <c r="C1761" s="3" t="s">
        <v>1317</v>
      </c>
      <c r="D1761" s="4">
        <v>468.34</v>
      </c>
      <c r="E1761" s="4">
        <v>160.48</v>
      </c>
      <c r="F1761" s="4">
        <v>75159.21</v>
      </c>
      <c r="G1761" s="4">
        <v>160.48</v>
      </c>
      <c r="H1761" s="4">
        <v>75159.21</v>
      </c>
    </row>
    <row r="1762" s="1" customFormat="1" ht="14" spans="1:8">
      <c r="A1762" s="2">
        <v>5500213</v>
      </c>
      <c r="B1762" s="2" t="s">
        <v>2434</v>
      </c>
      <c r="C1762" s="3" t="s">
        <v>1317</v>
      </c>
      <c r="D1762" s="4">
        <v>32.17</v>
      </c>
      <c r="E1762" s="4">
        <v>45.58</v>
      </c>
      <c r="F1762" s="4">
        <v>1466.09</v>
      </c>
      <c r="G1762" s="4">
        <v>45.58</v>
      </c>
      <c r="H1762" s="4">
        <v>1466.09</v>
      </c>
    </row>
    <row r="1763" s="1" customFormat="1" ht="14" spans="1:8">
      <c r="A1763" s="2">
        <v>5500216</v>
      </c>
      <c r="B1763" s="2" t="s">
        <v>2435</v>
      </c>
      <c r="C1763" s="3" t="s">
        <v>1317</v>
      </c>
      <c r="D1763" s="4">
        <v>68.34</v>
      </c>
      <c r="E1763" s="4">
        <v>71.64</v>
      </c>
      <c r="F1763" s="4">
        <v>4895.87</v>
      </c>
      <c r="G1763" s="4">
        <v>71.64</v>
      </c>
      <c r="H1763" s="4">
        <v>4895.87</v>
      </c>
    </row>
    <row r="1764" s="1" customFormat="1" ht="14" spans="1:8">
      <c r="A1764" s="2">
        <v>5500218</v>
      </c>
      <c r="B1764" s="2" t="s">
        <v>2436</v>
      </c>
      <c r="C1764" s="3" t="s">
        <v>1317</v>
      </c>
      <c r="D1764" s="4">
        <v>34.17</v>
      </c>
      <c r="E1764" s="4">
        <v>58.38</v>
      </c>
      <c r="F1764" s="4">
        <v>1995.13</v>
      </c>
      <c r="G1764" s="4">
        <v>58.38</v>
      </c>
      <c r="H1764" s="4">
        <v>1995.13</v>
      </c>
    </row>
    <row r="1765" s="1" customFormat="1" ht="14" spans="1:8">
      <c r="A1765" s="2">
        <v>5500261</v>
      </c>
      <c r="B1765" s="2" t="s">
        <v>2437</v>
      </c>
      <c r="C1765" s="3" t="s">
        <v>725</v>
      </c>
      <c r="D1765" s="4">
        <v>495.49</v>
      </c>
      <c r="E1765" s="4">
        <v>34.22</v>
      </c>
      <c r="F1765" s="4">
        <v>16955.66</v>
      </c>
      <c r="G1765" s="4">
        <v>34.22</v>
      </c>
      <c r="H1765" s="4">
        <v>16955.66</v>
      </c>
    </row>
    <row r="1766" s="1" customFormat="1" ht="14" spans="1:8">
      <c r="A1766" s="2">
        <v>5500271</v>
      </c>
      <c r="B1766" s="2" t="s">
        <v>2438</v>
      </c>
      <c r="C1766" s="3" t="s">
        <v>1317</v>
      </c>
      <c r="D1766" s="4">
        <v>27.15</v>
      </c>
      <c r="E1766" s="4">
        <v>16.22</v>
      </c>
      <c r="F1766" s="4">
        <v>440.29</v>
      </c>
      <c r="G1766" s="4">
        <v>16.22</v>
      </c>
      <c r="H1766" s="4">
        <v>440.29</v>
      </c>
    </row>
    <row r="1767" s="1" customFormat="1" ht="14" spans="1:8">
      <c r="A1767" s="2">
        <v>5500273</v>
      </c>
      <c r="B1767" s="2" t="s">
        <v>2439</v>
      </c>
      <c r="C1767" s="3" t="s">
        <v>1317</v>
      </c>
      <c r="D1767" s="4">
        <v>468.34</v>
      </c>
      <c r="E1767" s="4">
        <v>23.48</v>
      </c>
      <c r="F1767" s="4">
        <v>10996.63</v>
      </c>
      <c r="G1767" s="4">
        <v>23.48</v>
      </c>
      <c r="H1767" s="4">
        <v>10996.63</v>
      </c>
    </row>
    <row r="1768" s="1" customFormat="1" ht="14" spans="1:8">
      <c r="A1768" s="2">
        <v>5500315</v>
      </c>
      <c r="B1768" s="2" t="s">
        <v>2440</v>
      </c>
      <c r="C1768" s="3" t="s">
        <v>1317</v>
      </c>
      <c r="D1768" s="4">
        <v>273.38</v>
      </c>
      <c r="E1768" s="4">
        <v>68.37</v>
      </c>
      <c r="F1768" s="4">
        <v>18691</v>
      </c>
      <c r="G1768" s="4">
        <v>68.37</v>
      </c>
      <c r="H1768" s="4">
        <v>18691</v>
      </c>
    </row>
    <row r="1769" s="1" customFormat="1" ht="14" spans="1:8">
      <c r="A1769" s="2">
        <v>5500332</v>
      </c>
      <c r="B1769" s="2" t="s">
        <v>2441</v>
      </c>
      <c r="C1769" s="3" t="s">
        <v>1317</v>
      </c>
      <c r="D1769" s="4">
        <v>10.05</v>
      </c>
      <c r="E1769" s="4">
        <v>14.95</v>
      </c>
      <c r="F1769" s="4">
        <v>150.25</v>
      </c>
      <c r="G1769" s="4">
        <v>14.95</v>
      </c>
      <c r="H1769" s="4">
        <v>150.25</v>
      </c>
    </row>
    <row r="1770" s="1" customFormat="1" ht="14" spans="1:8">
      <c r="A1770" s="2">
        <v>5500334</v>
      </c>
      <c r="B1770" s="2" t="s">
        <v>2442</v>
      </c>
      <c r="C1770" s="3" t="s">
        <v>1317</v>
      </c>
      <c r="D1770" s="4">
        <v>980.88</v>
      </c>
      <c r="E1770" s="4">
        <v>18.42</v>
      </c>
      <c r="F1770" s="4">
        <v>18067.81</v>
      </c>
      <c r="G1770" s="4">
        <v>18.42</v>
      </c>
      <c r="H1770" s="4">
        <v>18067.81</v>
      </c>
    </row>
    <row r="1771" s="1" customFormat="1" ht="14" spans="1:8">
      <c r="A1771" s="2">
        <v>5500361</v>
      </c>
      <c r="B1771" s="2" t="s">
        <v>2443</v>
      </c>
      <c r="C1771" s="3" t="s">
        <v>876</v>
      </c>
      <c r="D1771" s="4">
        <v>3</v>
      </c>
      <c r="E1771" s="4">
        <v>7.82</v>
      </c>
      <c r="F1771" s="4">
        <v>23.46</v>
      </c>
      <c r="G1771" s="4">
        <v>7.82</v>
      </c>
      <c r="H1771" s="4">
        <v>23.46</v>
      </c>
    </row>
    <row r="1772" s="1" customFormat="1" ht="14" spans="1:8">
      <c r="A1772" s="2">
        <v>5500391</v>
      </c>
      <c r="B1772" s="2" t="s">
        <v>2444</v>
      </c>
      <c r="C1772" s="3" t="s">
        <v>1317</v>
      </c>
      <c r="D1772" s="4">
        <v>5.03</v>
      </c>
      <c r="E1772" s="4">
        <v>54.73</v>
      </c>
      <c r="F1772" s="4">
        <v>275.29</v>
      </c>
      <c r="G1772" s="4">
        <v>54.73</v>
      </c>
      <c r="H1772" s="4">
        <v>275.29</v>
      </c>
    </row>
    <row r="1773" s="1" customFormat="1" ht="14" spans="1:8">
      <c r="A1773" s="2">
        <v>5500392</v>
      </c>
      <c r="B1773" s="2" t="s">
        <v>2445</v>
      </c>
      <c r="C1773" s="3" t="s">
        <v>1317</v>
      </c>
      <c r="D1773" s="4">
        <v>22.12</v>
      </c>
      <c r="E1773" s="4">
        <v>64.11</v>
      </c>
      <c r="F1773" s="4">
        <v>1417.78</v>
      </c>
      <c r="G1773" s="4">
        <v>64.11</v>
      </c>
      <c r="H1773" s="4">
        <v>1417.78</v>
      </c>
    </row>
    <row r="1774" s="1" customFormat="1" ht="14" spans="1:8">
      <c r="A1774" s="2">
        <v>5511000</v>
      </c>
      <c r="B1774" s="2" t="s">
        <v>2446</v>
      </c>
      <c r="C1774" s="3" t="s">
        <v>725</v>
      </c>
      <c r="D1774" s="4">
        <v>7902.36</v>
      </c>
      <c r="E1774" s="4">
        <v>87.28</v>
      </c>
      <c r="F1774" s="4">
        <v>689717.98</v>
      </c>
      <c r="G1774" s="4">
        <v>87.28</v>
      </c>
      <c r="H1774" s="4">
        <v>689717.98</v>
      </c>
    </row>
    <row r="1775" s="1" customFormat="1" ht="14" spans="1:8">
      <c r="A1775" s="2">
        <v>5511004</v>
      </c>
      <c r="B1775" s="2" t="s">
        <v>2447</v>
      </c>
      <c r="C1775" s="3" t="s">
        <v>876</v>
      </c>
      <c r="D1775" s="4">
        <v>217.08</v>
      </c>
      <c r="E1775" s="4">
        <v>61</v>
      </c>
      <c r="F1775" s="4">
        <v>13242.19</v>
      </c>
      <c r="G1775" s="4">
        <v>61</v>
      </c>
      <c r="H1775" s="4">
        <v>13242.19</v>
      </c>
    </row>
    <row r="1776" s="1" customFormat="1" ht="14" spans="1:8">
      <c r="A1776" s="2">
        <v>5511005</v>
      </c>
      <c r="B1776" s="2" t="s">
        <v>2448</v>
      </c>
      <c r="C1776" s="3" t="s">
        <v>876</v>
      </c>
      <c r="D1776" s="4">
        <v>2429.16</v>
      </c>
      <c r="E1776" s="4">
        <v>38.53</v>
      </c>
      <c r="F1776" s="4">
        <v>93595.93</v>
      </c>
      <c r="G1776" s="4">
        <v>38.53</v>
      </c>
      <c r="H1776" s="4">
        <v>93595.93</v>
      </c>
    </row>
    <row r="1777" s="1" customFormat="1" ht="14" spans="1:8">
      <c r="A1777" s="2">
        <v>5511009</v>
      </c>
      <c r="B1777" s="2" t="s">
        <v>2449</v>
      </c>
      <c r="C1777" s="3" t="s">
        <v>876</v>
      </c>
      <c r="D1777" s="4">
        <v>256.29</v>
      </c>
      <c r="E1777" s="4">
        <v>84.11</v>
      </c>
      <c r="F1777" s="4">
        <v>21556.56</v>
      </c>
      <c r="G1777" s="4">
        <v>84.11</v>
      </c>
      <c r="H1777" s="4">
        <v>21556.56</v>
      </c>
    </row>
    <row r="1778" s="1" customFormat="1" ht="14" spans="1:8">
      <c r="A1778" s="2">
        <v>5511060</v>
      </c>
      <c r="B1778" s="2" t="s">
        <v>2450</v>
      </c>
      <c r="C1778" s="3" t="s">
        <v>876</v>
      </c>
      <c r="D1778" s="4">
        <v>217.08</v>
      </c>
      <c r="E1778" s="4">
        <v>239.59</v>
      </c>
      <c r="F1778" s="4">
        <v>52011.4</v>
      </c>
      <c r="G1778" s="4">
        <v>239.59</v>
      </c>
      <c r="H1778" s="4">
        <v>52011.4</v>
      </c>
    </row>
    <row r="1779" s="1" customFormat="1" ht="14" spans="1:8">
      <c r="A1779" s="2">
        <v>5600008</v>
      </c>
      <c r="B1779" s="2" t="s">
        <v>2451</v>
      </c>
      <c r="C1779" s="3" t="s">
        <v>1317</v>
      </c>
      <c r="D1779" s="4">
        <v>6662.15</v>
      </c>
      <c r="E1779" s="4">
        <v>71.31</v>
      </c>
      <c r="F1779" s="4">
        <v>475077.91</v>
      </c>
      <c r="G1779" s="4">
        <v>71.31</v>
      </c>
      <c r="H1779" s="4">
        <v>475077.91</v>
      </c>
    </row>
    <row r="1780" s="1" customFormat="1" ht="14" spans="1:8">
      <c r="A1780" s="2">
        <v>5600103</v>
      </c>
      <c r="B1780" s="2" t="s">
        <v>2452</v>
      </c>
      <c r="C1780" s="3" t="s">
        <v>876</v>
      </c>
      <c r="D1780" s="4">
        <v>439.18</v>
      </c>
      <c r="E1780" s="4">
        <v>221</v>
      </c>
      <c r="F1780" s="4">
        <v>97059.89</v>
      </c>
      <c r="G1780" s="4">
        <v>221</v>
      </c>
      <c r="H1780" s="4">
        <v>97059.89</v>
      </c>
    </row>
    <row r="1781" s="1" customFormat="1" ht="14" spans="1:8">
      <c r="A1781" s="2">
        <v>5611037</v>
      </c>
      <c r="B1781" s="2" t="s">
        <v>2453</v>
      </c>
      <c r="C1781" s="3" t="s">
        <v>876</v>
      </c>
      <c r="D1781" s="4">
        <v>133.67</v>
      </c>
      <c r="E1781" s="4">
        <v>72.04</v>
      </c>
      <c r="F1781" s="4">
        <v>9629.58</v>
      </c>
      <c r="G1781" s="4">
        <v>72.04</v>
      </c>
      <c r="H1781" s="4">
        <v>9629.58</v>
      </c>
    </row>
    <row r="1782" s="1" customFormat="1" ht="14" spans="1:8">
      <c r="A1782" s="2">
        <v>5611081</v>
      </c>
      <c r="B1782" s="2" t="s">
        <v>2454</v>
      </c>
      <c r="C1782" s="3" t="s">
        <v>876</v>
      </c>
      <c r="D1782" s="4">
        <v>83.42</v>
      </c>
      <c r="E1782" s="4">
        <v>84.78</v>
      </c>
      <c r="F1782" s="4">
        <v>7072.77</v>
      </c>
      <c r="G1782" s="4">
        <v>84.78</v>
      </c>
      <c r="H1782" s="4">
        <v>7072.77</v>
      </c>
    </row>
    <row r="1783" s="1" customFormat="1" ht="14" spans="1:8">
      <c r="A1783" s="2">
        <v>5611102</v>
      </c>
      <c r="B1783" s="2" t="s">
        <v>2455</v>
      </c>
      <c r="C1783" s="3" t="s">
        <v>876</v>
      </c>
      <c r="D1783" s="4">
        <v>174.07</v>
      </c>
      <c r="E1783" s="4">
        <v>15.44</v>
      </c>
      <c r="F1783" s="4">
        <v>2687.64</v>
      </c>
      <c r="G1783" s="4">
        <v>15.44</v>
      </c>
      <c r="H1783" s="4">
        <v>2687.64</v>
      </c>
    </row>
    <row r="1784" s="1" customFormat="1" ht="14" spans="1:8">
      <c r="A1784" s="2">
        <v>5611134</v>
      </c>
      <c r="B1784" s="2" t="s">
        <v>2456</v>
      </c>
      <c r="C1784" s="3" t="s">
        <v>876</v>
      </c>
      <c r="D1784" s="4">
        <v>156.78</v>
      </c>
      <c r="E1784" s="4">
        <v>110</v>
      </c>
      <c r="F1784" s="4">
        <v>17245.8</v>
      </c>
      <c r="G1784" s="4">
        <v>110</v>
      </c>
      <c r="H1784" s="4">
        <v>17245.8</v>
      </c>
    </row>
    <row r="1785" s="1" customFormat="1" ht="14" spans="1:8">
      <c r="A1785" s="2">
        <v>5611156</v>
      </c>
      <c r="B1785" s="2" t="s">
        <v>2457</v>
      </c>
      <c r="C1785" s="3" t="s">
        <v>876</v>
      </c>
      <c r="D1785" s="4">
        <v>393.97</v>
      </c>
      <c r="E1785" s="4">
        <v>87.1</v>
      </c>
      <c r="F1785" s="4">
        <v>34314.79</v>
      </c>
      <c r="G1785" s="4">
        <v>87.1</v>
      </c>
      <c r="H1785" s="4">
        <v>34314.79</v>
      </c>
    </row>
    <row r="1786" s="1" customFormat="1" ht="14" spans="1:8">
      <c r="A1786" s="2">
        <v>5700002</v>
      </c>
      <c r="B1786" s="2" t="s">
        <v>2458</v>
      </c>
      <c r="C1786" s="3" t="s">
        <v>876</v>
      </c>
      <c r="D1786" s="4">
        <v>29627.16</v>
      </c>
      <c r="E1786" s="4">
        <v>39.73</v>
      </c>
      <c r="F1786" s="4">
        <v>1177087.07</v>
      </c>
      <c r="G1786" s="4">
        <v>39.73</v>
      </c>
      <c r="H1786" s="4">
        <v>1177087.07</v>
      </c>
    </row>
    <row r="1787" s="1" customFormat="1" ht="14" spans="1:8">
      <c r="A1787" s="2">
        <v>5700003</v>
      </c>
      <c r="B1787" s="2" t="s">
        <v>2459</v>
      </c>
      <c r="C1787" s="3" t="s">
        <v>824</v>
      </c>
      <c r="D1787" s="4">
        <v>988.62</v>
      </c>
      <c r="E1787" s="4">
        <v>56.83</v>
      </c>
      <c r="F1787" s="4">
        <v>56183.27</v>
      </c>
      <c r="G1787" s="4">
        <v>56.83</v>
      </c>
      <c r="H1787" s="4">
        <v>56183.27</v>
      </c>
    </row>
    <row r="1788" s="1" customFormat="1" ht="14" spans="1:8">
      <c r="A1788" s="2">
        <v>5722003</v>
      </c>
      <c r="B1788" s="2" t="s">
        <v>2460</v>
      </c>
      <c r="C1788" s="3" t="s">
        <v>824</v>
      </c>
      <c r="D1788" s="4">
        <v>315</v>
      </c>
      <c r="E1788" s="4">
        <v>68.62</v>
      </c>
      <c r="F1788" s="4">
        <v>21615.3</v>
      </c>
      <c r="G1788" s="4">
        <v>68.62</v>
      </c>
      <c r="H1788" s="4">
        <v>21615.3</v>
      </c>
    </row>
    <row r="1789" s="1" customFormat="1" ht="14" spans="1:8">
      <c r="A1789" s="2">
        <v>5722073</v>
      </c>
      <c r="B1789" s="2" t="s">
        <v>2461</v>
      </c>
      <c r="C1789" s="3" t="s">
        <v>876</v>
      </c>
      <c r="D1789" s="4">
        <v>0</v>
      </c>
      <c r="E1789" s="4">
        <v>264.97</v>
      </c>
      <c r="F1789" s="4">
        <v>0</v>
      </c>
      <c r="G1789" s="4">
        <v>264.97</v>
      </c>
      <c r="H1789" s="4">
        <v>0</v>
      </c>
    </row>
    <row r="1790" s="1" customFormat="1" ht="28" spans="1:8">
      <c r="A1790" s="2">
        <v>5722081</v>
      </c>
      <c r="B1790" s="2" t="s">
        <v>2462</v>
      </c>
      <c r="C1790" s="3" t="s">
        <v>876</v>
      </c>
      <c r="D1790" s="4">
        <v>0</v>
      </c>
      <c r="E1790" s="4">
        <v>317.7</v>
      </c>
      <c r="F1790" s="4">
        <v>0</v>
      </c>
      <c r="G1790" s="4">
        <v>317.7</v>
      </c>
      <c r="H1790" s="4">
        <v>0</v>
      </c>
    </row>
    <row r="1791" s="1" customFormat="1" ht="28" spans="1:8">
      <c r="A1791" s="2">
        <v>5722082</v>
      </c>
      <c r="B1791" s="2" t="s">
        <v>2463</v>
      </c>
      <c r="C1791" s="3" t="s">
        <v>876</v>
      </c>
      <c r="D1791" s="4">
        <v>0</v>
      </c>
      <c r="E1791" s="4">
        <v>350.29</v>
      </c>
      <c r="F1791" s="4">
        <v>0</v>
      </c>
      <c r="G1791" s="4">
        <v>350.29</v>
      </c>
      <c r="H1791" s="4">
        <v>0</v>
      </c>
    </row>
    <row r="1792" s="1" customFormat="1" ht="14" spans="1:8">
      <c r="A1792" s="2">
        <v>5755001</v>
      </c>
      <c r="B1792" s="2" t="s">
        <v>2464</v>
      </c>
      <c r="C1792" s="3" t="s">
        <v>824</v>
      </c>
      <c r="D1792" s="4">
        <v>7579.04</v>
      </c>
      <c r="E1792" s="4">
        <v>3.32</v>
      </c>
      <c r="F1792" s="4">
        <v>25162.41</v>
      </c>
      <c r="G1792" s="4">
        <v>3.32</v>
      </c>
      <c r="H1792" s="4">
        <v>25162.41</v>
      </c>
    </row>
    <row r="1793" s="1" customFormat="1" ht="14" spans="1:8">
      <c r="A1793" s="2">
        <v>5755101</v>
      </c>
      <c r="B1793" s="2" t="s">
        <v>2465</v>
      </c>
      <c r="C1793" s="3" t="s">
        <v>1019</v>
      </c>
      <c r="D1793" s="4">
        <v>2273.6</v>
      </c>
      <c r="E1793" s="4">
        <v>2.03</v>
      </c>
      <c r="F1793" s="4">
        <v>4615.39</v>
      </c>
      <c r="G1793" s="4">
        <v>2.03</v>
      </c>
      <c r="H1793" s="4">
        <v>4615.39</v>
      </c>
    </row>
    <row r="1794" s="1" customFormat="1" ht="14" spans="1:8">
      <c r="A1794" s="2">
        <v>5800201</v>
      </c>
      <c r="B1794" s="2" t="s">
        <v>2466</v>
      </c>
      <c r="C1794" s="3" t="s">
        <v>52</v>
      </c>
      <c r="D1794" s="4">
        <v>0</v>
      </c>
      <c r="E1794" s="4">
        <v>52.42</v>
      </c>
      <c r="F1794" s="4">
        <v>0</v>
      </c>
      <c r="G1794" s="4">
        <v>71.06</v>
      </c>
      <c r="H1794" s="4">
        <v>0</v>
      </c>
    </row>
    <row r="1795" s="1" customFormat="1" ht="14" spans="1:8">
      <c r="A1795" s="2">
        <v>5811022</v>
      </c>
      <c r="B1795" s="2" t="s">
        <v>2467</v>
      </c>
      <c r="C1795" s="3" t="s">
        <v>52</v>
      </c>
      <c r="D1795" s="4">
        <v>39763.9</v>
      </c>
      <c r="E1795" s="4">
        <v>47.28</v>
      </c>
      <c r="F1795" s="4">
        <v>1880037.2</v>
      </c>
      <c r="G1795" s="4">
        <v>68.98</v>
      </c>
      <c r="H1795" s="4">
        <v>2742913.86</v>
      </c>
    </row>
    <row r="1796" s="1" customFormat="1" ht="14" spans="1:8">
      <c r="A1796" s="2">
        <v>5811050</v>
      </c>
      <c r="B1796" s="2" t="s">
        <v>2468</v>
      </c>
      <c r="C1796" s="3" t="s">
        <v>52</v>
      </c>
      <c r="D1796" s="4">
        <v>0</v>
      </c>
      <c r="E1796" s="4">
        <v>55.4</v>
      </c>
      <c r="F1796" s="4">
        <v>0</v>
      </c>
      <c r="G1796" s="4">
        <v>72.13636</v>
      </c>
      <c r="H1796" s="4">
        <v>0</v>
      </c>
    </row>
    <row r="1797" s="1" customFormat="1" ht="14" spans="1:8">
      <c r="A1797" s="2">
        <v>5811100</v>
      </c>
      <c r="B1797" s="2" t="s">
        <v>2469</v>
      </c>
      <c r="C1797" s="3" t="s">
        <v>52</v>
      </c>
      <c r="D1797" s="4">
        <v>15943.81</v>
      </c>
      <c r="E1797" s="4">
        <v>47.28</v>
      </c>
      <c r="F1797" s="4">
        <v>753823.34</v>
      </c>
      <c r="G1797" s="4">
        <v>47.28</v>
      </c>
      <c r="H1797" s="4">
        <v>753823.34</v>
      </c>
    </row>
    <row r="1798" s="1" customFormat="1" ht="14" spans="1:8">
      <c r="A1798" s="2">
        <v>5822023</v>
      </c>
      <c r="B1798" s="2" t="s">
        <v>2470</v>
      </c>
      <c r="C1798" s="3" t="s">
        <v>52</v>
      </c>
      <c r="D1798" s="4">
        <v>5393.68</v>
      </c>
      <c r="E1798" s="4">
        <v>20.56</v>
      </c>
      <c r="F1798" s="4">
        <v>110894.04</v>
      </c>
      <c r="G1798" s="4">
        <v>26.87</v>
      </c>
      <c r="H1798" s="4">
        <v>144928.16</v>
      </c>
    </row>
    <row r="1799" s="1" customFormat="1" ht="14" spans="1:8">
      <c r="A1799" s="2">
        <v>5844104</v>
      </c>
      <c r="B1799" s="2" t="s">
        <v>2471</v>
      </c>
      <c r="C1799" s="3" t="s">
        <v>52</v>
      </c>
      <c r="D1799" s="4">
        <v>0</v>
      </c>
      <c r="E1799" s="4">
        <v>18.42</v>
      </c>
      <c r="F1799" s="4">
        <v>0</v>
      </c>
      <c r="G1799" s="4">
        <v>30.62</v>
      </c>
      <c r="H1799" s="4">
        <v>0</v>
      </c>
    </row>
    <row r="1800" s="1" customFormat="1" ht="14" spans="1:8">
      <c r="A1800" s="2">
        <v>5855003</v>
      </c>
      <c r="B1800" s="2" t="s">
        <v>2472</v>
      </c>
      <c r="C1800" s="3" t="s">
        <v>52</v>
      </c>
      <c r="D1800" s="4">
        <v>2857.11</v>
      </c>
      <c r="E1800" s="4">
        <v>9.84</v>
      </c>
      <c r="F1800" s="4">
        <v>28113.97</v>
      </c>
      <c r="G1800" s="4">
        <v>18.14</v>
      </c>
      <c r="H1800" s="4">
        <v>51827.97</v>
      </c>
    </row>
    <row r="1801" s="1" customFormat="1" ht="14" spans="1:8">
      <c r="A1801" s="2">
        <v>5866401</v>
      </c>
      <c r="B1801" s="2" t="s">
        <v>2473</v>
      </c>
      <c r="C1801" s="3" t="s">
        <v>52</v>
      </c>
      <c r="D1801" s="4">
        <v>40936.84</v>
      </c>
      <c r="E1801" s="4">
        <v>5.18</v>
      </c>
      <c r="F1801" s="4">
        <v>212052.93</v>
      </c>
      <c r="G1801" s="4">
        <v>8.85</v>
      </c>
      <c r="H1801" s="4">
        <v>362291.06</v>
      </c>
    </row>
    <row r="1802" s="1" customFormat="1" ht="14" spans="1:8">
      <c r="A1802" s="2">
        <v>5901543</v>
      </c>
      <c r="B1802" s="2" t="s">
        <v>2474</v>
      </c>
      <c r="C1802" s="3" t="s">
        <v>876</v>
      </c>
      <c r="D1802" s="4">
        <v>0</v>
      </c>
      <c r="E1802" s="4">
        <v>147.99</v>
      </c>
      <c r="F1802" s="4">
        <v>0</v>
      </c>
      <c r="G1802" s="4">
        <v>147.99</v>
      </c>
      <c r="H1802" s="4">
        <v>0</v>
      </c>
    </row>
    <row r="1803" s="1" customFormat="1" ht="14" spans="1:8">
      <c r="A1803" s="2">
        <v>5901573</v>
      </c>
      <c r="B1803" s="2" t="s">
        <v>2475</v>
      </c>
      <c r="C1803" s="3" t="s">
        <v>824</v>
      </c>
      <c r="D1803" s="4">
        <v>0</v>
      </c>
      <c r="E1803" s="4">
        <v>9.08</v>
      </c>
      <c r="F1803" s="4">
        <v>0</v>
      </c>
      <c r="G1803" s="4">
        <v>9.08</v>
      </c>
      <c r="H1803" s="4">
        <v>0</v>
      </c>
    </row>
    <row r="1804" s="1" customFormat="1" ht="14" spans="1:8">
      <c r="A1804" s="2">
        <v>5903113</v>
      </c>
      <c r="B1804" s="2" t="s">
        <v>2476</v>
      </c>
      <c r="C1804" s="3" t="s">
        <v>876</v>
      </c>
      <c r="D1804" s="4">
        <v>0</v>
      </c>
      <c r="E1804" s="4">
        <v>424.82</v>
      </c>
      <c r="F1804" s="4">
        <v>0</v>
      </c>
      <c r="G1804" s="4">
        <v>424.82</v>
      </c>
      <c r="H1804" s="4">
        <v>0</v>
      </c>
    </row>
    <row r="1805" s="1" customFormat="1" ht="14" spans="1:8">
      <c r="A1805" s="2">
        <v>5903134</v>
      </c>
      <c r="B1805" s="2" t="s">
        <v>2477</v>
      </c>
      <c r="C1805" s="3" t="s">
        <v>876</v>
      </c>
      <c r="D1805" s="4">
        <v>0</v>
      </c>
      <c r="E1805" s="4">
        <v>294.11</v>
      </c>
      <c r="F1805" s="4">
        <v>0</v>
      </c>
      <c r="G1805" s="4">
        <v>294.11</v>
      </c>
      <c r="H1805" s="4">
        <v>0</v>
      </c>
    </row>
    <row r="1806" s="1" customFormat="1" ht="14" spans="1:8">
      <c r="A1806" s="2">
        <v>5903150</v>
      </c>
      <c r="B1806" s="2" t="s">
        <v>2478</v>
      </c>
      <c r="C1806" s="3" t="s">
        <v>876</v>
      </c>
      <c r="D1806" s="4">
        <v>0</v>
      </c>
      <c r="E1806" s="4">
        <v>77.16</v>
      </c>
      <c r="F1806" s="4">
        <v>0</v>
      </c>
      <c r="G1806" s="4">
        <v>77.16</v>
      </c>
      <c r="H1806" s="4">
        <v>0</v>
      </c>
    </row>
    <row r="1807" s="1" customFormat="1" ht="14" spans="1:8">
      <c r="A1807" s="2">
        <v>5903163</v>
      </c>
      <c r="B1807" s="2" t="s">
        <v>2479</v>
      </c>
      <c r="C1807" s="3" t="s">
        <v>876</v>
      </c>
      <c r="D1807" s="4">
        <v>0</v>
      </c>
      <c r="E1807" s="4">
        <v>59.91</v>
      </c>
      <c r="F1807" s="4">
        <v>0</v>
      </c>
      <c r="G1807" s="4">
        <v>59.91</v>
      </c>
      <c r="H1807" s="4">
        <v>0</v>
      </c>
    </row>
    <row r="1808" s="1" customFormat="1" ht="14" spans="1:8">
      <c r="A1808" s="2">
        <v>5903262</v>
      </c>
      <c r="B1808" s="2" t="s">
        <v>2480</v>
      </c>
      <c r="C1808" s="3" t="s">
        <v>876</v>
      </c>
      <c r="D1808" s="4">
        <v>0</v>
      </c>
      <c r="E1808" s="4">
        <v>67.78</v>
      </c>
      <c r="F1808" s="4">
        <v>0</v>
      </c>
      <c r="G1808" s="4">
        <v>67.78</v>
      </c>
      <c r="H1808" s="4">
        <v>0</v>
      </c>
    </row>
    <row r="1809" s="1" customFormat="1" ht="14" spans="1:8">
      <c r="A1809" s="2">
        <v>5904023</v>
      </c>
      <c r="B1809" s="2" t="s">
        <v>2481</v>
      </c>
      <c r="C1809" s="3" t="s">
        <v>876</v>
      </c>
      <c r="D1809" s="4">
        <v>0</v>
      </c>
      <c r="E1809" s="4">
        <v>105.69</v>
      </c>
      <c r="F1809" s="4">
        <v>0</v>
      </c>
      <c r="G1809" s="4">
        <v>105.69</v>
      </c>
      <c r="H1809" s="4">
        <v>0</v>
      </c>
    </row>
    <row r="1810" s="1" customFormat="1" ht="14" spans="1:8">
      <c r="A1810" s="2">
        <v>5904102</v>
      </c>
      <c r="B1810" s="2" t="s">
        <v>2482</v>
      </c>
      <c r="C1810" s="3" t="s">
        <v>876</v>
      </c>
      <c r="D1810" s="4">
        <v>0</v>
      </c>
      <c r="E1810" s="4">
        <v>69.64</v>
      </c>
      <c r="F1810" s="4">
        <v>0</v>
      </c>
      <c r="G1810" s="4">
        <v>69.64</v>
      </c>
      <c r="H1810" s="4">
        <v>0</v>
      </c>
    </row>
    <row r="1811" s="1" customFormat="1" ht="14" spans="1:8">
      <c r="A1811" s="2">
        <v>5904120</v>
      </c>
      <c r="B1811" s="2" t="s">
        <v>2483</v>
      </c>
      <c r="C1811" s="3" t="s">
        <v>876</v>
      </c>
      <c r="D1811" s="4">
        <v>0</v>
      </c>
      <c r="E1811" s="4">
        <v>67.19</v>
      </c>
      <c r="F1811" s="4">
        <v>0</v>
      </c>
      <c r="G1811" s="4">
        <v>67.19</v>
      </c>
      <c r="H1811" s="4">
        <v>0</v>
      </c>
    </row>
    <row r="1812" s="1" customFormat="1" ht="14" spans="1:8">
      <c r="A1812" s="2">
        <v>5905014</v>
      </c>
      <c r="B1812" s="2" t="s">
        <v>2484</v>
      </c>
      <c r="C1812" s="3" t="s">
        <v>876</v>
      </c>
      <c r="D1812" s="4">
        <v>0</v>
      </c>
      <c r="E1812" s="4">
        <v>344.82</v>
      </c>
      <c r="F1812" s="4">
        <v>0</v>
      </c>
      <c r="G1812" s="4">
        <v>344.82</v>
      </c>
      <c r="H1812" s="4">
        <v>0</v>
      </c>
    </row>
    <row r="1813" s="1" customFormat="1" ht="14" spans="1:8">
      <c r="A1813" s="2">
        <v>5905023</v>
      </c>
      <c r="B1813" s="2" t="s">
        <v>2485</v>
      </c>
      <c r="C1813" s="3" t="s">
        <v>876</v>
      </c>
      <c r="D1813" s="4">
        <v>0</v>
      </c>
      <c r="E1813" s="4">
        <v>307.33</v>
      </c>
      <c r="F1813" s="4">
        <v>0</v>
      </c>
      <c r="G1813" s="4">
        <v>307.33</v>
      </c>
      <c r="H1813" s="4">
        <v>0</v>
      </c>
    </row>
    <row r="1814" s="1" customFormat="1" ht="28" spans="1:8">
      <c r="A1814" s="2">
        <v>5905031</v>
      </c>
      <c r="B1814" s="2" t="s">
        <v>2486</v>
      </c>
      <c r="C1814" s="3" t="s">
        <v>876</v>
      </c>
      <c r="D1814" s="4">
        <v>0</v>
      </c>
      <c r="E1814" s="4">
        <v>254.62</v>
      </c>
      <c r="F1814" s="4">
        <v>0</v>
      </c>
      <c r="G1814" s="4">
        <v>254.62</v>
      </c>
      <c r="H1814" s="4">
        <v>0</v>
      </c>
    </row>
    <row r="1815" s="1" customFormat="1" ht="28" spans="1:8">
      <c r="A1815" s="2">
        <v>5905041</v>
      </c>
      <c r="B1815" s="2" t="s">
        <v>2487</v>
      </c>
      <c r="C1815" s="3" t="s">
        <v>876</v>
      </c>
      <c r="D1815" s="4">
        <v>0</v>
      </c>
      <c r="E1815" s="4">
        <v>253.08</v>
      </c>
      <c r="F1815" s="4">
        <v>0</v>
      </c>
      <c r="G1815" s="4">
        <v>253.08</v>
      </c>
      <c r="H1815" s="4">
        <v>0</v>
      </c>
    </row>
    <row r="1816" s="1" customFormat="1" ht="28" spans="1:8">
      <c r="A1816" s="2">
        <v>5905043</v>
      </c>
      <c r="B1816" s="2" t="s">
        <v>2488</v>
      </c>
      <c r="C1816" s="3" t="s">
        <v>876</v>
      </c>
      <c r="D1816" s="4">
        <v>0</v>
      </c>
      <c r="E1816" s="4">
        <v>273.05</v>
      </c>
      <c r="F1816" s="4">
        <v>0</v>
      </c>
      <c r="G1816" s="4">
        <v>273.05</v>
      </c>
      <c r="H1816" s="4">
        <v>0</v>
      </c>
    </row>
    <row r="1817" s="1" customFormat="1" ht="14" spans="1:8">
      <c r="A1817" s="2">
        <v>5906011</v>
      </c>
      <c r="B1817" s="2" t="s">
        <v>2489</v>
      </c>
      <c r="C1817" s="3" t="s">
        <v>876</v>
      </c>
      <c r="D1817" s="4">
        <v>0</v>
      </c>
      <c r="E1817" s="4">
        <v>219.74</v>
      </c>
      <c r="F1817" s="4">
        <v>0</v>
      </c>
      <c r="G1817" s="4">
        <v>219.74</v>
      </c>
      <c r="H1817" s="4">
        <v>0</v>
      </c>
    </row>
    <row r="1818" s="1" customFormat="1" ht="14" spans="1:8">
      <c r="A1818" s="2">
        <v>5906021</v>
      </c>
      <c r="B1818" s="2" t="s">
        <v>2490</v>
      </c>
      <c r="C1818" s="3" t="s">
        <v>876</v>
      </c>
      <c r="D1818" s="4">
        <v>0</v>
      </c>
      <c r="E1818" s="4">
        <v>161.35</v>
      </c>
      <c r="F1818" s="4">
        <v>0</v>
      </c>
      <c r="G1818" s="4">
        <v>161.35</v>
      </c>
      <c r="H1818" s="4">
        <v>0</v>
      </c>
    </row>
    <row r="1819" s="1" customFormat="1" ht="14" spans="1:8">
      <c r="A1819" s="2">
        <v>5907001</v>
      </c>
      <c r="B1819" s="2" t="s">
        <v>2491</v>
      </c>
      <c r="C1819" s="3" t="s">
        <v>876</v>
      </c>
      <c r="D1819" s="4">
        <v>0</v>
      </c>
      <c r="E1819" s="4">
        <v>79.88</v>
      </c>
      <c r="F1819" s="4">
        <v>0</v>
      </c>
      <c r="G1819" s="4">
        <v>79.88</v>
      </c>
      <c r="H1819" s="4">
        <v>0</v>
      </c>
    </row>
    <row r="1820" s="1" customFormat="1" ht="14" spans="1:8">
      <c r="A1820" s="2">
        <v>5907002</v>
      </c>
      <c r="B1820" s="2" t="s">
        <v>2492</v>
      </c>
      <c r="C1820" s="3" t="s">
        <v>876</v>
      </c>
      <c r="D1820" s="4">
        <v>0</v>
      </c>
      <c r="E1820" s="4">
        <v>86.24</v>
      </c>
      <c r="F1820" s="4">
        <v>0</v>
      </c>
      <c r="G1820" s="4">
        <v>86.24</v>
      </c>
      <c r="H1820" s="4">
        <v>0</v>
      </c>
    </row>
    <row r="1821" s="1" customFormat="1" ht="14" spans="1:8">
      <c r="A1821" s="2">
        <v>5907003</v>
      </c>
      <c r="B1821" s="2" t="s">
        <v>2493</v>
      </c>
      <c r="C1821" s="3" t="s">
        <v>876</v>
      </c>
      <c r="D1821" s="4">
        <v>0</v>
      </c>
      <c r="E1821" s="4">
        <v>77.16</v>
      </c>
      <c r="F1821" s="4">
        <v>0</v>
      </c>
      <c r="G1821" s="4">
        <v>77.16</v>
      </c>
      <c r="H1821" s="4">
        <v>0</v>
      </c>
    </row>
    <row r="1822" s="1" customFormat="1" ht="14" spans="1:8">
      <c r="A1822" s="2">
        <v>5907061</v>
      </c>
      <c r="B1822" s="2" t="s">
        <v>2494</v>
      </c>
      <c r="C1822" s="3" t="s">
        <v>876</v>
      </c>
      <c r="D1822" s="4">
        <v>1527.6</v>
      </c>
      <c r="E1822" s="4">
        <v>29.05</v>
      </c>
      <c r="F1822" s="4">
        <v>44376.78</v>
      </c>
      <c r="G1822" s="4">
        <v>29.05</v>
      </c>
      <c r="H1822" s="4">
        <v>44376.78</v>
      </c>
    </row>
    <row r="1823" s="1" customFormat="1" ht="14" spans="1:8">
      <c r="A1823" s="2">
        <v>5911001</v>
      </c>
      <c r="B1823" s="2" t="s">
        <v>2495</v>
      </c>
      <c r="C1823" s="3" t="s">
        <v>876</v>
      </c>
      <c r="D1823" s="4">
        <v>0</v>
      </c>
      <c r="E1823" s="4">
        <v>134.8</v>
      </c>
      <c r="F1823" s="4">
        <v>0</v>
      </c>
      <c r="G1823" s="4">
        <v>134.8</v>
      </c>
      <c r="H1823" s="4">
        <v>0</v>
      </c>
    </row>
    <row r="1824" s="1" customFormat="1" ht="14" spans="1:8">
      <c r="A1824" s="2">
        <v>5911015</v>
      </c>
      <c r="B1824" s="2" t="s">
        <v>2496</v>
      </c>
      <c r="C1824" s="3" t="s">
        <v>876</v>
      </c>
      <c r="D1824" s="4">
        <v>0</v>
      </c>
      <c r="E1824" s="4">
        <v>77.16</v>
      </c>
      <c r="F1824" s="4">
        <v>0</v>
      </c>
      <c r="G1824" s="4">
        <v>77.16</v>
      </c>
      <c r="H1824" s="4">
        <v>0</v>
      </c>
    </row>
    <row r="1825" s="1" customFormat="1" ht="14" spans="1:8">
      <c r="A1825" s="2">
        <v>5911021</v>
      </c>
      <c r="B1825" s="2" t="s">
        <v>2497</v>
      </c>
      <c r="C1825" s="3" t="s">
        <v>876</v>
      </c>
      <c r="D1825" s="4">
        <v>0</v>
      </c>
      <c r="E1825" s="4">
        <v>152.38</v>
      </c>
      <c r="F1825" s="4">
        <v>0</v>
      </c>
      <c r="G1825" s="4">
        <v>152.38</v>
      </c>
      <c r="H1825" s="4">
        <v>0</v>
      </c>
    </row>
    <row r="1826" s="1" customFormat="1" ht="14" spans="1:8">
      <c r="A1826" s="2">
        <v>5911031</v>
      </c>
      <c r="B1826" s="2" t="s">
        <v>2498</v>
      </c>
      <c r="C1826" s="3" t="s">
        <v>876</v>
      </c>
      <c r="D1826" s="4">
        <v>0</v>
      </c>
      <c r="E1826" s="4">
        <v>184.34</v>
      </c>
      <c r="F1826" s="4">
        <v>0</v>
      </c>
      <c r="G1826" s="4">
        <v>184.34</v>
      </c>
      <c r="H1826" s="4">
        <v>0</v>
      </c>
    </row>
    <row r="1827" s="1" customFormat="1" ht="14" spans="1:8">
      <c r="A1827" s="2">
        <v>5911034</v>
      </c>
      <c r="B1827" s="2" t="s">
        <v>2499</v>
      </c>
      <c r="C1827" s="3" t="s">
        <v>876</v>
      </c>
      <c r="D1827" s="4">
        <v>0</v>
      </c>
      <c r="E1827" s="4">
        <v>217.1</v>
      </c>
      <c r="F1827" s="4">
        <v>0</v>
      </c>
      <c r="G1827" s="4">
        <v>217.1</v>
      </c>
      <c r="H1827" s="4">
        <v>0</v>
      </c>
    </row>
    <row r="1828" s="1" customFormat="1" ht="14" spans="1:8">
      <c r="A1828" s="2">
        <v>5911203</v>
      </c>
      <c r="B1828" s="2" t="s">
        <v>2500</v>
      </c>
      <c r="C1828" s="3" t="s">
        <v>876</v>
      </c>
      <c r="D1828" s="4">
        <v>0</v>
      </c>
      <c r="E1828" s="4">
        <v>3275.65</v>
      </c>
      <c r="F1828" s="4">
        <v>0</v>
      </c>
      <c r="G1828" s="4">
        <v>3275.65</v>
      </c>
      <c r="H1828" s="4">
        <v>0</v>
      </c>
    </row>
    <row r="1829" s="1" customFormat="1" ht="14" spans="1:8">
      <c r="A1829" s="2">
        <v>5912012</v>
      </c>
      <c r="B1829" s="2" t="s">
        <v>2501</v>
      </c>
      <c r="C1829" s="3" t="s">
        <v>876</v>
      </c>
      <c r="D1829" s="4">
        <v>0</v>
      </c>
      <c r="E1829" s="4">
        <v>1351.75</v>
      </c>
      <c r="F1829" s="4">
        <v>0</v>
      </c>
      <c r="G1829" s="4">
        <v>1351.75</v>
      </c>
      <c r="H1829" s="4">
        <v>0</v>
      </c>
    </row>
    <row r="1830" s="1" customFormat="1" ht="14" spans="1:8">
      <c r="A1830" s="2">
        <v>5912023</v>
      </c>
      <c r="B1830" s="2" t="s">
        <v>2502</v>
      </c>
      <c r="C1830" s="3" t="s">
        <v>876</v>
      </c>
      <c r="D1830" s="4">
        <v>0</v>
      </c>
      <c r="E1830" s="4">
        <v>19.91</v>
      </c>
      <c r="F1830" s="4">
        <v>0</v>
      </c>
      <c r="G1830" s="4">
        <v>19.91</v>
      </c>
      <c r="H1830" s="4">
        <v>0</v>
      </c>
    </row>
    <row r="1831" s="1" customFormat="1" ht="14" spans="1:8">
      <c r="A1831" s="2">
        <v>5912030</v>
      </c>
      <c r="B1831" s="2" t="s">
        <v>2503</v>
      </c>
      <c r="C1831" s="3" t="s">
        <v>876</v>
      </c>
      <c r="D1831" s="4">
        <v>0</v>
      </c>
      <c r="E1831" s="4">
        <v>14.27</v>
      </c>
      <c r="F1831" s="4">
        <v>0</v>
      </c>
      <c r="G1831" s="4">
        <v>14.27</v>
      </c>
      <c r="H1831" s="4">
        <v>0</v>
      </c>
    </row>
    <row r="1832" s="1" customFormat="1" ht="14" spans="1:8">
      <c r="A1832" s="2">
        <v>5912032</v>
      </c>
      <c r="B1832" s="2" t="s">
        <v>2504</v>
      </c>
      <c r="C1832" s="3" t="s">
        <v>876</v>
      </c>
      <c r="D1832" s="4">
        <v>755.78</v>
      </c>
      <c r="E1832" s="4">
        <v>23.31</v>
      </c>
      <c r="F1832" s="4">
        <v>17617.24</v>
      </c>
      <c r="G1832" s="4">
        <v>23.31</v>
      </c>
      <c r="H1832" s="4">
        <v>17617.24</v>
      </c>
    </row>
    <row r="1833" s="1" customFormat="1" ht="14" spans="1:8">
      <c r="A1833" s="2">
        <v>5913011</v>
      </c>
      <c r="B1833" s="2" t="s">
        <v>2505</v>
      </c>
      <c r="C1833" s="3" t="s">
        <v>876</v>
      </c>
      <c r="D1833" s="4">
        <v>0</v>
      </c>
      <c r="E1833" s="4">
        <v>5900.36</v>
      </c>
      <c r="F1833" s="4">
        <v>0</v>
      </c>
      <c r="G1833" s="4">
        <v>5900.36</v>
      </c>
      <c r="H1833" s="4">
        <v>0</v>
      </c>
    </row>
    <row r="1834" s="1" customFormat="1" ht="14" spans="1:8">
      <c r="A1834" s="2">
        <v>5915012</v>
      </c>
      <c r="B1834" s="2" t="s">
        <v>2506</v>
      </c>
      <c r="C1834" s="3" t="s">
        <v>876</v>
      </c>
      <c r="D1834" s="4">
        <v>0</v>
      </c>
      <c r="E1834" s="4">
        <v>1500.58</v>
      </c>
      <c r="F1834" s="4">
        <v>0</v>
      </c>
      <c r="G1834" s="4">
        <v>1500.58</v>
      </c>
      <c r="H1834" s="4">
        <v>0</v>
      </c>
    </row>
    <row r="1835" s="1" customFormat="1" ht="14" spans="1:8">
      <c r="A1835" s="2">
        <v>5915016</v>
      </c>
      <c r="B1835" s="2" t="s">
        <v>2507</v>
      </c>
      <c r="C1835" s="3" t="s">
        <v>876</v>
      </c>
      <c r="D1835" s="4">
        <v>0</v>
      </c>
      <c r="E1835" s="4">
        <v>1510.49</v>
      </c>
      <c r="F1835" s="4">
        <v>0</v>
      </c>
      <c r="G1835" s="4">
        <v>1510.49</v>
      </c>
      <c r="H1835" s="4">
        <v>0</v>
      </c>
    </row>
    <row r="1836" s="1" customFormat="1" ht="14" spans="1:8">
      <c r="A1836" s="2">
        <v>5915111</v>
      </c>
      <c r="B1836" s="2" t="s">
        <v>2508</v>
      </c>
      <c r="C1836" s="3" t="s">
        <v>876</v>
      </c>
      <c r="D1836" s="4">
        <v>0</v>
      </c>
      <c r="E1836" s="4">
        <v>190.63</v>
      </c>
      <c r="F1836" s="4">
        <v>0</v>
      </c>
      <c r="G1836" s="4">
        <v>190.63</v>
      </c>
      <c r="H1836" s="4">
        <v>0</v>
      </c>
    </row>
    <row r="1837" s="1" customFormat="1" ht="14" spans="1:8">
      <c r="A1837" s="2">
        <v>5915121</v>
      </c>
      <c r="B1837" s="2" t="s">
        <v>2509</v>
      </c>
      <c r="C1837" s="3" t="s">
        <v>876</v>
      </c>
      <c r="D1837" s="4">
        <v>0</v>
      </c>
      <c r="E1837" s="4">
        <v>263.24</v>
      </c>
      <c r="F1837" s="4">
        <v>0</v>
      </c>
      <c r="G1837" s="4">
        <v>263.24</v>
      </c>
      <c r="H1837" s="4">
        <v>0</v>
      </c>
    </row>
    <row r="1838" s="1" customFormat="1" ht="14" spans="1:8">
      <c r="A1838" s="2">
        <v>5915250</v>
      </c>
      <c r="B1838" s="2" t="s">
        <v>2510</v>
      </c>
      <c r="C1838" s="3" t="s">
        <v>876</v>
      </c>
      <c r="D1838" s="4">
        <v>0</v>
      </c>
      <c r="E1838" s="4">
        <v>84.24</v>
      </c>
      <c r="F1838" s="4">
        <v>0</v>
      </c>
      <c r="G1838" s="4">
        <v>84.24</v>
      </c>
      <c r="H1838" s="4">
        <v>0</v>
      </c>
    </row>
    <row r="1839" s="1" customFormat="1" ht="14" spans="1:8">
      <c r="A1839" s="2">
        <v>5915317</v>
      </c>
      <c r="B1839" s="2" t="s">
        <v>2511</v>
      </c>
      <c r="C1839" s="3" t="s">
        <v>1235</v>
      </c>
      <c r="D1839" s="4">
        <v>0</v>
      </c>
      <c r="E1839" s="4">
        <v>111.9</v>
      </c>
      <c r="F1839" s="4">
        <v>0</v>
      </c>
      <c r="G1839" s="4">
        <v>111.9</v>
      </c>
      <c r="H1839" s="4">
        <v>0</v>
      </c>
    </row>
    <row r="1840" s="1" customFormat="1" ht="14" spans="1:8">
      <c r="A1840" s="2">
        <v>5916060</v>
      </c>
      <c r="B1840" s="2" t="s">
        <v>2512</v>
      </c>
      <c r="C1840" s="3" t="s">
        <v>876</v>
      </c>
      <c r="D1840" s="4">
        <v>944.7</v>
      </c>
      <c r="E1840" s="4">
        <v>160.4</v>
      </c>
      <c r="F1840" s="4">
        <v>151529.88</v>
      </c>
      <c r="G1840" s="4">
        <v>160.4</v>
      </c>
      <c r="H1840" s="4">
        <v>151529.88</v>
      </c>
    </row>
    <row r="1841" s="1" customFormat="1" ht="14" spans="1:8">
      <c r="A1841" s="2">
        <v>5916131</v>
      </c>
      <c r="B1841" s="2" t="s">
        <v>2513</v>
      </c>
      <c r="C1841" s="3" t="s">
        <v>876</v>
      </c>
      <c r="D1841" s="4">
        <v>1581.87</v>
      </c>
      <c r="E1841" s="4">
        <v>6.35</v>
      </c>
      <c r="F1841" s="4">
        <v>10044.89</v>
      </c>
      <c r="G1841" s="4">
        <v>6.35</v>
      </c>
      <c r="H1841" s="4">
        <v>10044.89</v>
      </c>
    </row>
    <row r="1842" s="1" customFormat="1" ht="14" spans="1:8">
      <c r="A1842" s="2">
        <v>5916180</v>
      </c>
      <c r="B1842" s="2" t="s">
        <v>2514</v>
      </c>
      <c r="C1842" s="3" t="s">
        <v>876</v>
      </c>
      <c r="D1842" s="4">
        <v>0</v>
      </c>
      <c r="E1842" s="4">
        <v>50.83</v>
      </c>
      <c r="F1842" s="4">
        <v>0</v>
      </c>
      <c r="G1842" s="4">
        <v>50.83</v>
      </c>
      <c r="H1842" s="4">
        <v>0</v>
      </c>
    </row>
    <row r="1843" s="1" customFormat="1" ht="14" spans="1:8">
      <c r="A1843" s="2">
        <v>5916211</v>
      </c>
      <c r="B1843" s="2" t="s">
        <v>2515</v>
      </c>
      <c r="C1843" s="3" t="s">
        <v>876</v>
      </c>
      <c r="D1843" s="4">
        <v>139.75</v>
      </c>
      <c r="E1843" s="4">
        <v>6.35</v>
      </c>
      <c r="F1843" s="4">
        <v>887.41</v>
      </c>
      <c r="G1843" s="4">
        <v>6.35</v>
      </c>
      <c r="H1843" s="4">
        <v>887.41</v>
      </c>
    </row>
    <row r="1844" s="1" customFormat="1" ht="14" spans="1:8">
      <c r="A1844" s="2">
        <v>5916221</v>
      </c>
      <c r="B1844" s="2" t="s">
        <v>2516</v>
      </c>
      <c r="C1844" s="3" t="s">
        <v>876</v>
      </c>
      <c r="D1844" s="4">
        <v>6590.4</v>
      </c>
      <c r="E1844" s="4">
        <v>16.34</v>
      </c>
      <c r="F1844" s="4">
        <v>107687.2</v>
      </c>
      <c r="G1844" s="4">
        <v>16.34</v>
      </c>
      <c r="H1844" s="4">
        <v>107687.2</v>
      </c>
    </row>
    <row r="1845" s="1" customFormat="1" ht="14" spans="1:8">
      <c r="A1845" s="2">
        <v>5917020</v>
      </c>
      <c r="B1845" s="2" t="s">
        <v>2517</v>
      </c>
      <c r="C1845" s="3" t="s">
        <v>876</v>
      </c>
      <c r="D1845" s="4">
        <v>434.16</v>
      </c>
      <c r="E1845" s="4">
        <v>50.83</v>
      </c>
      <c r="F1845" s="4">
        <v>22068.35</v>
      </c>
      <c r="G1845" s="4">
        <v>50.83</v>
      </c>
      <c r="H1845" s="4">
        <v>22068.35</v>
      </c>
    </row>
    <row r="1846" s="1" customFormat="1" ht="14" spans="1:8">
      <c r="A1846" s="2">
        <v>5917031</v>
      </c>
      <c r="B1846" s="2" t="s">
        <v>2518</v>
      </c>
      <c r="C1846" s="3" t="s">
        <v>876</v>
      </c>
      <c r="D1846" s="4">
        <v>0</v>
      </c>
      <c r="E1846" s="4">
        <v>14.38</v>
      </c>
      <c r="F1846" s="4">
        <v>0</v>
      </c>
      <c r="G1846" s="4">
        <v>14.38</v>
      </c>
      <c r="H1846" s="4">
        <v>0</v>
      </c>
    </row>
    <row r="1847" s="1" customFormat="1" ht="14" spans="1:8">
      <c r="A1847" s="2">
        <v>5917032</v>
      </c>
      <c r="B1847" s="2" t="s">
        <v>2519</v>
      </c>
      <c r="C1847" s="3" t="s">
        <v>876</v>
      </c>
      <c r="D1847" s="4">
        <v>535.67</v>
      </c>
      <c r="E1847" s="4">
        <v>33.22</v>
      </c>
      <c r="F1847" s="4">
        <v>17794.96</v>
      </c>
      <c r="G1847" s="4">
        <v>33.22</v>
      </c>
      <c r="H1847" s="4">
        <v>17794.96</v>
      </c>
    </row>
    <row r="1848" s="1" customFormat="1" ht="14" spans="1:8">
      <c r="A1848" s="2">
        <v>5917033</v>
      </c>
      <c r="B1848" s="2" t="s">
        <v>2520</v>
      </c>
      <c r="C1848" s="3" t="s">
        <v>876</v>
      </c>
      <c r="D1848" s="4">
        <v>0</v>
      </c>
      <c r="E1848" s="4">
        <v>40.09</v>
      </c>
      <c r="F1848" s="4">
        <v>0</v>
      </c>
      <c r="G1848" s="4">
        <v>40.09</v>
      </c>
      <c r="H1848" s="4">
        <v>0</v>
      </c>
    </row>
    <row r="1849" s="1" customFormat="1" ht="14" spans="1:8">
      <c r="A1849" s="2">
        <v>5917036</v>
      </c>
      <c r="B1849" s="2" t="s">
        <v>2521</v>
      </c>
      <c r="C1849" s="3" t="s">
        <v>876</v>
      </c>
      <c r="D1849" s="4">
        <v>22.12</v>
      </c>
      <c r="E1849" s="4">
        <v>64.16</v>
      </c>
      <c r="F1849" s="4">
        <v>1418.89</v>
      </c>
      <c r="G1849" s="4">
        <v>64.16</v>
      </c>
      <c r="H1849" s="4">
        <v>1418.89</v>
      </c>
    </row>
    <row r="1850" s="1" customFormat="1" ht="14" spans="1:8">
      <c r="A1850" s="2">
        <v>5917039</v>
      </c>
      <c r="B1850" s="2" t="s">
        <v>2522</v>
      </c>
      <c r="C1850" s="3" t="s">
        <v>876</v>
      </c>
      <c r="D1850" s="4">
        <v>0</v>
      </c>
      <c r="E1850" s="4">
        <v>47.82</v>
      </c>
      <c r="F1850" s="4">
        <v>0</v>
      </c>
      <c r="G1850" s="4">
        <v>47.82</v>
      </c>
      <c r="H1850" s="4">
        <v>0</v>
      </c>
    </row>
    <row r="1851" s="1" customFormat="1" ht="14" spans="1:8">
      <c r="A1851" s="2">
        <v>5917051</v>
      </c>
      <c r="B1851" s="2" t="s">
        <v>2523</v>
      </c>
      <c r="C1851" s="3" t="s">
        <v>876</v>
      </c>
      <c r="D1851" s="4">
        <v>8.04</v>
      </c>
      <c r="E1851" s="4">
        <v>38.12</v>
      </c>
      <c r="F1851" s="4">
        <v>306.48</v>
      </c>
      <c r="G1851" s="4">
        <v>38.12</v>
      </c>
      <c r="H1851" s="4">
        <v>306.48</v>
      </c>
    </row>
    <row r="1852" s="1" customFormat="1" ht="14" spans="1:8">
      <c r="A1852" s="2">
        <v>5917052</v>
      </c>
      <c r="B1852" s="2" t="s">
        <v>2524</v>
      </c>
      <c r="C1852" s="3" t="s">
        <v>876</v>
      </c>
      <c r="D1852" s="4">
        <v>5934.53</v>
      </c>
      <c r="E1852" s="4">
        <v>39.03</v>
      </c>
      <c r="F1852" s="4">
        <v>231624.72</v>
      </c>
      <c r="G1852" s="4">
        <v>39.03</v>
      </c>
      <c r="H1852" s="4">
        <v>231624.72</v>
      </c>
    </row>
    <row r="1853" s="1" customFormat="1" ht="14" spans="1:8">
      <c r="A1853" s="2">
        <v>5918010</v>
      </c>
      <c r="B1853" s="2" t="s">
        <v>2525</v>
      </c>
      <c r="C1853" s="3" t="s">
        <v>876</v>
      </c>
      <c r="D1853" s="4">
        <v>386.04</v>
      </c>
      <c r="E1853" s="4">
        <v>38.12</v>
      </c>
      <c r="F1853" s="4">
        <v>14715.84</v>
      </c>
      <c r="G1853" s="4">
        <v>38.12</v>
      </c>
      <c r="H1853" s="4">
        <v>14715.84</v>
      </c>
    </row>
    <row r="1854" s="1" customFormat="1" ht="14" spans="1:8">
      <c r="A1854" s="2">
        <v>5918041</v>
      </c>
      <c r="B1854" s="2" t="s">
        <v>2526</v>
      </c>
      <c r="C1854" s="3" t="s">
        <v>876</v>
      </c>
      <c r="D1854" s="4">
        <v>1718.77</v>
      </c>
      <c r="E1854" s="4">
        <v>232.38</v>
      </c>
      <c r="F1854" s="4">
        <v>399407.77</v>
      </c>
      <c r="G1854" s="4">
        <v>232.38</v>
      </c>
      <c r="H1854" s="4">
        <v>399407.77</v>
      </c>
    </row>
    <row r="1855" s="1" customFormat="1" ht="14" spans="1:8">
      <c r="A1855" s="2">
        <v>5918042</v>
      </c>
      <c r="B1855" s="2" t="s">
        <v>2527</v>
      </c>
      <c r="C1855" s="3" t="s">
        <v>876</v>
      </c>
      <c r="D1855" s="4">
        <v>187.05</v>
      </c>
      <c r="E1855" s="4">
        <v>234.2</v>
      </c>
      <c r="F1855" s="4">
        <v>43807.12</v>
      </c>
      <c r="G1855" s="4">
        <v>234.2</v>
      </c>
      <c r="H1855" s="4">
        <v>43807.12</v>
      </c>
    </row>
    <row r="1856" s="1" customFormat="1" ht="14" spans="1:8">
      <c r="A1856" s="2">
        <v>5919020</v>
      </c>
      <c r="B1856" s="2" t="s">
        <v>2528</v>
      </c>
      <c r="C1856" s="3" t="s">
        <v>876</v>
      </c>
      <c r="D1856" s="4">
        <v>324.64</v>
      </c>
      <c r="E1856" s="4">
        <v>19.97</v>
      </c>
      <c r="F1856" s="4">
        <v>6483.08</v>
      </c>
      <c r="G1856" s="4">
        <v>19.97</v>
      </c>
      <c r="H1856" s="4">
        <v>6483.08</v>
      </c>
    </row>
    <row r="1857" s="1" customFormat="1" ht="14" spans="1:8">
      <c r="A1857" s="2">
        <v>5920012</v>
      </c>
      <c r="B1857" s="2" t="s">
        <v>2529</v>
      </c>
      <c r="C1857" s="3" t="s">
        <v>876</v>
      </c>
      <c r="D1857" s="4">
        <v>1641.19</v>
      </c>
      <c r="E1857" s="4">
        <v>50.83</v>
      </c>
      <c r="F1857" s="4">
        <v>83421.94</v>
      </c>
      <c r="G1857" s="4">
        <v>50.83</v>
      </c>
      <c r="H1857" s="4">
        <v>83421.94</v>
      </c>
    </row>
    <row r="1858" s="1" customFormat="1" ht="14" spans="1:8">
      <c r="A1858" s="2">
        <v>5920032</v>
      </c>
      <c r="B1858" s="2" t="s">
        <v>2530</v>
      </c>
      <c r="C1858" s="3" t="s">
        <v>876</v>
      </c>
      <c r="D1858" s="4">
        <v>495.49</v>
      </c>
      <c r="E1858" s="4">
        <v>50.83</v>
      </c>
      <c r="F1858" s="4">
        <v>25185.75</v>
      </c>
      <c r="G1858" s="4">
        <v>50.83</v>
      </c>
      <c r="H1858" s="4">
        <v>25185.75</v>
      </c>
    </row>
    <row r="1859" s="1" customFormat="1" ht="14" spans="1:8">
      <c r="A1859" s="2">
        <v>5920120</v>
      </c>
      <c r="B1859" s="2" t="s">
        <v>2531</v>
      </c>
      <c r="C1859" s="3" t="s">
        <v>876</v>
      </c>
      <c r="D1859" s="4">
        <v>495.49</v>
      </c>
      <c r="E1859" s="4">
        <v>46.3</v>
      </c>
      <c r="F1859" s="4">
        <v>22941.19</v>
      </c>
      <c r="G1859" s="4">
        <v>46.3</v>
      </c>
      <c r="H1859" s="4">
        <v>22941.19</v>
      </c>
    </row>
    <row r="1860" s="1" customFormat="1" ht="14" spans="1:8">
      <c r="A1860" s="2">
        <v>5922011</v>
      </c>
      <c r="B1860" s="2" t="s">
        <v>2532</v>
      </c>
      <c r="C1860" s="3" t="s">
        <v>876</v>
      </c>
      <c r="D1860" s="4">
        <v>0</v>
      </c>
      <c r="E1860" s="4">
        <v>1143.77</v>
      </c>
      <c r="F1860" s="4">
        <v>0</v>
      </c>
      <c r="G1860" s="4">
        <v>1143.77</v>
      </c>
      <c r="H1860" s="4">
        <v>0</v>
      </c>
    </row>
    <row r="1861" s="1" customFormat="1" ht="14" spans="1:8">
      <c r="A1861" s="2">
        <v>5922021</v>
      </c>
      <c r="B1861" s="2" t="s">
        <v>2533</v>
      </c>
      <c r="C1861" s="3" t="s">
        <v>876</v>
      </c>
      <c r="D1861" s="4">
        <v>0</v>
      </c>
      <c r="E1861" s="4">
        <v>168.84</v>
      </c>
      <c r="F1861" s="4">
        <v>0</v>
      </c>
      <c r="G1861" s="4">
        <v>168.84</v>
      </c>
      <c r="H1861" s="4">
        <v>0</v>
      </c>
    </row>
    <row r="1862" s="1" customFormat="1" ht="14" spans="1:8">
      <c r="A1862" s="2">
        <v>5922022</v>
      </c>
      <c r="B1862" s="2" t="s">
        <v>2534</v>
      </c>
      <c r="C1862" s="3" t="s">
        <v>876</v>
      </c>
      <c r="D1862" s="4">
        <v>0</v>
      </c>
      <c r="E1862" s="4">
        <v>159.76</v>
      </c>
      <c r="F1862" s="4">
        <v>0</v>
      </c>
      <c r="G1862" s="4">
        <v>159.76</v>
      </c>
      <c r="H1862" s="4">
        <v>0</v>
      </c>
    </row>
    <row r="1863" s="1" customFormat="1" ht="14" spans="1:8">
      <c r="A1863" s="2">
        <v>5922261</v>
      </c>
      <c r="B1863" s="2" t="s">
        <v>2535</v>
      </c>
      <c r="C1863" s="3" t="s">
        <v>876</v>
      </c>
      <c r="D1863" s="4">
        <v>0</v>
      </c>
      <c r="E1863" s="4">
        <v>534.66</v>
      </c>
      <c r="F1863" s="4">
        <v>0</v>
      </c>
      <c r="G1863" s="4">
        <v>534.66</v>
      </c>
      <c r="H1863" s="4">
        <v>0</v>
      </c>
    </row>
    <row r="1864" s="1" customFormat="1" ht="14" spans="1:8">
      <c r="A1864" s="2">
        <v>5923005</v>
      </c>
      <c r="B1864" s="2" t="s">
        <v>2536</v>
      </c>
      <c r="C1864" s="3" t="s">
        <v>876</v>
      </c>
      <c r="D1864" s="4">
        <v>0</v>
      </c>
      <c r="E1864" s="4">
        <v>1341.51</v>
      </c>
      <c r="F1864" s="4">
        <v>0</v>
      </c>
      <c r="G1864" s="4">
        <v>1341.51</v>
      </c>
      <c r="H1864" s="4">
        <v>0</v>
      </c>
    </row>
    <row r="1865" s="1" customFormat="1" ht="14" spans="1:8">
      <c r="A1865" s="2">
        <v>5923013</v>
      </c>
      <c r="B1865" s="2" t="s">
        <v>2537</v>
      </c>
      <c r="C1865" s="3" t="s">
        <v>876</v>
      </c>
      <c r="D1865" s="4">
        <v>0</v>
      </c>
      <c r="E1865" s="4">
        <v>1777.7</v>
      </c>
      <c r="F1865" s="4">
        <v>0</v>
      </c>
      <c r="G1865" s="4">
        <v>1777.7</v>
      </c>
      <c r="H1865" s="4">
        <v>0</v>
      </c>
    </row>
    <row r="1866" s="1" customFormat="1" ht="14" spans="1:8">
      <c r="A1866" s="2">
        <v>5923030</v>
      </c>
      <c r="B1866" s="2" t="s">
        <v>2538</v>
      </c>
      <c r="C1866" s="3" t="s">
        <v>876</v>
      </c>
      <c r="D1866" s="4">
        <v>0</v>
      </c>
      <c r="E1866" s="4">
        <v>78.07</v>
      </c>
      <c r="F1866" s="4">
        <v>0</v>
      </c>
      <c r="G1866" s="4">
        <v>78.07</v>
      </c>
      <c r="H1866" s="4">
        <v>0</v>
      </c>
    </row>
    <row r="1867" s="1" customFormat="1" ht="14" spans="1:8">
      <c r="A1867" s="2">
        <v>5923041</v>
      </c>
      <c r="B1867" s="2" t="s">
        <v>2539</v>
      </c>
      <c r="C1867" s="3" t="s">
        <v>876</v>
      </c>
      <c r="D1867" s="4">
        <v>0</v>
      </c>
      <c r="E1867" s="4">
        <v>86.95</v>
      </c>
      <c r="F1867" s="4">
        <v>0</v>
      </c>
      <c r="G1867" s="4">
        <v>86.95</v>
      </c>
      <c r="H1867" s="4">
        <v>0</v>
      </c>
    </row>
    <row r="1868" s="1" customFormat="1" ht="14" spans="1:8">
      <c r="A1868" s="2">
        <v>5923043</v>
      </c>
      <c r="B1868" s="2" t="s">
        <v>2540</v>
      </c>
      <c r="C1868" s="3" t="s">
        <v>876</v>
      </c>
      <c r="D1868" s="4">
        <v>0</v>
      </c>
      <c r="E1868" s="4">
        <v>102.56</v>
      </c>
      <c r="F1868" s="4">
        <v>0</v>
      </c>
      <c r="G1868" s="4">
        <v>102.56</v>
      </c>
      <c r="H1868" s="4">
        <v>0</v>
      </c>
    </row>
    <row r="1869" s="1" customFormat="1" ht="14" spans="1:8">
      <c r="A1869" s="2">
        <v>5923050</v>
      </c>
      <c r="B1869" s="2" t="s">
        <v>2541</v>
      </c>
      <c r="C1869" s="3" t="s">
        <v>876</v>
      </c>
      <c r="D1869" s="4">
        <v>0</v>
      </c>
      <c r="E1869" s="4">
        <v>490.18</v>
      </c>
      <c r="F1869" s="4">
        <v>0</v>
      </c>
      <c r="G1869" s="4">
        <v>490.18</v>
      </c>
      <c r="H1869" s="4">
        <v>0</v>
      </c>
    </row>
    <row r="1870" s="1" customFormat="1" ht="14" spans="1:8">
      <c r="A1870" s="2">
        <v>5923055</v>
      </c>
      <c r="B1870" s="2" t="s">
        <v>2542</v>
      </c>
      <c r="C1870" s="3" t="s">
        <v>876</v>
      </c>
      <c r="D1870" s="4">
        <v>0</v>
      </c>
      <c r="E1870" s="4">
        <v>508.34</v>
      </c>
      <c r="F1870" s="4">
        <v>0</v>
      </c>
      <c r="G1870" s="4">
        <v>508.34</v>
      </c>
      <c r="H1870" s="4">
        <v>0</v>
      </c>
    </row>
    <row r="1871" s="1" customFormat="1" ht="14" spans="1:8">
      <c r="A1871" s="2">
        <v>5923061</v>
      </c>
      <c r="B1871" s="2" t="s">
        <v>2543</v>
      </c>
      <c r="C1871" s="3" t="s">
        <v>876</v>
      </c>
      <c r="D1871" s="4">
        <v>0</v>
      </c>
      <c r="E1871" s="4">
        <v>559.04</v>
      </c>
      <c r="F1871" s="4">
        <v>0</v>
      </c>
      <c r="G1871" s="4">
        <v>559.04</v>
      </c>
      <c r="H1871" s="4">
        <v>0</v>
      </c>
    </row>
    <row r="1872" s="1" customFormat="1" ht="14" spans="1:8">
      <c r="A1872" s="2">
        <v>6000000</v>
      </c>
      <c r="B1872" s="2" t="s">
        <v>2544</v>
      </c>
      <c r="C1872" s="3" t="s">
        <v>876</v>
      </c>
      <c r="D1872" s="4">
        <v>5.03</v>
      </c>
      <c r="E1872" s="4">
        <v>79.06</v>
      </c>
      <c r="F1872" s="4">
        <v>397.67</v>
      </c>
      <c r="G1872" s="4">
        <v>79.06</v>
      </c>
      <c r="H1872" s="4">
        <v>397.67</v>
      </c>
    </row>
    <row r="1873" s="1" customFormat="1" ht="14" spans="1:8">
      <c r="A1873" s="2">
        <v>6000004</v>
      </c>
      <c r="B1873" s="2" t="s">
        <v>2545</v>
      </c>
      <c r="C1873" s="3" t="s">
        <v>824</v>
      </c>
      <c r="D1873" s="4">
        <v>2563.12</v>
      </c>
      <c r="E1873" s="4">
        <v>11.44</v>
      </c>
      <c r="F1873" s="4">
        <v>29322.03</v>
      </c>
      <c r="G1873" s="4">
        <v>11.44</v>
      </c>
      <c r="H1873" s="4">
        <v>29322.03</v>
      </c>
    </row>
    <row r="1874" s="1" customFormat="1" ht="14" spans="1:8">
      <c r="A1874" s="2">
        <v>6000005</v>
      </c>
      <c r="B1874" s="2" t="s">
        <v>2546</v>
      </c>
      <c r="C1874" s="3" t="s">
        <v>824</v>
      </c>
      <c r="D1874" s="4">
        <v>15208.7</v>
      </c>
      <c r="E1874" s="4">
        <v>27.01</v>
      </c>
      <c r="F1874" s="4">
        <v>410787.02</v>
      </c>
      <c r="G1874" s="4">
        <v>27.01</v>
      </c>
      <c r="H1874" s="4">
        <v>410787.02</v>
      </c>
    </row>
    <row r="1875" s="1" customFormat="1" ht="14" spans="1:8">
      <c r="A1875" s="2">
        <v>6000006</v>
      </c>
      <c r="B1875" s="2" t="s">
        <v>2547</v>
      </c>
      <c r="C1875" s="3" t="s">
        <v>824</v>
      </c>
      <c r="D1875" s="4">
        <v>3696.25</v>
      </c>
      <c r="E1875" s="4">
        <v>40.03</v>
      </c>
      <c r="F1875" s="4">
        <v>147960.77</v>
      </c>
      <c r="G1875" s="4">
        <v>40.03</v>
      </c>
      <c r="H1875" s="4">
        <v>147960.77</v>
      </c>
    </row>
    <row r="1876" s="1" customFormat="1" ht="14" spans="1:8">
      <c r="A1876" s="2">
        <v>6000007</v>
      </c>
      <c r="B1876" s="2" t="s">
        <v>2548</v>
      </c>
      <c r="C1876" s="3" t="s">
        <v>824</v>
      </c>
      <c r="D1876" s="4">
        <v>3526.55</v>
      </c>
      <c r="E1876" s="4">
        <v>66.12</v>
      </c>
      <c r="F1876" s="4">
        <v>233175.5</v>
      </c>
      <c r="G1876" s="4">
        <v>66.12</v>
      </c>
      <c r="H1876" s="4">
        <v>233175.5</v>
      </c>
    </row>
    <row r="1877" s="1" customFormat="1" ht="14" spans="1:8">
      <c r="A1877" s="2">
        <v>6000009</v>
      </c>
      <c r="B1877" s="2" t="s">
        <v>2549</v>
      </c>
      <c r="C1877" s="3" t="s">
        <v>824</v>
      </c>
      <c r="D1877" s="4">
        <v>1256.85</v>
      </c>
      <c r="E1877" s="4">
        <v>28.81</v>
      </c>
      <c r="F1877" s="4">
        <v>36209.7</v>
      </c>
      <c r="G1877" s="4">
        <v>28.81</v>
      </c>
      <c r="H1877" s="4">
        <v>36209.7</v>
      </c>
    </row>
    <row r="1878" s="1" customFormat="1" ht="14" spans="1:8">
      <c r="A1878" s="2">
        <v>6000010</v>
      </c>
      <c r="B1878" s="2" t="s">
        <v>2550</v>
      </c>
      <c r="C1878" s="3" t="s">
        <v>824</v>
      </c>
      <c r="D1878" s="4">
        <v>4767.09</v>
      </c>
      <c r="E1878" s="4">
        <v>51.02</v>
      </c>
      <c r="F1878" s="4">
        <v>243216.58</v>
      </c>
      <c r="G1878" s="4">
        <v>51.02</v>
      </c>
      <c r="H1878" s="4">
        <v>243216.58</v>
      </c>
    </row>
    <row r="1879" s="1" customFormat="1" ht="14" spans="1:8">
      <c r="A1879" s="2">
        <v>6000011</v>
      </c>
      <c r="B1879" s="2" t="s">
        <v>2551</v>
      </c>
      <c r="C1879" s="3" t="s">
        <v>824</v>
      </c>
      <c r="D1879" s="4">
        <v>1256.85</v>
      </c>
      <c r="E1879" s="4">
        <v>27.01</v>
      </c>
      <c r="F1879" s="4">
        <v>33947.38</v>
      </c>
      <c r="G1879" s="4">
        <v>27.01</v>
      </c>
      <c r="H1879" s="4">
        <v>33947.38</v>
      </c>
    </row>
    <row r="1880" s="1" customFormat="1" ht="14" spans="1:8">
      <c r="A1880" s="2">
        <v>6000018</v>
      </c>
      <c r="B1880" s="2" t="s">
        <v>2552</v>
      </c>
      <c r="C1880" s="3" t="s">
        <v>876</v>
      </c>
      <c r="D1880" s="4">
        <v>687.42</v>
      </c>
      <c r="E1880" s="4">
        <v>49.93</v>
      </c>
      <c r="F1880" s="4">
        <v>34322.88</v>
      </c>
      <c r="G1880" s="4">
        <v>49.93</v>
      </c>
      <c r="H1880" s="4">
        <v>34322.88</v>
      </c>
    </row>
    <row r="1881" s="1" customFormat="1" ht="14" spans="1:8">
      <c r="A1881" s="2">
        <v>6000020</v>
      </c>
      <c r="B1881" s="2" t="s">
        <v>2553</v>
      </c>
      <c r="C1881" s="3" t="s">
        <v>876</v>
      </c>
      <c r="D1881" s="4">
        <v>677.37</v>
      </c>
      <c r="E1881" s="4">
        <v>21.13</v>
      </c>
      <c r="F1881" s="4">
        <v>14312.83</v>
      </c>
      <c r="G1881" s="4">
        <v>21.13</v>
      </c>
      <c r="H1881" s="4">
        <v>14312.83</v>
      </c>
    </row>
    <row r="1882" s="1" customFormat="1" ht="14" spans="1:8">
      <c r="A1882" s="2">
        <v>6000029</v>
      </c>
      <c r="B1882" s="2" t="s">
        <v>2554</v>
      </c>
      <c r="C1882" s="3" t="s">
        <v>824</v>
      </c>
      <c r="D1882" s="4">
        <v>267.33</v>
      </c>
      <c r="E1882" s="4">
        <v>25.84</v>
      </c>
      <c r="F1882" s="4">
        <v>6907.8</v>
      </c>
      <c r="G1882" s="4">
        <v>25.84</v>
      </c>
      <c r="H1882" s="4">
        <v>6907.8</v>
      </c>
    </row>
    <row r="1883" s="1" customFormat="1" ht="14" spans="1:8">
      <c r="A1883" s="2">
        <v>6000033</v>
      </c>
      <c r="B1883" s="2" t="s">
        <v>2555</v>
      </c>
      <c r="C1883" s="3" t="s">
        <v>824</v>
      </c>
      <c r="D1883" s="4">
        <v>22.12</v>
      </c>
      <c r="E1883" s="4">
        <v>31.47</v>
      </c>
      <c r="F1883" s="4">
        <v>695.95</v>
      </c>
      <c r="G1883" s="4">
        <v>31.47</v>
      </c>
      <c r="H1883" s="4">
        <v>695.95</v>
      </c>
    </row>
    <row r="1884" s="1" customFormat="1" ht="14" spans="1:8">
      <c r="A1884" s="2">
        <v>6000039</v>
      </c>
      <c r="B1884" s="2" t="s">
        <v>2556</v>
      </c>
      <c r="C1884" s="3" t="s">
        <v>876</v>
      </c>
      <c r="D1884" s="4">
        <v>162.81</v>
      </c>
      <c r="E1884" s="4">
        <v>24.7</v>
      </c>
      <c r="F1884" s="4">
        <v>4021.41</v>
      </c>
      <c r="G1884" s="4">
        <v>24.7</v>
      </c>
      <c r="H1884" s="4">
        <v>4021.41</v>
      </c>
    </row>
    <row r="1885" s="1" customFormat="1" ht="14" spans="1:8">
      <c r="A1885" s="2">
        <v>6000042</v>
      </c>
      <c r="B1885" s="2" t="s">
        <v>2557</v>
      </c>
      <c r="C1885" s="3" t="s">
        <v>824</v>
      </c>
      <c r="D1885" s="4">
        <v>162.81</v>
      </c>
      <c r="E1885" s="4">
        <v>89.92</v>
      </c>
      <c r="F1885" s="4">
        <v>14639.88</v>
      </c>
      <c r="G1885" s="4">
        <v>89.92</v>
      </c>
      <c r="H1885" s="4">
        <v>14639.88</v>
      </c>
    </row>
    <row r="1886" s="1" customFormat="1" ht="14" spans="1:8">
      <c r="A1886" s="2">
        <v>6000045</v>
      </c>
      <c r="B1886" s="2" t="s">
        <v>2558</v>
      </c>
      <c r="C1886" s="3" t="s">
        <v>824</v>
      </c>
      <c r="D1886" s="4">
        <v>289.44</v>
      </c>
      <c r="E1886" s="4">
        <v>43.84</v>
      </c>
      <c r="F1886" s="4">
        <v>12689.04</v>
      </c>
      <c r="G1886" s="4">
        <v>43.84</v>
      </c>
      <c r="H1886" s="4">
        <v>12689.04</v>
      </c>
    </row>
    <row r="1887" s="1" customFormat="1" ht="14" spans="1:8">
      <c r="A1887" s="2">
        <v>6000050</v>
      </c>
      <c r="B1887" s="2" t="s">
        <v>2559</v>
      </c>
      <c r="C1887" s="3" t="s">
        <v>876</v>
      </c>
      <c r="D1887" s="4">
        <v>3282.35</v>
      </c>
      <c r="E1887" s="4">
        <v>28.97</v>
      </c>
      <c r="F1887" s="4">
        <v>95089.67</v>
      </c>
      <c r="G1887" s="4">
        <v>28.97</v>
      </c>
      <c r="H1887" s="4">
        <v>95089.67</v>
      </c>
    </row>
    <row r="1888" s="1" customFormat="1" ht="14" spans="1:8">
      <c r="A1888" s="2">
        <v>6000051</v>
      </c>
      <c r="B1888" s="2" t="s">
        <v>2560</v>
      </c>
      <c r="C1888" s="3" t="s">
        <v>824</v>
      </c>
      <c r="D1888" s="4">
        <v>3620.01</v>
      </c>
      <c r="E1888" s="4">
        <v>9.33</v>
      </c>
      <c r="F1888" s="4">
        <v>33774.75</v>
      </c>
      <c r="G1888" s="4">
        <v>9.33</v>
      </c>
      <c r="H1888" s="4">
        <v>33774.75</v>
      </c>
    </row>
    <row r="1889" s="1" customFormat="1" ht="14" spans="1:8">
      <c r="A1889" s="2">
        <v>6000052</v>
      </c>
      <c r="B1889" s="2" t="s">
        <v>2561</v>
      </c>
      <c r="C1889" s="3" t="s">
        <v>824</v>
      </c>
      <c r="D1889" s="4">
        <v>140.7</v>
      </c>
      <c r="E1889" s="4">
        <v>9.33</v>
      </c>
      <c r="F1889" s="4">
        <v>1312.78</v>
      </c>
      <c r="G1889" s="4">
        <v>9.33</v>
      </c>
      <c r="H1889" s="4">
        <v>1312.78</v>
      </c>
    </row>
    <row r="1890" s="1" customFormat="1" ht="14" spans="1:8">
      <c r="A1890" s="2">
        <v>6000053</v>
      </c>
      <c r="B1890" s="2" t="s">
        <v>2562</v>
      </c>
      <c r="C1890" s="3" t="s">
        <v>824</v>
      </c>
      <c r="D1890" s="4">
        <v>30496.55</v>
      </c>
      <c r="E1890" s="4">
        <v>25.07</v>
      </c>
      <c r="F1890" s="4">
        <v>764548.54</v>
      </c>
      <c r="G1890" s="4">
        <v>25.07</v>
      </c>
      <c r="H1890" s="4">
        <v>764548.54</v>
      </c>
    </row>
    <row r="1891" s="1" customFormat="1" ht="14" spans="1:8">
      <c r="A1891" s="2">
        <v>6000054</v>
      </c>
      <c r="B1891" s="2" t="s">
        <v>2563</v>
      </c>
      <c r="C1891" s="3" t="s">
        <v>824</v>
      </c>
      <c r="D1891" s="4">
        <v>2575.6</v>
      </c>
      <c r="E1891" s="4">
        <v>26.97</v>
      </c>
      <c r="F1891" s="4">
        <v>69463.93</v>
      </c>
      <c r="G1891" s="4">
        <v>26.97</v>
      </c>
      <c r="H1891" s="4">
        <v>69463.93</v>
      </c>
    </row>
    <row r="1892" s="1" customFormat="1" ht="14" spans="1:8">
      <c r="A1892" s="2">
        <v>6000055</v>
      </c>
      <c r="B1892" s="2" t="s">
        <v>2564</v>
      </c>
      <c r="C1892" s="3" t="s">
        <v>824</v>
      </c>
      <c r="D1892" s="4">
        <v>4922.51</v>
      </c>
      <c r="E1892" s="4">
        <v>34.23</v>
      </c>
      <c r="F1892" s="4">
        <v>168497.67</v>
      </c>
      <c r="G1892" s="4">
        <v>34.23</v>
      </c>
      <c r="H1892" s="4">
        <v>168497.67</v>
      </c>
    </row>
    <row r="1893" s="1" customFormat="1" ht="14" spans="1:8">
      <c r="A1893" s="2">
        <v>6000056</v>
      </c>
      <c r="B1893" s="2" t="s">
        <v>2565</v>
      </c>
      <c r="C1893" s="3" t="s">
        <v>824</v>
      </c>
      <c r="D1893" s="4">
        <v>211.91</v>
      </c>
      <c r="E1893" s="4">
        <v>6.23</v>
      </c>
      <c r="F1893" s="4">
        <v>1320.17</v>
      </c>
      <c r="G1893" s="4">
        <v>6.23</v>
      </c>
      <c r="H1893" s="4">
        <v>1320.17</v>
      </c>
    </row>
    <row r="1894" s="1" customFormat="1" ht="14" spans="1:8">
      <c r="A1894" s="2">
        <v>6000060</v>
      </c>
      <c r="B1894" s="2" t="s">
        <v>2566</v>
      </c>
      <c r="C1894" s="3" t="s">
        <v>843</v>
      </c>
      <c r="D1894" s="4">
        <v>705.51</v>
      </c>
      <c r="E1894" s="4">
        <v>32.68</v>
      </c>
      <c r="F1894" s="4">
        <v>23056.08</v>
      </c>
      <c r="G1894" s="4">
        <v>32.68</v>
      </c>
      <c r="H1894" s="4">
        <v>23056.08</v>
      </c>
    </row>
    <row r="1895" s="1" customFormat="1" ht="14" spans="1:8">
      <c r="A1895" s="2">
        <v>6000062</v>
      </c>
      <c r="B1895" s="2" t="s">
        <v>2567</v>
      </c>
      <c r="C1895" s="3" t="s">
        <v>876</v>
      </c>
      <c r="D1895" s="4">
        <v>578.88</v>
      </c>
      <c r="E1895" s="4">
        <v>64.27</v>
      </c>
      <c r="F1895" s="4">
        <v>37204.62</v>
      </c>
      <c r="G1895" s="4">
        <v>64.27</v>
      </c>
      <c r="H1895" s="4">
        <v>37204.62</v>
      </c>
    </row>
    <row r="1896" s="1" customFormat="1" ht="14" spans="1:8">
      <c r="A1896" s="2">
        <v>6000067</v>
      </c>
      <c r="B1896" s="2" t="s">
        <v>2568</v>
      </c>
      <c r="C1896" s="3" t="s">
        <v>824</v>
      </c>
      <c r="D1896" s="4">
        <v>316.58</v>
      </c>
      <c r="E1896" s="4">
        <v>49.56</v>
      </c>
      <c r="F1896" s="4">
        <v>15689.71</v>
      </c>
      <c r="G1896" s="4">
        <v>49.56</v>
      </c>
      <c r="H1896" s="4">
        <v>15689.71</v>
      </c>
    </row>
    <row r="1897" s="1" customFormat="1" ht="14" spans="1:8">
      <c r="A1897" s="2">
        <v>6000086</v>
      </c>
      <c r="B1897" s="2" t="s">
        <v>2569</v>
      </c>
      <c r="C1897" s="3" t="s">
        <v>824</v>
      </c>
      <c r="D1897" s="4">
        <v>992.96</v>
      </c>
      <c r="E1897" s="4">
        <v>6</v>
      </c>
      <c r="F1897" s="4">
        <v>5957.7</v>
      </c>
      <c r="G1897" s="4">
        <v>6</v>
      </c>
      <c r="H1897" s="4">
        <v>5957.7</v>
      </c>
    </row>
    <row r="1898" s="1" customFormat="1" ht="14" spans="1:8">
      <c r="A1898" s="2">
        <v>6000087</v>
      </c>
      <c r="B1898" s="2" t="s">
        <v>2570</v>
      </c>
      <c r="C1898" s="3" t="s">
        <v>824</v>
      </c>
      <c r="D1898" s="4">
        <v>83.42</v>
      </c>
      <c r="E1898" s="4">
        <v>6.38</v>
      </c>
      <c r="F1898" s="4">
        <v>532.25</v>
      </c>
      <c r="G1898" s="4">
        <v>6.38</v>
      </c>
      <c r="H1898" s="4">
        <v>532.25</v>
      </c>
    </row>
    <row r="1899" s="1" customFormat="1" ht="14" spans="1:8">
      <c r="A1899" s="2">
        <v>6000088</v>
      </c>
      <c r="B1899" s="2" t="s">
        <v>2571</v>
      </c>
      <c r="C1899" s="3" t="s">
        <v>824</v>
      </c>
      <c r="D1899" s="4">
        <v>1457.28</v>
      </c>
      <c r="E1899" s="4">
        <v>12</v>
      </c>
      <c r="F1899" s="4">
        <v>17487.24</v>
      </c>
      <c r="G1899" s="4">
        <v>12</v>
      </c>
      <c r="H1899" s="4">
        <v>17487.24</v>
      </c>
    </row>
    <row r="1900" s="1" customFormat="1" ht="14" spans="1:8">
      <c r="A1900" s="2">
        <v>6000089</v>
      </c>
      <c r="B1900" s="2" t="s">
        <v>2572</v>
      </c>
      <c r="C1900" s="3" t="s">
        <v>824</v>
      </c>
      <c r="D1900" s="4">
        <v>127.64</v>
      </c>
      <c r="E1900" s="4">
        <v>13.21</v>
      </c>
      <c r="F1900" s="4">
        <v>1686.12</v>
      </c>
      <c r="G1900" s="4">
        <v>13.21</v>
      </c>
      <c r="H1900" s="4">
        <v>1686.12</v>
      </c>
    </row>
    <row r="1901" s="1" customFormat="1" ht="14" spans="1:8">
      <c r="A1901" s="2">
        <v>6000090</v>
      </c>
      <c r="B1901" s="2" t="s">
        <v>2573</v>
      </c>
      <c r="C1901" s="3" t="s">
        <v>824</v>
      </c>
      <c r="D1901" s="4">
        <v>6.03</v>
      </c>
      <c r="E1901" s="4">
        <v>17.41</v>
      </c>
      <c r="F1901" s="4">
        <v>104.98</v>
      </c>
      <c r="G1901" s="4">
        <v>17.41</v>
      </c>
      <c r="H1901" s="4">
        <v>104.98</v>
      </c>
    </row>
    <row r="1902" s="1" customFormat="1" ht="14" spans="1:8">
      <c r="A1902" s="2">
        <v>6000091</v>
      </c>
      <c r="B1902" s="2" t="s">
        <v>2574</v>
      </c>
      <c r="C1902" s="3" t="s">
        <v>824</v>
      </c>
      <c r="D1902" s="4">
        <v>55.29</v>
      </c>
      <c r="E1902" s="4">
        <v>14.73</v>
      </c>
      <c r="F1902" s="4">
        <v>814.42</v>
      </c>
      <c r="G1902" s="4">
        <v>14.73</v>
      </c>
      <c r="H1902" s="4">
        <v>814.42</v>
      </c>
    </row>
    <row r="1903" s="1" customFormat="1" ht="14" spans="1:8">
      <c r="A1903" s="2">
        <v>6000093</v>
      </c>
      <c r="B1903" s="2" t="s">
        <v>2575</v>
      </c>
      <c r="C1903" s="3" t="s">
        <v>1317</v>
      </c>
      <c r="D1903" s="4">
        <v>176.88</v>
      </c>
      <c r="E1903" s="4">
        <v>4.42</v>
      </c>
      <c r="F1903" s="4">
        <v>781.81</v>
      </c>
      <c r="G1903" s="4">
        <v>4.42</v>
      </c>
      <c r="H1903" s="4">
        <v>781.81</v>
      </c>
    </row>
    <row r="1904" s="1" customFormat="1" ht="14" spans="1:8">
      <c r="A1904" s="2">
        <v>6000094</v>
      </c>
      <c r="B1904" s="2" t="s">
        <v>2576</v>
      </c>
      <c r="C1904" s="3" t="s">
        <v>824</v>
      </c>
      <c r="D1904" s="4">
        <v>14445.88</v>
      </c>
      <c r="E1904" s="4">
        <v>9</v>
      </c>
      <c r="F1904" s="4">
        <v>130012.92</v>
      </c>
      <c r="G1904" s="4">
        <v>9</v>
      </c>
      <c r="H1904" s="4">
        <v>130012.92</v>
      </c>
    </row>
    <row r="1905" s="1" customFormat="1" ht="14" spans="1:8">
      <c r="A1905" s="2">
        <v>6000096</v>
      </c>
      <c r="B1905" s="2" t="s">
        <v>2577</v>
      </c>
      <c r="C1905" s="3" t="s">
        <v>824</v>
      </c>
      <c r="D1905" s="4">
        <v>2327.48</v>
      </c>
      <c r="E1905" s="4">
        <v>13.21</v>
      </c>
      <c r="F1905" s="4">
        <v>30746</v>
      </c>
      <c r="G1905" s="4">
        <v>13.21</v>
      </c>
      <c r="H1905" s="4">
        <v>30746</v>
      </c>
    </row>
    <row r="1906" s="1" customFormat="1" ht="14" spans="1:8">
      <c r="A1906" s="2">
        <v>6000111</v>
      </c>
      <c r="B1906" s="2" t="s">
        <v>2578</v>
      </c>
      <c r="C1906" s="3" t="s">
        <v>876</v>
      </c>
      <c r="D1906" s="4">
        <v>221.1</v>
      </c>
      <c r="E1906" s="4">
        <v>18.01</v>
      </c>
      <c r="F1906" s="4">
        <v>3982</v>
      </c>
      <c r="G1906" s="4">
        <v>18.01</v>
      </c>
      <c r="H1906" s="4">
        <v>3982</v>
      </c>
    </row>
    <row r="1907" s="1" customFormat="1" ht="14" spans="1:8">
      <c r="A1907" s="2">
        <v>6000116</v>
      </c>
      <c r="B1907" s="2" t="s">
        <v>2579</v>
      </c>
      <c r="C1907" s="3" t="s">
        <v>876</v>
      </c>
      <c r="D1907" s="4">
        <v>3237.11</v>
      </c>
      <c r="E1907" s="4">
        <v>17.95</v>
      </c>
      <c r="F1907" s="4">
        <v>58106.14</v>
      </c>
      <c r="G1907" s="4">
        <v>17.95</v>
      </c>
      <c r="H1907" s="4">
        <v>58106.14</v>
      </c>
    </row>
    <row r="1908" s="1" customFormat="1" ht="14" spans="1:8">
      <c r="A1908" s="2">
        <v>6000134</v>
      </c>
      <c r="B1908" s="2" t="s">
        <v>2580</v>
      </c>
      <c r="C1908" s="3" t="s">
        <v>876</v>
      </c>
      <c r="D1908" s="4">
        <v>56.28</v>
      </c>
      <c r="E1908" s="4">
        <v>194.87</v>
      </c>
      <c r="F1908" s="4">
        <v>10966.31</v>
      </c>
      <c r="G1908" s="4">
        <v>194.87</v>
      </c>
      <c r="H1908" s="4">
        <v>10966.31</v>
      </c>
    </row>
    <row r="1909" s="1" customFormat="1" ht="14" spans="1:8">
      <c r="A1909" s="2">
        <v>6100109</v>
      </c>
      <c r="B1909" s="2" t="s">
        <v>2581</v>
      </c>
      <c r="C1909" s="3" t="s">
        <v>52</v>
      </c>
      <c r="D1909" s="4">
        <v>658.31</v>
      </c>
      <c r="E1909" s="4">
        <v>47.33</v>
      </c>
      <c r="F1909" s="4">
        <v>31157.82</v>
      </c>
      <c r="G1909" s="4">
        <v>47.33</v>
      </c>
      <c r="H1909" s="4">
        <v>31157.82</v>
      </c>
    </row>
    <row r="1910" s="1" customFormat="1" ht="14" spans="1:8">
      <c r="A1910" s="2">
        <v>6111001</v>
      </c>
      <c r="B1910" s="2" t="s">
        <v>2582</v>
      </c>
      <c r="C1910" s="3" t="s">
        <v>876</v>
      </c>
      <c r="D1910" s="4">
        <v>18.09</v>
      </c>
      <c r="E1910" s="4">
        <v>417.93</v>
      </c>
      <c r="F1910" s="4">
        <v>7560.35</v>
      </c>
      <c r="G1910" s="4">
        <v>417.93</v>
      </c>
      <c r="H1910" s="4">
        <v>7560.35</v>
      </c>
    </row>
    <row r="1911" s="1" customFormat="1" ht="14" spans="1:8">
      <c r="A1911" s="2">
        <v>6111003</v>
      </c>
      <c r="B1911" s="2" t="s">
        <v>2583</v>
      </c>
      <c r="C1911" s="3" t="s">
        <v>876</v>
      </c>
      <c r="D1911" s="4">
        <v>54.27</v>
      </c>
      <c r="E1911" s="4">
        <v>108.9</v>
      </c>
      <c r="F1911" s="4">
        <v>5910</v>
      </c>
      <c r="G1911" s="4">
        <v>108.9</v>
      </c>
      <c r="H1911" s="4">
        <v>5910</v>
      </c>
    </row>
    <row r="1912" s="1" customFormat="1" ht="14" spans="1:8">
      <c r="A1912" s="2">
        <v>6111005</v>
      </c>
      <c r="B1912" s="2" t="s">
        <v>2584</v>
      </c>
      <c r="C1912" s="3" t="s">
        <v>725</v>
      </c>
      <c r="D1912" s="4">
        <v>108.54</v>
      </c>
      <c r="E1912" s="4">
        <v>39.26</v>
      </c>
      <c r="F1912" s="4">
        <v>4261.29</v>
      </c>
      <c r="G1912" s="4">
        <v>39.26</v>
      </c>
      <c r="H1912" s="4">
        <v>4261.29</v>
      </c>
    </row>
    <row r="1913" s="1" customFormat="1" ht="14" spans="1:8">
      <c r="A1913" s="2">
        <v>6111006</v>
      </c>
      <c r="B1913" s="2" t="s">
        <v>2585</v>
      </c>
      <c r="C1913" s="3" t="s">
        <v>725</v>
      </c>
      <c r="D1913" s="4">
        <v>108.54</v>
      </c>
      <c r="E1913" s="4">
        <v>16.76</v>
      </c>
      <c r="F1913" s="4">
        <v>1819.14</v>
      </c>
      <c r="G1913" s="4">
        <v>16.76</v>
      </c>
      <c r="H1913" s="4">
        <v>1819.14</v>
      </c>
    </row>
    <row r="1914" s="1" customFormat="1" ht="14" spans="1:8">
      <c r="A1914" s="2">
        <v>6111024</v>
      </c>
      <c r="B1914" s="2" t="s">
        <v>2586</v>
      </c>
      <c r="C1914" s="3" t="s">
        <v>876</v>
      </c>
      <c r="D1914" s="4">
        <v>18.09</v>
      </c>
      <c r="E1914" s="4">
        <v>73.2</v>
      </c>
      <c r="F1914" s="4">
        <v>1324.19</v>
      </c>
      <c r="G1914" s="4">
        <v>73.2</v>
      </c>
      <c r="H1914" s="4">
        <v>1324.19</v>
      </c>
    </row>
    <row r="1915" s="1" customFormat="1" ht="14" spans="1:8">
      <c r="A1915" s="2">
        <v>6111039</v>
      </c>
      <c r="B1915" s="2" t="s">
        <v>2587</v>
      </c>
      <c r="C1915" s="3" t="s">
        <v>725</v>
      </c>
      <c r="D1915" s="4">
        <v>36.18</v>
      </c>
      <c r="E1915" s="4">
        <v>40.95</v>
      </c>
      <c r="F1915" s="4">
        <v>1481.58</v>
      </c>
      <c r="G1915" s="4">
        <v>40.95</v>
      </c>
      <c r="H1915" s="4">
        <v>1481.58</v>
      </c>
    </row>
    <row r="1916" s="1" customFormat="1" ht="14" spans="1:8">
      <c r="A1916" s="2">
        <v>6111044</v>
      </c>
      <c r="B1916" s="2" t="s">
        <v>2588</v>
      </c>
      <c r="C1916" s="3" t="s">
        <v>725</v>
      </c>
      <c r="D1916" s="4">
        <v>90.45</v>
      </c>
      <c r="E1916" s="4">
        <v>15.86</v>
      </c>
      <c r="F1916" s="4">
        <v>1434.54</v>
      </c>
      <c r="G1916" s="4">
        <v>15.86</v>
      </c>
      <c r="H1916" s="4">
        <v>1434.54</v>
      </c>
    </row>
    <row r="1917" s="1" customFormat="1" ht="14" spans="1:8">
      <c r="A1917" s="2">
        <v>6111052</v>
      </c>
      <c r="B1917" s="2" t="s">
        <v>2589</v>
      </c>
      <c r="C1917" s="3" t="s">
        <v>876</v>
      </c>
      <c r="D1917" s="4">
        <v>36.18</v>
      </c>
      <c r="E1917" s="4">
        <v>1792.82</v>
      </c>
      <c r="F1917" s="4">
        <v>64864.23</v>
      </c>
      <c r="G1917" s="4">
        <v>1792.82</v>
      </c>
      <c r="H1917" s="4">
        <v>64864.23</v>
      </c>
    </row>
    <row r="1918" s="1" customFormat="1" ht="14" spans="1:8">
      <c r="A1918" s="2">
        <v>6111055</v>
      </c>
      <c r="B1918" s="2" t="s">
        <v>2590</v>
      </c>
      <c r="C1918" s="3" t="s">
        <v>876</v>
      </c>
      <c r="D1918" s="4">
        <v>108.54</v>
      </c>
      <c r="E1918" s="4">
        <v>243.44</v>
      </c>
      <c r="F1918" s="4">
        <v>26422.98</v>
      </c>
      <c r="G1918" s="4">
        <v>243.44</v>
      </c>
      <c r="H1918" s="4">
        <v>26422.98</v>
      </c>
    </row>
    <row r="1919" s="1" customFormat="1" ht="14" spans="1:8">
      <c r="A1919" s="2">
        <v>6122004</v>
      </c>
      <c r="B1919" s="2" t="s">
        <v>2591</v>
      </c>
      <c r="C1919" s="3" t="s">
        <v>876</v>
      </c>
      <c r="D1919" s="4">
        <v>54.27</v>
      </c>
      <c r="E1919" s="4">
        <v>446.57</v>
      </c>
      <c r="F1919" s="4">
        <v>24235.34</v>
      </c>
      <c r="G1919" s="4">
        <v>446.57</v>
      </c>
      <c r="H1919" s="4">
        <v>24235.34</v>
      </c>
    </row>
    <row r="1920" s="1" customFormat="1" ht="14" spans="1:8">
      <c r="A1920" s="2">
        <v>6122005</v>
      </c>
      <c r="B1920" s="2" t="s">
        <v>2592</v>
      </c>
      <c r="C1920" s="3" t="s">
        <v>876</v>
      </c>
      <c r="D1920" s="4">
        <v>0</v>
      </c>
      <c r="E1920" s="4">
        <v>551.98</v>
      </c>
      <c r="F1920" s="4">
        <v>0</v>
      </c>
      <c r="G1920" s="4">
        <v>551.98</v>
      </c>
      <c r="H1920" s="4">
        <v>0</v>
      </c>
    </row>
    <row r="1921" s="1" customFormat="1" ht="14" spans="1:8">
      <c r="A1921" s="2">
        <v>6122008</v>
      </c>
      <c r="B1921" s="2" t="s">
        <v>2593</v>
      </c>
      <c r="C1921" s="3" t="s">
        <v>725</v>
      </c>
      <c r="D1921" s="4">
        <v>9.05</v>
      </c>
      <c r="E1921" s="4">
        <v>33.19</v>
      </c>
      <c r="F1921" s="4">
        <v>300.37</v>
      </c>
      <c r="G1921" s="4">
        <v>33.19</v>
      </c>
      <c r="H1921" s="4">
        <v>300.37</v>
      </c>
    </row>
    <row r="1922" s="1" customFormat="1" ht="14" spans="1:8">
      <c r="A1922" s="2">
        <v>6122009</v>
      </c>
      <c r="B1922" s="2" t="s">
        <v>2594</v>
      </c>
      <c r="C1922" s="3" t="s">
        <v>725</v>
      </c>
      <c r="D1922" s="4">
        <v>81.41</v>
      </c>
      <c r="E1922" s="4">
        <v>49.77</v>
      </c>
      <c r="F1922" s="4">
        <v>4051.78</v>
      </c>
      <c r="G1922" s="4">
        <v>49.77</v>
      </c>
      <c r="H1922" s="4">
        <v>4051.78</v>
      </c>
    </row>
    <row r="1923" s="1" customFormat="1" ht="14" spans="1:8">
      <c r="A1923" s="2">
        <v>6133003</v>
      </c>
      <c r="B1923" s="2" t="s">
        <v>2595</v>
      </c>
      <c r="C1923" s="3" t="s">
        <v>876</v>
      </c>
      <c r="D1923" s="4">
        <v>18.09</v>
      </c>
      <c r="E1923" s="4">
        <v>222.49</v>
      </c>
      <c r="F1923" s="4">
        <v>4024.84</v>
      </c>
      <c r="G1923" s="4">
        <v>222.49</v>
      </c>
      <c r="H1923" s="4">
        <v>4024.84</v>
      </c>
    </row>
    <row r="1924" s="1" customFormat="1" ht="14" spans="1:8">
      <c r="A1924" s="2">
        <v>6144010</v>
      </c>
      <c r="B1924" s="2" t="s">
        <v>2596</v>
      </c>
      <c r="C1924" s="3" t="s">
        <v>876</v>
      </c>
      <c r="D1924" s="4">
        <v>0</v>
      </c>
      <c r="E1924" s="4">
        <v>863.67</v>
      </c>
      <c r="F1924" s="4">
        <v>0</v>
      </c>
      <c r="G1924" s="4">
        <v>863.67</v>
      </c>
      <c r="H1924" s="4">
        <v>0</v>
      </c>
    </row>
    <row r="1925" s="1" customFormat="1" ht="14" spans="1:8">
      <c r="A1925" s="2">
        <v>6144113</v>
      </c>
      <c r="B1925" s="2" t="s">
        <v>2597</v>
      </c>
      <c r="C1925" s="3" t="s">
        <v>876</v>
      </c>
      <c r="D1925" s="4">
        <v>0</v>
      </c>
      <c r="E1925" s="4">
        <v>516.03</v>
      </c>
      <c r="F1925" s="4">
        <v>0</v>
      </c>
      <c r="G1925" s="4">
        <v>516.03</v>
      </c>
      <c r="H1925" s="4">
        <v>0</v>
      </c>
    </row>
    <row r="1926" s="1" customFormat="1" ht="14" spans="1:8">
      <c r="A1926" s="2">
        <v>6144210</v>
      </c>
      <c r="B1926" s="2" t="s">
        <v>2598</v>
      </c>
      <c r="C1926" s="3" t="s">
        <v>824</v>
      </c>
      <c r="D1926" s="4">
        <v>176.88</v>
      </c>
      <c r="E1926" s="4">
        <v>61.94</v>
      </c>
      <c r="F1926" s="4">
        <v>10955.96</v>
      </c>
      <c r="G1926" s="4">
        <v>61.94</v>
      </c>
      <c r="H1926" s="4">
        <v>10955.96</v>
      </c>
    </row>
    <row r="1927" s="1" customFormat="1" ht="14" spans="1:8">
      <c r="A1927" s="2">
        <v>6144211</v>
      </c>
      <c r="B1927" s="2" t="s">
        <v>2599</v>
      </c>
      <c r="C1927" s="3" t="s">
        <v>876</v>
      </c>
      <c r="D1927" s="4">
        <v>0</v>
      </c>
      <c r="E1927" s="4">
        <v>17.53</v>
      </c>
      <c r="F1927" s="4">
        <v>0</v>
      </c>
      <c r="G1927" s="4">
        <v>17.53</v>
      </c>
      <c r="H1927" s="4">
        <v>0</v>
      </c>
    </row>
    <row r="1928" s="1" customFormat="1" ht="14" spans="1:8">
      <c r="A1928" s="2">
        <v>6144244</v>
      </c>
      <c r="B1928" s="2" t="s">
        <v>2600</v>
      </c>
      <c r="C1928" s="3" t="s">
        <v>1317</v>
      </c>
      <c r="D1928" s="4">
        <v>0</v>
      </c>
      <c r="E1928" s="4">
        <v>18.31</v>
      </c>
      <c r="F1928" s="4">
        <v>0</v>
      </c>
      <c r="G1928" s="4">
        <v>18.31</v>
      </c>
      <c r="H1928" s="4">
        <v>0</v>
      </c>
    </row>
    <row r="1929" s="1" customFormat="1" ht="14" spans="1:8">
      <c r="A1929" s="2">
        <v>6144313</v>
      </c>
      <c r="B1929" s="2" t="s">
        <v>2601</v>
      </c>
      <c r="C1929" s="3" t="s">
        <v>843</v>
      </c>
      <c r="D1929" s="4">
        <v>1628.1</v>
      </c>
      <c r="E1929" s="4">
        <v>107.97</v>
      </c>
      <c r="F1929" s="4">
        <v>175785.96</v>
      </c>
      <c r="G1929" s="4">
        <v>107.97</v>
      </c>
      <c r="H1929" s="4">
        <v>175785.96</v>
      </c>
    </row>
    <row r="1930" s="1" customFormat="1" ht="14" spans="1:8">
      <c r="A1930" s="2">
        <v>6144418</v>
      </c>
      <c r="B1930" s="2" t="s">
        <v>2602</v>
      </c>
      <c r="C1930" s="3" t="s">
        <v>876</v>
      </c>
      <c r="D1930" s="4">
        <v>633.41</v>
      </c>
      <c r="E1930" s="4">
        <v>1929.37</v>
      </c>
      <c r="F1930" s="4">
        <v>1222086.11</v>
      </c>
      <c r="G1930" s="4">
        <v>1929.37</v>
      </c>
      <c r="H1930" s="4">
        <v>1222086.11</v>
      </c>
    </row>
    <row r="1931" s="1" customFormat="1" ht="14" spans="1:8">
      <c r="A1931" s="2">
        <v>6155004</v>
      </c>
      <c r="B1931" s="2" t="s">
        <v>2603</v>
      </c>
      <c r="C1931" s="3" t="s">
        <v>876</v>
      </c>
      <c r="D1931" s="4">
        <v>0</v>
      </c>
      <c r="E1931" s="4">
        <v>228.51</v>
      </c>
      <c r="F1931" s="4">
        <v>0</v>
      </c>
      <c r="G1931" s="4">
        <v>228.51</v>
      </c>
      <c r="H1931" s="4">
        <v>0</v>
      </c>
    </row>
    <row r="1932" s="1" customFormat="1" ht="14" spans="1:8">
      <c r="A1932" s="2">
        <v>6155017</v>
      </c>
      <c r="B1932" s="2" t="s">
        <v>2604</v>
      </c>
      <c r="C1932" s="3" t="s">
        <v>843</v>
      </c>
      <c r="D1932" s="4">
        <v>72.36</v>
      </c>
      <c r="E1932" s="4">
        <v>10.08</v>
      </c>
      <c r="F1932" s="4">
        <v>729.39</v>
      </c>
      <c r="G1932" s="4">
        <v>10.08</v>
      </c>
      <c r="H1932" s="4">
        <v>729.39</v>
      </c>
    </row>
    <row r="1933" s="1" customFormat="1" ht="14" spans="1:8">
      <c r="A1933" s="2">
        <v>6155020</v>
      </c>
      <c r="B1933" s="2" t="s">
        <v>2605</v>
      </c>
      <c r="C1933" s="3" t="s">
        <v>843</v>
      </c>
      <c r="D1933" s="4">
        <v>72.36</v>
      </c>
      <c r="E1933" s="4">
        <v>18.95</v>
      </c>
      <c r="F1933" s="4">
        <v>1371.22</v>
      </c>
      <c r="G1933" s="4">
        <v>18.95</v>
      </c>
      <c r="H1933" s="4">
        <v>1371.22</v>
      </c>
    </row>
    <row r="1934" s="1" customFormat="1" ht="14" spans="1:8">
      <c r="A1934" s="2">
        <v>6155021</v>
      </c>
      <c r="B1934" s="2" t="s">
        <v>2606</v>
      </c>
      <c r="C1934" s="3" t="s">
        <v>843</v>
      </c>
      <c r="D1934" s="4">
        <v>0</v>
      </c>
      <c r="E1934" s="4">
        <v>89.78</v>
      </c>
      <c r="F1934" s="4">
        <v>0</v>
      </c>
      <c r="G1934" s="4">
        <v>89.78</v>
      </c>
      <c r="H1934" s="4">
        <v>0</v>
      </c>
    </row>
    <row r="1935" s="1" customFormat="1" ht="14" spans="1:8">
      <c r="A1935" s="2">
        <v>6155113</v>
      </c>
      <c r="B1935" s="2" t="s">
        <v>2607</v>
      </c>
      <c r="C1935" s="3" t="s">
        <v>876</v>
      </c>
      <c r="D1935" s="4">
        <v>164.16</v>
      </c>
      <c r="E1935" s="4">
        <v>8.45</v>
      </c>
      <c r="F1935" s="4">
        <v>1387.15</v>
      </c>
      <c r="G1935" s="4">
        <v>8.45</v>
      </c>
      <c r="H1935" s="4">
        <v>1387.15</v>
      </c>
    </row>
    <row r="1936" s="1" customFormat="1" ht="14" spans="1:8">
      <c r="A1936" s="2">
        <v>6155115</v>
      </c>
      <c r="B1936" s="2" t="s">
        <v>2608</v>
      </c>
      <c r="C1936" s="3" t="s">
        <v>876</v>
      </c>
      <c r="D1936" s="4">
        <v>562.8</v>
      </c>
      <c r="E1936" s="4">
        <v>11.19</v>
      </c>
      <c r="F1936" s="4">
        <v>6297.74</v>
      </c>
      <c r="G1936" s="4">
        <v>11.19</v>
      </c>
      <c r="H1936" s="4">
        <v>6297.74</v>
      </c>
    </row>
    <row r="1937" s="1" customFormat="1" ht="14" spans="1:8">
      <c r="A1937" s="2">
        <v>6155116</v>
      </c>
      <c r="B1937" s="2" t="s">
        <v>2609</v>
      </c>
      <c r="C1937" s="3" t="s">
        <v>876</v>
      </c>
      <c r="D1937" s="4">
        <v>562.8</v>
      </c>
      <c r="E1937" s="4">
        <v>17</v>
      </c>
      <c r="F1937" s="4">
        <v>9567.6</v>
      </c>
      <c r="G1937" s="4">
        <v>17</v>
      </c>
      <c r="H1937" s="4">
        <v>9567.6</v>
      </c>
    </row>
    <row r="1938" s="1" customFormat="1" ht="14" spans="1:8">
      <c r="A1938" s="2">
        <v>6155119</v>
      </c>
      <c r="B1938" s="2" t="s">
        <v>2610</v>
      </c>
      <c r="C1938" s="3" t="s">
        <v>876</v>
      </c>
      <c r="D1938" s="4">
        <v>281.4</v>
      </c>
      <c r="E1938" s="4">
        <v>28.83</v>
      </c>
      <c r="F1938" s="4">
        <v>8112.77</v>
      </c>
      <c r="G1938" s="4">
        <v>28.83</v>
      </c>
      <c r="H1938" s="4">
        <v>8112.77</v>
      </c>
    </row>
    <row r="1939" s="1" customFormat="1" ht="14" spans="1:8">
      <c r="A1939" s="2">
        <v>6155211</v>
      </c>
      <c r="B1939" s="2" t="s">
        <v>2611</v>
      </c>
      <c r="C1939" s="3" t="s">
        <v>2612</v>
      </c>
      <c r="D1939" s="4">
        <v>43.56</v>
      </c>
      <c r="E1939" s="4">
        <v>141.49</v>
      </c>
      <c r="F1939" s="4">
        <v>6163.29</v>
      </c>
      <c r="G1939" s="4">
        <v>141.49</v>
      </c>
      <c r="H1939" s="4">
        <v>6163.29</v>
      </c>
    </row>
    <row r="1940" s="1" customFormat="1" ht="14" spans="1:8">
      <c r="A1940" s="2">
        <v>6155212</v>
      </c>
      <c r="B1940" s="2" t="s">
        <v>2613</v>
      </c>
      <c r="C1940" s="3" t="s">
        <v>2612</v>
      </c>
      <c r="D1940" s="4">
        <v>43.56</v>
      </c>
      <c r="E1940" s="4">
        <v>78.31</v>
      </c>
      <c r="F1940" s="4">
        <v>3411.18</v>
      </c>
      <c r="G1940" s="4">
        <v>78.31</v>
      </c>
      <c r="H1940" s="4">
        <v>3411.18</v>
      </c>
    </row>
    <row r="1941" s="1" customFormat="1" ht="14" spans="1:8">
      <c r="A1941" s="2">
        <v>6155213</v>
      </c>
      <c r="B1941" s="2" t="s">
        <v>2614</v>
      </c>
      <c r="C1941" s="3" t="s">
        <v>2612</v>
      </c>
      <c r="D1941" s="4">
        <v>43.56</v>
      </c>
      <c r="E1941" s="4">
        <v>116.07</v>
      </c>
      <c r="F1941" s="4">
        <v>5056.02</v>
      </c>
      <c r="G1941" s="4">
        <v>116.07</v>
      </c>
      <c r="H1941" s="4">
        <v>5056.02</v>
      </c>
    </row>
    <row r="1942" s="1" customFormat="1" ht="14" spans="1:8">
      <c r="A1942" s="2">
        <v>6155215</v>
      </c>
      <c r="B1942" s="2" t="s">
        <v>2615</v>
      </c>
      <c r="C1942" s="3" t="s">
        <v>1317</v>
      </c>
      <c r="D1942" s="4">
        <v>299.88</v>
      </c>
      <c r="E1942" s="4">
        <v>10.54</v>
      </c>
      <c r="F1942" s="4">
        <v>3160.74</v>
      </c>
      <c r="G1942" s="4">
        <v>10.54</v>
      </c>
      <c r="H1942" s="4">
        <v>3160.74</v>
      </c>
    </row>
    <row r="1943" s="1" customFormat="1" ht="14" spans="1:8">
      <c r="A1943" s="2">
        <v>6155216</v>
      </c>
      <c r="B1943" s="2" t="s">
        <v>2616</v>
      </c>
      <c r="C1943" s="3" t="s">
        <v>1317</v>
      </c>
      <c r="D1943" s="4">
        <v>299.88</v>
      </c>
      <c r="E1943" s="4">
        <v>4.67</v>
      </c>
      <c r="F1943" s="4">
        <v>1400.43</v>
      </c>
      <c r="G1943" s="4">
        <v>4.67</v>
      </c>
      <c r="H1943" s="4">
        <v>1400.43</v>
      </c>
    </row>
    <row r="1944" s="1" customFormat="1" ht="14" spans="1:8">
      <c r="A1944" s="2">
        <v>6166036</v>
      </c>
      <c r="B1944" s="2" t="s">
        <v>2617</v>
      </c>
      <c r="C1944" s="3" t="s">
        <v>679</v>
      </c>
      <c r="D1944" s="4">
        <v>960.84</v>
      </c>
      <c r="E1944" s="4">
        <v>23.57</v>
      </c>
      <c r="F1944" s="4">
        <v>22647</v>
      </c>
      <c r="G1944" s="4">
        <v>23.57</v>
      </c>
      <c r="H1944" s="4">
        <v>22647</v>
      </c>
    </row>
    <row r="1945" s="1" customFormat="1" ht="14" spans="1:8">
      <c r="A1945" s="2">
        <v>6177045</v>
      </c>
      <c r="B1945" s="2" t="s">
        <v>2618</v>
      </c>
      <c r="C1945" s="3" t="s">
        <v>725</v>
      </c>
      <c r="D1945" s="4">
        <v>36.18</v>
      </c>
      <c r="E1945" s="4">
        <v>45.44</v>
      </c>
      <c r="F1945" s="4">
        <v>1644.03</v>
      </c>
      <c r="G1945" s="4">
        <v>45.44</v>
      </c>
      <c r="H1945" s="4">
        <v>1644.03</v>
      </c>
    </row>
    <row r="1946" s="1" customFormat="1" ht="14" spans="1:8">
      <c r="A1946" s="2">
        <v>6177222</v>
      </c>
      <c r="B1946" s="2" t="s">
        <v>2619</v>
      </c>
      <c r="C1946" s="3" t="s">
        <v>876</v>
      </c>
      <c r="D1946" s="4">
        <v>730</v>
      </c>
      <c r="E1946" s="4">
        <v>158.86</v>
      </c>
      <c r="F1946" s="4">
        <v>115967.8</v>
      </c>
      <c r="G1946" s="4">
        <v>158.86</v>
      </c>
      <c r="H1946" s="4">
        <v>115967.8</v>
      </c>
    </row>
    <row r="1947" s="1" customFormat="1" ht="14" spans="1:8">
      <c r="A1947" s="2">
        <v>6177271</v>
      </c>
      <c r="B1947" s="2" t="s">
        <v>2620</v>
      </c>
      <c r="C1947" s="3" t="s">
        <v>824</v>
      </c>
      <c r="D1947" s="4">
        <v>908.09</v>
      </c>
      <c r="E1947" s="4">
        <v>162.04</v>
      </c>
      <c r="F1947" s="4">
        <v>147146.9</v>
      </c>
      <c r="G1947" s="4">
        <v>162.04</v>
      </c>
      <c r="H1947" s="4">
        <v>147146.9</v>
      </c>
    </row>
    <row r="1948" s="1" customFormat="1" ht="14" spans="1:8">
      <c r="A1948" s="2">
        <v>6177321</v>
      </c>
      <c r="B1948" s="2" t="s">
        <v>2621</v>
      </c>
      <c r="C1948" s="3" t="s">
        <v>725</v>
      </c>
      <c r="D1948" s="4">
        <v>12029.85</v>
      </c>
      <c r="E1948" s="4">
        <v>0.72</v>
      </c>
      <c r="F1948" s="4">
        <v>8661.49</v>
      </c>
      <c r="G1948" s="4">
        <v>0.72</v>
      </c>
      <c r="H1948" s="4">
        <v>8661.49</v>
      </c>
    </row>
    <row r="1949" s="1" customFormat="1" ht="14" spans="1:8">
      <c r="A1949" s="2">
        <v>6177341</v>
      </c>
      <c r="B1949" s="2" t="s">
        <v>2622</v>
      </c>
      <c r="C1949" s="3" t="s">
        <v>824</v>
      </c>
      <c r="D1949" s="4">
        <v>930.24</v>
      </c>
      <c r="E1949" s="4">
        <v>2.79</v>
      </c>
      <c r="F1949" s="4">
        <v>2595.38</v>
      </c>
      <c r="G1949" s="4">
        <v>2.79</v>
      </c>
      <c r="H1949" s="4">
        <v>2595.38</v>
      </c>
    </row>
    <row r="1950" s="1" customFormat="1" ht="14" spans="1:8">
      <c r="A1950" s="2">
        <v>6177378</v>
      </c>
      <c r="B1950" s="2" t="s">
        <v>2623</v>
      </c>
      <c r="C1950" s="3" t="s">
        <v>843</v>
      </c>
      <c r="D1950" s="4">
        <v>633.6</v>
      </c>
      <c r="E1950" s="4">
        <v>30.35</v>
      </c>
      <c r="F1950" s="4">
        <v>19229.76</v>
      </c>
      <c r="G1950" s="4">
        <v>30.35</v>
      </c>
      <c r="H1950" s="4">
        <v>19229.76</v>
      </c>
    </row>
    <row r="1951" s="1" customFormat="1" ht="14" spans="1:8">
      <c r="A1951" s="2">
        <v>6177481</v>
      </c>
      <c r="B1951" s="2" t="s">
        <v>2624</v>
      </c>
      <c r="C1951" s="3" t="s">
        <v>472</v>
      </c>
      <c r="D1951" s="4">
        <v>0</v>
      </c>
      <c r="E1951" s="4">
        <v>23.88</v>
      </c>
      <c r="F1951" s="4">
        <v>0</v>
      </c>
      <c r="G1951" s="4">
        <v>23.88</v>
      </c>
      <c r="H1951" s="4">
        <v>0</v>
      </c>
    </row>
    <row r="1952" s="1" customFormat="1" ht="14" spans="1:8">
      <c r="A1952" s="2">
        <v>6177501</v>
      </c>
      <c r="B1952" s="2" t="s">
        <v>2625</v>
      </c>
      <c r="C1952" s="3" t="s">
        <v>824</v>
      </c>
      <c r="D1952" s="4">
        <v>83.42</v>
      </c>
      <c r="E1952" s="4">
        <v>1.09</v>
      </c>
      <c r="F1952" s="4">
        <v>90.93</v>
      </c>
      <c r="G1952" s="4">
        <v>1.09</v>
      </c>
      <c r="H1952" s="4">
        <v>90.93</v>
      </c>
    </row>
    <row r="1953" s="1" customFormat="1" ht="14" spans="1:8">
      <c r="A1953" s="2">
        <v>6177556</v>
      </c>
      <c r="B1953" s="2" t="s">
        <v>2626</v>
      </c>
      <c r="C1953" s="3" t="s">
        <v>843</v>
      </c>
      <c r="D1953" s="4">
        <v>63.63</v>
      </c>
      <c r="E1953" s="4">
        <v>65.6</v>
      </c>
      <c r="F1953" s="4">
        <v>4174.13</v>
      </c>
      <c r="G1953" s="4">
        <v>65.6</v>
      </c>
      <c r="H1953" s="4">
        <v>4174.13</v>
      </c>
    </row>
    <row r="1954" s="1" customFormat="1" ht="14" spans="1:8">
      <c r="A1954" s="2">
        <v>6177560</v>
      </c>
      <c r="B1954" s="2" t="s">
        <v>2627</v>
      </c>
      <c r="C1954" s="3" t="s">
        <v>843</v>
      </c>
      <c r="D1954" s="4">
        <v>3256.2</v>
      </c>
      <c r="E1954" s="4">
        <v>4.2</v>
      </c>
      <c r="F1954" s="4">
        <v>13676.04</v>
      </c>
      <c r="G1954" s="4">
        <v>4.2</v>
      </c>
      <c r="H1954" s="4">
        <v>13676.04</v>
      </c>
    </row>
    <row r="1955" s="1" customFormat="1" ht="14" spans="1:8">
      <c r="A1955" s="2">
        <v>6177573</v>
      </c>
      <c r="B1955" s="2" t="s">
        <v>2628</v>
      </c>
      <c r="C1955" s="3" t="s">
        <v>843</v>
      </c>
      <c r="D1955" s="4">
        <v>1021.61</v>
      </c>
      <c r="E1955" s="4">
        <v>1.21</v>
      </c>
      <c r="F1955" s="4">
        <v>1236.16</v>
      </c>
      <c r="G1955" s="4">
        <v>1.21</v>
      </c>
      <c r="H1955" s="4">
        <v>1236.16</v>
      </c>
    </row>
    <row r="1956" s="1" customFormat="1" ht="14" spans="1:8">
      <c r="A1956" s="2">
        <v>6177575</v>
      </c>
      <c r="B1956" s="2" t="s">
        <v>2629</v>
      </c>
      <c r="C1956" s="3" t="s">
        <v>843</v>
      </c>
      <c r="D1956" s="4">
        <v>200.34</v>
      </c>
      <c r="E1956" s="4">
        <v>19.11</v>
      </c>
      <c r="F1956" s="4">
        <v>3828.5</v>
      </c>
      <c r="G1956" s="4">
        <v>19.11</v>
      </c>
      <c r="H1956" s="4">
        <v>3828.5</v>
      </c>
    </row>
    <row r="1957" s="1" customFormat="1" ht="14" spans="1:8">
      <c r="A1957" s="2">
        <v>6177701</v>
      </c>
      <c r="B1957" s="2" t="s">
        <v>2630</v>
      </c>
      <c r="C1957" s="3" t="s">
        <v>725</v>
      </c>
      <c r="D1957" s="4">
        <v>135.96</v>
      </c>
      <c r="E1957" s="4">
        <v>70.84</v>
      </c>
      <c r="F1957" s="4">
        <v>9631.4</v>
      </c>
      <c r="G1957" s="4">
        <v>70.84</v>
      </c>
      <c r="H1957" s="4">
        <v>9631.4</v>
      </c>
    </row>
    <row r="1958" s="1" customFormat="1" ht="14" spans="1:8">
      <c r="A1958" s="2">
        <v>6200051</v>
      </c>
      <c r="B1958" s="2" t="s">
        <v>2631</v>
      </c>
      <c r="C1958" s="3" t="s">
        <v>824</v>
      </c>
      <c r="D1958" s="4">
        <v>46.35</v>
      </c>
      <c r="E1958" s="4">
        <v>5.03</v>
      </c>
      <c r="F1958" s="4">
        <v>233.13</v>
      </c>
      <c r="G1958" s="4">
        <v>5.03</v>
      </c>
      <c r="H1958" s="4">
        <v>233.13</v>
      </c>
    </row>
    <row r="1959" s="1" customFormat="1" ht="14" spans="1:8">
      <c r="A1959" s="2">
        <v>6200080</v>
      </c>
      <c r="B1959" s="2" t="s">
        <v>2632</v>
      </c>
      <c r="C1959" s="3" t="s">
        <v>824</v>
      </c>
      <c r="D1959" s="4">
        <v>424.2</v>
      </c>
      <c r="E1959" s="4">
        <v>124.63</v>
      </c>
      <c r="F1959" s="4">
        <v>52868.04</v>
      </c>
      <c r="G1959" s="4">
        <v>124.63</v>
      </c>
      <c r="H1959" s="4">
        <v>52868.04</v>
      </c>
    </row>
    <row r="1960" s="1" customFormat="1" ht="14" spans="1:8">
      <c r="A1960" s="2">
        <v>6200090</v>
      </c>
      <c r="B1960" s="2" t="s">
        <v>2633</v>
      </c>
      <c r="C1960" s="3" t="s">
        <v>1484</v>
      </c>
      <c r="D1960" s="4">
        <v>582.91</v>
      </c>
      <c r="E1960" s="4">
        <v>728.87</v>
      </c>
      <c r="F1960" s="4">
        <v>424869.24</v>
      </c>
      <c r="G1960" s="4">
        <v>728.87</v>
      </c>
      <c r="H1960" s="4">
        <v>424869.24</v>
      </c>
    </row>
    <row r="1961" s="1" customFormat="1" ht="14" spans="1:8">
      <c r="A1961" s="2">
        <v>6200121</v>
      </c>
      <c r="B1961" s="2" t="s">
        <v>2634</v>
      </c>
      <c r="C1961" s="3" t="s">
        <v>824</v>
      </c>
      <c r="D1961" s="4">
        <v>181.8</v>
      </c>
      <c r="E1961" s="4">
        <v>1.43</v>
      </c>
      <c r="F1961" s="4">
        <v>259.98</v>
      </c>
      <c r="G1961" s="4">
        <v>1.43</v>
      </c>
      <c r="H1961" s="4">
        <v>259.98</v>
      </c>
    </row>
    <row r="1962" s="1" customFormat="1" ht="14" spans="1:8">
      <c r="A1962" s="2">
        <v>6200122</v>
      </c>
      <c r="B1962" s="2" t="s">
        <v>2635</v>
      </c>
      <c r="C1962" s="3" t="s">
        <v>824</v>
      </c>
      <c r="D1962" s="4">
        <v>181.8</v>
      </c>
      <c r="E1962" s="4">
        <v>1.41</v>
      </c>
      <c r="F1962" s="4">
        <v>256.34</v>
      </c>
      <c r="G1962" s="4">
        <v>1.41</v>
      </c>
      <c r="H1962" s="4">
        <v>256.34</v>
      </c>
    </row>
    <row r="1963" s="1" customFormat="1" ht="14" spans="1:8">
      <c r="A1963" s="2">
        <v>6200123</v>
      </c>
      <c r="B1963" s="2" t="s">
        <v>2636</v>
      </c>
      <c r="C1963" s="3" t="s">
        <v>824</v>
      </c>
      <c r="D1963" s="4">
        <v>90.9</v>
      </c>
      <c r="E1963" s="4">
        <v>1.44</v>
      </c>
      <c r="F1963" s="4">
        <v>130.89</v>
      </c>
      <c r="G1963" s="4">
        <v>1.44</v>
      </c>
      <c r="H1963" s="4">
        <v>130.89</v>
      </c>
    </row>
    <row r="1964" s="1" customFormat="1" ht="14" spans="1:8">
      <c r="A1964" s="2">
        <v>6200124</v>
      </c>
      <c r="B1964" s="2" t="s">
        <v>2637</v>
      </c>
      <c r="C1964" s="3" t="s">
        <v>824</v>
      </c>
      <c r="D1964" s="4">
        <v>18.18</v>
      </c>
      <c r="E1964" s="4">
        <v>11.9</v>
      </c>
      <c r="F1964" s="4">
        <v>216.34</v>
      </c>
      <c r="G1964" s="4">
        <v>11.9</v>
      </c>
      <c r="H1964" s="4">
        <v>216.34</v>
      </c>
    </row>
    <row r="1965" s="1" customFormat="1" ht="14" spans="1:8">
      <c r="A1965" s="2">
        <v>6200171</v>
      </c>
      <c r="B1965" s="2" t="s">
        <v>2638</v>
      </c>
      <c r="C1965" s="3" t="s">
        <v>824</v>
      </c>
      <c r="D1965" s="4">
        <v>90.45</v>
      </c>
      <c r="E1965" s="4">
        <v>252.81</v>
      </c>
      <c r="F1965" s="4">
        <v>22866.66</v>
      </c>
      <c r="G1965" s="4">
        <v>252.81</v>
      </c>
      <c r="H1965" s="4">
        <v>22866.66</v>
      </c>
    </row>
    <row r="1966" s="1" customFormat="1" ht="14" spans="1:8">
      <c r="A1966" s="2">
        <v>6200174</v>
      </c>
      <c r="B1966" s="2" t="s">
        <v>2639</v>
      </c>
      <c r="C1966" s="3" t="s">
        <v>824</v>
      </c>
      <c r="D1966" s="4">
        <v>36.36</v>
      </c>
      <c r="E1966" s="4">
        <v>72.89</v>
      </c>
      <c r="F1966" s="4">
        <v>2650.29</v>
      </c>
      <c r="G1966" s="4">
        <v>72.89</v>
      </c>
      <c r="H1966" s="4">
        <v>2650.29</v>
      </c>
    </row>
    <row r="1967" s="1" customFormat="1" ht="14" spans="1:8">
      <c r="A1967" s="2">
        <v>6200221</v>
      </c>
      <c r="B1967" s="2" t="s">
        <v>2640</v>
      </c>
      <c r="C1967" s="3" t="s">
        <v>52</v>
      </c>
      <c r="D1967" s="4">
        <v>1348.62</v>
      </c>
      <c r="E1967" s="4">
        <v>26.52</v>
      </c>
      <c r="F1967" s="4">
        <v>35765.45</v>
      </c>
      <c r="G1967" s="4">
        <v>26.52</v>
      </c>
      <c r="H1967" s="4">
        <v>35765.45</v>
      </c>
    </row>
    <row r="1968" s="1" customFormat="1" ht="14" spans="1:8">
      <c r="A1968" s="2">
        <v>6200271</v>
      </c>
      <c r="B1968" s="2" t="s">
        <v>2641</v>
      </c>
      <c r="C1968" s="3" t="s">
        <v>843</v>
      </c>
      <c r="D1968" s="4">
        <v>198</v>
      </c>
      <c r="E1968" s="4">
        <v>40.3</v>
      </c>
      <c r="F1968" s="4">
        <v>7979.4</v>
      </c>
      <c r="G1968" s="4">
        <v>40.3</v>
      </c>
      <c r="H1968" s="4">
        <v>7979.4</v>
      </c>
    </row>
    <row r="1969" s="1" customFormat="1" ht="14" spans="1:8">
      <c r="A1969" s="2">
        <v>6200281</v>
      </c>
      <c r="B1969" s="2" t="s">
        <v>2642</v>
      </c>
      <c r="C1969" s="3" t="s">
        <v>1866</v>
      </c>
      <c r="D1969" s="4">
        <v>70.38</v>
      </c>
      <c r="E1969" s="4">
        <v>2.52</v>
      </c>
      <c r="F1969" s="4">
        <v>177.36</v>
      </c>
      <c r="G1969" s="4">
        <v>2.52</v>
      </c>
      <c r="H1969" s="4">
        <v>177.36</v>
      </c>
    </row>
    <row r="1970" s="1" customFormat="1" ht="14" spans="1:8">
      <c r="A1970" s="2">
        <v>6200291</v>
      </c>
      <c r="B1970" s="2" t="s">
        <v>2643</v>
      </c>
      <c r="C1970" s="3" t="s">
        <v>52</v>
      </c>
      <c r="D1970" s="4">
        <v>4018.4</v>
      </c>
      <c r="E1970" s="4">
        <v>5.65</v>
      </c>
      <c r="F1970" s="4">
        <v>22703.96</v>
      </c>
      <c r="G1970" s="4">
        <v>5.65</v>
      </c>
      <c r="H1970" s="4">
        <v>22703.96</v>
      </c>
    </row>
    <row r="1971" s="1" customFormat="1" ht="14" spans="1:8">
      <c r="A1971" s="2">
        <v>6211301</v>
      </c>
      <c r="B1971" s="2" t="s">
        <v>2644</v>
      </c>
      <c r="C1971" s="3" t="s">
        <v>52</v>
      </c>
      <c r="D1971" s="4">
        <v>5210.01</v>
      </c>
      <c r="E1971" s="4">
        <v>47.32</v>
      </c>
      <c r="F1971" s="4">
        <v>246537.66</v>
      </c>
      <c r="G1971" s="4">
        <v>47.32</v>
      </c>
      <c r="H1971" s="4">
        <v>246537.66</v>
      </c>
    </row>
    <row r="1972" s="1" customFormat="1" ht="14" spans="1:8">
      <c r="A1972" s="2">
        <v>7010011</v>
      </c>
      <c r="B1972" s="2" t="s">
        <v>2645</v>
      </c>
      <c r="C1972" s="3" t="s">
        <v>472</v>
      </c>
      <c r="D1972" s="4">
        <v>281.4</v>
      </c>
      <c r="E1972" s="4">
        <v>3.59</v>
      </c>
      <c r="F1972" s="4">
        <v>1010.23</v>
      </c>
      <c r="G1972" s="4">
        <v>2.55</v>
      </c>
      <c r="H1972" s="4">
        <v>717.57</v>
      </c>
    </row>
    <row r="1973" s="1" customFormat="1" ht="14" spans="1:8">
      <c r="A1973" s="2">
        <v>7011119</v>
      </c>
      <c r="B1973" s="2" t="s">
        <v>2646</v>
      </c>
      <c r="C1973" s="3" t="s">
        <v>472</v>
      </c>
      <c r="D1973" s="4">
        <v>15962</v>
      </c>
      <c r="E1973" s="4">
        <v>3.37</v>
      </c>
      <c r="F1973" s="4">
        <v>53791.94</v>
      </c>
      <c r="G1973" s="4">
        <v>3.37</v>
      </c>
      <c r="H1973" s="4">
        <v>53791.94</v>
      </c>
    </row>
    <row r="1974" s="1" customFormat="1" ht="14" spans="1:8">
      <c r="A1974" s="2">
        <v>7011151</v>
      </c>
      <c r="B1974" s="2" t="s">
        <v>2647</v>
      </c>
      <c r="C1974" s="3" t="s">
        <v>472</v>
      </c>
      <c r="D1974" s="4">
        <v>3437.4</v>
      </c>
      <c r="E1974" s="4">
        <v>6.96</v>
      </c>
      <c r="F1974" s="4">
        <v>23924.3</v>
      </c>
      <c r="G1974" s="4">
        <v>3.95</v>
      </c>
      <c r="H1974" s="4">
        <v>13577.73</v>
      </c>
    </row>
    <row r="1975" s="1" customFormat="1" ht="14" spans="1:8">
      <c r="A1975" s="2">
        <v>7011152</v>
      </c>
      <c r="B1975" s="2" t="s">
        <v>2648</v>
      </c>
      <c r="C1975" s="3" t="s">
        <v>472</v>
      </c>
      <c r="D1975" s="4">
        <v>29151.6</v>
      </c>
      <c r="E1975" s="4">
        <v>8.76</v>
      </c>
      <c r="F1975" s="4">
        <v>255368.02</v>
      </c>
      <c r="G1975" s="4">
        <v>4.16</v>
      </c>
      <c r="H1975" s="4">
        <v>121270.66</v>
      </c>
    </row>
    <row r="1976" s="1" customFormat="1" ht="14" spans="1:8">
      <c r="A1976" s="2">
        <v>7011154</v>
      </c>
      <c r="B1976" s="2" t="s">
        <v>2649</v>
      </c>
      <c r="C1976" s="3" t="s">
        <v>472</v>
      </c>
      <c r="D1976" s="4">
        <v>2193</v>
      </c>
      <c r="E1976" s="4">
        <v>14.16</v>
      </c>
      <c r="F1976" s="4">
        <v>31052.88</v>
      </c>
      <c r="G1976" s="4">
        <v>4.89</v>
      </c>
      <c r="H1976" s="4">
        <v>10723.77</v>
      </c>
    </row>
    <row r="1977" s="1" customFormat="1" ht="14" spans="1:8">
      <c r="A1977" s="2">
        <v>7011155</v>
      </c>
      <c r="B1977" s="2" t="s">
        <v>2650</v>
      </c>
      <c r="C1977" s="3" t="s">
        <v>472</v>
      </c>
      <c r="D1977" s="4">
        <v>57650.4</v>
      </c>
      <c r="E1977" s="4">
        <v>8.18</v>
      </c>
      <c r="F1977" s="4">
        <v>471580.27</v>
      </c>
      <c r="G1977" s="4">
        <v>2.88</v>
      </c>
      <c r="H1977" s="4">
        <v>166033.15</v>
      </c>
    </row>
    <row r="1978" s="1" customFormat="1" ht="14" spans="1:8">
      <c r="A1978" s="2">
        <v>7011156</v>
      </c>
      <c r="B1978" s="2" t="s">
        <v>2651</v>
      </c>
      <c r="C1978" s="3" t="s">
        <v>472</v>
      </c>
      <c r="D1978" s="4">
        <v>11061.9</v>
      </c>
      <c r="E1978" s="4">
        <v>9.08</v>
      </c>
      <c r="F1978" s="4">
        <v>100442.05</v>
      </c>
      <c r="G1978" s="4">
        <v>3.52</v>
      </c>
      <c r="H1978" s="4">
        <v>38937.89</v>
      </c>
    </row>
    <row r="1979" s="1" customFormat="1" ht="14" spans="1:8">
      <c r="A1979" s="2">
        <v>7011157</v>
      </c>
      <c r="B1979" s="2" t="s">
        <v>2652</v>
      </c>
      <c r="C1979" s="3" t="s">
        <v>472</v>
      </c>
      <c r="D1979" s="4">
        <v>49522.15</v>
      </c>
      <c r="E1979" s="4">
        <v>9.99</v>
      </c>
      <c r="F1979" s="4">
        <v>494726.28</v>
      </c>
      <c r="G1979" s="4">
        <v>3.71</v>
      </c>
      <c r="H1979" s="4">
        <v>183727.18</v>
      </c>
    </row>
    <row r="1980" s="1" customFormat="1" ht="14" spans="1:8">
      <c r="A1980" s="2">
        <v>7011159</v>
      </c>
      <c r="B1980" s="2" t="s">
        <v>2653</v>
      </c>
      <c r="C1980" s="3" t="s">
        <v>472</v>
      </c>
      <c r="D1980" s="4">
        <v>6415.8</v>
      </c>
      <c r="E1980" s="4">
        <v>12.68</v>
      </c>
      <c r="F1980" s="4">
        <v>81352.34</v>
      </c>
      <c r="G1980" s="4">
        <v>4.33</v>
      </c>
      <c r="H1980" s="4">
        <v>27780.41</v>
      </c>
    </row>
    <row r="1981" s="1" customFormat="1" ht="14" spans="1:8">
      <c r="A1981" s="2">
        <v>7011165</v>
      </c>
      <c r="B1981" s="2" t="s">
        <v>2654</v>
      </c>
      <c r="C1981" s="3" t="s">
        <v>472</v>
      </c>
      <c r="D1981" s="4">
        <v>603</v>
      </c>
      <c r="E1981" s="4">
        <v>23.65</v>
      </c>
      <c r="F1981" s="4">
        <v>14260.95</v>
      </c>
      <c r="G1981" s="4">
        <v>7.02</v>
      </c>
      <c r="H1981" s="4">
        <v>4233.06</v>
      </c>
    </row>
    <row r="1982" s="1" customFormat="1" ht="14" spans="1:8">
      <c r="A1982" s="2">
        <v>7015010</v>
      </c>
      <c r="B1982" s="2" t="s">
        <v>2655</v>
      </c>
      <c r="C1982" s="3" t="s">
        <v>725</v>
      </c>
      <c r="D1982" s="4">
        <v>9253.44</v>
      </c>
      <c r="E1982" s="4">
        <v>29.99</v>
      </c>
      <c r="F1982" s="4">
        <v>277510.66</v>
      </c>
      <c r="G1982" s="4">
        <v>29.99</v>
      </c>
      <c r="H1982" s="4">
        <v>277510.66</v>
      </c>
    </row>
    <row r="1983" s="1" customFormat="1" ht="14" spans="1:8">
      <c r="A1983" s="2">
        <v>7015011</v>
      </c>
      <c r="B1983" s="2" t="s">
        <v>2656</v>
      </c>
      <c r="C1983" s="3" t="s">
        <v>725</v>
      </c>
      <c r="D1983" s="4">
        <v>3619.98</v>
      </c>
      <c r="E1983" s="4">
        <v>35.13</v>
      </c>
      <c r="F1983" s="4">
        <v>127169.91</v>
      </c>
      <c r="G1983" s="4">
        <v>35.13</v>
      </c>
      <c r="H1983" s="4">
        <v>127169.91</v>
      </c>
    </row>
    <row r="1984" s="1" customFormat="1" ht="28" spans="1:8">
      <c r="A1984" s="2">
        <v>7015020</v>
      </c>
      <c r="B1984" s="2" t="s">
        <v>2657</v>
      </c>
      <c r="C1984" s="3" t="s">
        <v>725</v>
      </c>
      <c r="D1984" s="4">
        <v>104.04</v>
      </c>
      <c r="E1984" s="4">
        <v>229.31</v>
      </c>
      <c r="F1984" s="4">
        <v>23857.41</v>
      </c>
      <c r="G1984" s="4">
        <v>229.31</v>
      </c>
      <c r="H1984" s="4">
        <v>23857.41</v>
      </c>
    </row>
    <row r="1985" s="1" customFormat="1" ht="14" spans="1:8">
      <c r="A1985" s="2">
        <v>7111110</v>
      </c>
      <c r="B1985" s="2" t="s">
        <v>2658</v>
      </c>
      <c r="C1985" s="3" t="s">
        <v>472</v>
      </c>
      <c r="D1985" s="4">
        <v>182.7</v>
      </c>
      <c r="E1985" s="4">
        <v>25.54</v>
      </c>
      <c r="F1985" s="4">
        <v>4666.16</v>
      </c>
      <c r="G1985" s="4">
        <v>25.54</v>
      </c>
      <c r="H1985" s="4">
        <v>4666.16</v>
      </c>
    </row>
    <row r="1986" s="1" customFormat="1" ht="14" spans="1:8">
      <c r="A1986" s="2">
        <v>7211013</v>
      </c>
      <c r="B1986" s="2" t="s">
        <v>2659</v>
      </c>
      <c r="C1986" s="3" t="s">
        <v>472</v>
      </c>
      <c r="D1986" s="4">
        <v>1500</v>
      </c>
      <c r="E1986" s="4">
        <v>10.15</v>
      </c>
      <c r="F1986" s="4">
        <v>15225</v>
      </c>
      <c r="G1986" s="4">
        <v>12.46</v>
      </c>
      <c r="H1986" s="4">
        <v>18690</v>
      </c>
    </row>
    <row r="1987" s="1" customFormat="1" ht="14" spans="1:8">
      <c r="A1987" s="2">
        <v>7212012</v>
      </c>
      <c r="B1987" s="2" t="s">
        <v>2660</v>
      </c>
      <c r="C1987" s="3" t="s">
        <v>472</v>
      </c>
      <c r="D1987" s="4">
        <v>167.2</v>
      </c>
      <c r="E1987" s="4">
        <v>3.85</v>
      </c>
      <c r="F1987" s="4">
        <v>643.72</v>
      </c>
      <c r="G1987" s="4">
        <v>4.74</v>
      </c>
      <c r="H1987" s="4">
        <v>792.52</v>
      </c>
    </row>
    <row r="1988" s="1" customFormat="1" ht="14" spans="1:8">
      <c r="A1988" s="2">
        <v>7212015</v>
      </c>
      <c r="B1988" s="2" t="s">
        <v>2661</v>
      </c>
      <c r="C1988" s="3" t="s">
        <v>472</v>
      </c>
      <c r="D1988" s="4">
        <v>6.9</v>
      </c>
      <c r="E1988" s="4">
        <v>6.18</v>
      </c>
      <c r="F1988" s="4">
        <v>42.64</v>
      </c>
      <c r="G1988" s="4">
        <v>7.57</v>
      </c>
      <c r="H1988" s="4">
        <v>52.23</v>
      </c>
    </row>
    <row r="1989" s="1" customFormat="1" ht="14" spans="1:8">
      <c r="A1989" s="2">
        <v>7212021</v>
      </c>
      <c r="B1989" s="2" t="s">
        <v>2662</v>
      </c>
      <c r="C1989" s="3" t="s">
        <v>472</v>
      </c>
      <c r="D1989" s="4">
        <v>40.5</v>
      </c>
      <c r="E1989" s="4">
        <v>9.91</v>
      </c>
      <c r="F1989" s="4">
        <v>401.36</v>
      </c>
      <c r="G1989" s="4">
        <v>12.18</v>
      </c>
      <c r="H1989" s="4">
        <v>493.29</v>
      </c>
    </row>
    <row r="1990" s="1" customFormat="1" ht="14" spans="1:8">
      <c r="A1990" s="2">
        <v>7212024</v>
      </c>
      <c r="B1990" s="2" t="s">
        <v>2663</v>
      </c>
      <c r="C1990" s="3" t="s">
        <v>472</v>
      </c>
      <c r="D1990" s="4">
        <v>64</v>
      </c>
      <c r="E1990" s="4">
        <v>20.44</v>
      </c>
      <c r="F1990" s="4">
        <v>1308.16</v>
      </c>
      <c r="G1990" s="4">
        <v>25.12</v>
      </c>
      <c r="H1990" s="4">
        <v>1607.67</v>
      </c>
    </row>
    <row r="1991" s="1" customFormat="1" ht="14" spans="1:8">
      <c r="A1991" s="2">
        <v>7224016</v>
      </c>
      <c r="B1991" s="2" t="s">
        <v>2664</v>
      </c>
      <c r="C1991" s="3" t="s">
        <v>472</v>
      </c>
      <c r="D1991" s="4">
        <v>4590</v>
      </c>
      <c r="E1991" s="4">
        <v>6.41</v>
      </c>
      <c r="F1991" s="4">
        <v>29421.9</v>
      </c>
      <c r="G1991" s="4">
        <v>7.78</v>
      </c>
      <c r="H1991" s="4">
        <v>35710.2</v>
      </c>
    </row>
    <row r="1992" s="1" customFormat="1" ht="14" spans="1:8">
      <c r="A1992" s="2">
        <v>7310017</v>
      </c>
      <c r="B1992" s="2" t="s">
        <v>2665</v>
      </c>
      <c r="C1992" s="3" t="s">
        <v>472</v>
      </c>
      <c r="D1992" s="4">
        <v>53958</v>
      </c>
      <c r="E1992" s="4">
        <v>2.72</v>
      </c>
      <c r="F1992" s="4">
        <v>146765.76</v>
      </c>
      <c r="G1992" s="4">
        <v>2.72</v>
      </c>
      <c r="H1992" s="4">
        <v>146765.76</v>
      </c>
    </row>
    <row r="1993" s="1" customFormat="1" ht="14" spans="1:8">
      <c r="A1993" s="2">
        <v>7310110</v>
      </c>
      <c r="B1993" s="2" t="s">
        <v>2666</v>
      </c>
      <c r="C1993" s="3" t="s">
        <v>472</v>
      </c>
      <c r="D1993" s="4">
        <v>2</v>
      </c>
      <c r="E1993" s="4">
        <v>28.51</v>
      </c>
      <c r="F1993" s="4">
        <v>57.02</v>
      </c>
      <c r="G1993" s="4">
        <v>28.51</v>
      </c>
      <c r="H1993" s="4">
        <v>57.02</v>
      </c>
    </row>
    <row r="1994" s="1" customFormat="1" ht="14" spans="1:8">
      <c r="A1994" s="2">
        <v>7310113</v>
      </c>
      <c r="B1994" s="2" t="s">
        <v>2667</v>
      </c>
      <c r="C1994" s="3" t="s">
        <v>472</v>
      </c>
      <c r="D1994" s="4">
        <v>3343.11</v>
      </c>
      <c r="E1994" s="4">
        <v>29.09</v>
      </c>
      <c r="F1994" s="4">
        <v>97251.08</v>
      </c>
      <c r="G1994" s="4">
        <v>29.09</v>
      </c>
      <c r="H1994" s="4">
        <v>97251.08</v>
      </c>
    </row>
    <row r="1995" s="1" customFormat="1" ht="14" spans="1:8">
      <c r="A1995" s="2">
        <v>7310114</v>
      </c>
      <c r="B1995" s="2" t="s">
        <v>2668</v>
      </c>
      <c r="C1995" s="3" t="s">
        <v>472</v>
      </c>
      <c r="D1995" s="4">
        <v>11115.05</v>
      </c>
      <c r="E1995" s="4">
        <v>74.8</v>
      </c>
      <c r="F1995" s="4">
        <v>831405.74</v>
      </c>
      <c r="G1995" s="4">
        <v>74.8</v>
      </c>
      <c r="H1995" s="4">
        <v>831405.74</v>
      </c>
    </row>
    <row r="1996" s="1" customFormat="1" ht="28" spans="1:8">
      <c r="A1996" s="2">
        <v>7313013</v>
      </c>
      <c r="B1996" s="2" t="s">
        <v>2669</v>
      </c>
      <c r="C1996" s="3" t="s">
        <v>472</v>
      </c>
      <c r="D1996" s="4">
        <v>56786.76</v>
      </c>
      <c r="E1996" s="4">
        <v>1.47</v>
      </c>
      <c r="F1996" s="4">
        <v>83476.53</v>
      </c>
      <c r="G1996" s="4">
        <v>1.47</v>
      </c>
      <c r="H1996" s="4">
        <v>83476.53</v>
      </c>
    </row>
    <row r="1997" s="1" customFormat="1" ht="14" spans="1:8">
      <c r="A1997" s="2">
        <v>7313311</v>
      </c>
      <c r="B1997" s="2" t="s">
        <v>2670</v>
      </c>
      <c r="C1997" s="3" t="s">
        <v>472</v>
      </c>
      <c r="D1997" s="4">
        <v>11628</v>
      </c>
      <c r="E1997" s="4">
        <v>3.1</v>
      </c>
      <c r="F1997" s="4">
        <v>36046.8</v>
      </c>
      <c r="G1997" s="4">
        <v>3.1</v>
      </c>
      <c r="H1997" s="4">
        <v>36046.8</v>
      </c>
    </row>
    <row r="1998" s="1" customFormat="1" ht="14" spans="1:8">
      <c r="A1998" s="2">
        <v>7313325</v>
      </c>
      <c r="B1998" s="2" t="s">
        <v>2671</v>
      </c>
      <c r="C1998" s="3" t="s">
        <v>725</v>
      </c>
      <c r="D1998" s="4">
        <v>148.92</v>
      </c>
      <c r="E1998" s="4">
        <v>65.22</v>
      </c>
      <c r="F1998" s="4">
        <v>9712.56</v>
      </c>
      <c r="G1998" s="4">
        <v>65.22</v>
      </c>
      <c r="H1998" s="4">
        <v>9712.56</v>
      </c>
    </row>
    <row r="1999" s="1" customFormat="1" ht="28" spans="1:8">
      <c r="A1999" s="2">
        <v>7313327</v>
      </c>
      <c r="B1999" s="2" t="s">
        <v>2672</v>
      </c>
      <c r="C1999" s="3" t="s">
        <v>472</v>
      </c>
      <c r="D1999" s="4">
        <v>1244.4</v>
      </c>
      <c r="E1999" s="4">
        <v>26.58</v>
      </c>
      <c r="F1999" s="4">
        <v>33076.15</v>
      </c>
      <c r="G1999" s="4">
        <v>26.58</v>
      </c>
      <c r="H1999" s="4">
        <v>33076.15</v>
      </c>
    </row>
    <row r="2000" s="1" customFormat="1" ht="28" spans="1:8">
      <c r="A2000" s="2">
        <v>7313328</v>
      </c>
      <c r="B2000" s="2" t="s">
        <v>2673</v>
      </c>
      <c r="C2000" s="3" t="s">
        <v>472</v>
      </c>
      <c r="D2000" s="4">
        <v>4164</v>
      </c>
      <c r="E2000" s="4">
        <v>54.88</v>
      </c>
      <c r="F2000" s="4">
        <v>228520.32</v>
      </c>
      <c r="G2000" s="4">
        <v>54.88</v>
      </c>
      <c r="H2000" s="4">
        <v>228520.32</v>
      </c>
    </row>
    <row r="2001" s="1" customFormat="1" ht="28" spans="1:8">
      <c r="A2001" s="2">
        <v>7313330</v>
      </c>
      <c r="B2001" s="2" t="s">
        <v>2674</v>
      </c>
      <c r="C2001" s="3" t="s">
        <v>472</v>
      </c>
      <c r="D2001" s="4">
        <v>243654.54</v>
      </c>
      <c r="E2001" s="4">
        <v>3.74</v>
      </c>
      <c r="F2001" s="4">
        <v>911267.99</v>
      </c>
      <c r="G2001" s="4">
        <v>3.74</v>
      </c>
      <c r="H2001" s="4">
        <v>911267.99</v>
      </c>
    </row>
    <row r="2002" s="1" customFormat="1" ht="28" spans="1:8">
      <c r="A2002" s="2">
        <v>7313332</v>
      </c>
      <c r="B2002" s="2" t="s">
        <v>2675</v>
      </c>
      <c r="C2002" s="3" t="s">
        <v>472</v>
      </c>
      <c r="D2002" s="4">
        <v>1540.2</v>
      </c>
      <c r="E2002" s="4">
        <v>4.49</v>
      </c>
      <c r="F2002" s="4">
        <v>6915.5</v>
      </c>
      <c r="G2002" s="4">
        <v>4.49</v>
      </c>
      <c r="H2002" s="4">
        <v>6915.5</v>
      </c>
    </row>
    <row r="2003" s="1" customFormat="1" ht="14" spans="1:8">
      <c r="A2003" s="2">
        <v>7313510</v>
      </c>
      <c r="B2003" s="2" t="s">
        <v>2676</v>
      </c>
      <c r="C2003" s="3" t="s">
        <v>472</v>
      </c>
      <c r="D2003" s="4">
        <v>5814</v>
      </c>
      <c r="E2003" s="4">
        <v>5.49</v>
      </c>
      <c r="F2003" s="4">
        <v>31918.86</v>
      </c>
      <c r="G2003" s="4">
        <v>5.49</v>
      </c>
      <c r="H2003" s="4">
        <v>31918.86</v>
      </c>
    </row>
    <row r="2004" s="1" customFormat="1" ht="28" spans="1:8">
      <c r="A2004" s="2">
        <v>7316601</v>
      </c>
      <c r="B2004" s="2" t="s">
        <v>2677</v>
      </c>
      <c r="C2004" s="3" t="s">
        <v>472</v>
      </c>
      <c r="D2004" s="4">
        <v>3942.3</v>
      </c>
      <c r="E2004" s="4">
        <v>4.11</v>
      </c>
      <c r="F2004" s="4">
        <v>16202.85</v>
      </c>
      <c r="G2004" s="4">
        <v>4.11</v>
      </c>
      <c r="H2004" s="4">
        <v>16202.85</v>
      </c>
    </row>
    <row r="2005" s="1" customFormat="1" ht="28" spans="1:8">
      <c r="A2005" s="2">
        <v>7316605</v>
      </c>
      <c r="B2005" s="2" t="s">
        <v>2678</v>
      </c>
      <c r="C2005" s="3" t="s">
        <v>472</v>
      </c>
      <c r="D2005" s="4">
        <v>5508</v>
      </c>
      <c r="E2005" s="4">
        <v>3.53</v>
      </c>
      <c r="F2005" s="4">
        <v>19443.24</v>
      </c>
      <c r="G2005" s="4">
        <v>3.53</v>
      </c>
      <c r="H2005" s="4">
        <v>19443.24</v>
      </c>
    </row>
    <row r="2006" s="1" customFormat="1" ht="28" spans="1:8">
      <c r="A2006" s="2">
        <v>7316608</v>
      </c>
      <c r="B2006" s="2" t="s">
        <v>2679</v>
      </c>
      <c r="C2006" s="3" t="s">
        <v>472</v>
      </c>
      <c r="D2006" s="4">
        <v>8282.4</v>
      </c>
      <c r="E2006" s="4">
        <v>10.16</v>
      </c>
      <c r="F2006" s="4">
        <v>84149.17</v>
      </c>
      <c r="G2006" s="4">
        <v>10.16</v>
      </c>
      <c r="H2006" s="4">
        <v>84149.17</v>
      </c>
    </row>
    <row r="2007" s="1" customFormat="1" ht="28" spans="1:8">
      <c r="A2007" s="2">
        <v>7316609</v>
      </c>
      <c r="B2007" s="2" t="s">
        <v>2680</v>
      </c>
      <c r="C2007" s="3" t="s">
        <v>472</v>
      </c>
      <c r="D2007" s="4">
        <v>30.6</v>
      </c>
      <c r="E2007" s="4">
        <v>13.56</v>
      </c>
      <c r="F2007" s="4">
        <v>414.94</v>
      </c>
      <c r="G2007" s="4">
        <v>13.56</v>
      </c>
      <c r="H2007" s="4">
        <v>414.94</v>
      </c>
    </row>
    <row r="2008" s="1" customFormat="1" ht="28" spans="1:8">
      <c r="A2008" s="2">
        <v>7316611</v>
      </c>
      <c r="B2008" s="2" t="s">
        <v>2681</v>
      </c>
      <c r="C2008" s="3" t="s">
        <v>472</v>
      </c>
      <c r="D2008" s="4">
        <v>36959.7</v>
      </c>
      <c r="E2008" s="4">
        <v>6.29</v>
      </c>
      <c r="F2008" s="4">
        <v>232476.52</v>
      </c>
      <c r="G2008" s="4">
        <v>6.29</v>
      </c>
      <c r="H2008" s="4">
        <v>232476.52</v>
      </c>
    </row>
    <row r="2009" s="1" customFormat="1" ht="28" spans="1:8">
      <c r="A2009" s="2">
        <v>7316612</v>
      </c>
      <c r="B2009" s="2" t="s">
        <v>2682</v>
      </c>
      <c r="C2009" s="3" t="s">
        <v>472</v>
      </c>
      <c r="D2009" s="4">
        <v>1504.5</v>
      </c>
      <c r="E2009" s="4">
        <v>8.25</v>
      </c>
      <c r="F2009" s="4">
        <v>12412.13</v>
      </c>
      <c r="G2009" s="4">
        <v>8.25</v>
      </c>
      <c r="H2009" s="4">
        <v>12412.13</v>
      </c>
    </row>
    <row r="2010" s="1" customFormat="1" ht="28" spans="1:8">
      <c r="A2010" s="2">
        <v>7316613</v>
      </c>
      <c r="B2010" s="2" t="s">
        <v>2683</v>
      </c>
      <c r="C2010" s="3" t="s">
        <v>472</v>
      </c>
      <c r="D2010" s="4">
        <v>8323.2</v>
      </c>
      <c r="E2010" s="4">
        <v>12.22</v>
      </c>
      <c r="F2010" s="4">
        <v>101709.51</v>
      </c>
      <c r="G2010" s="4">
        <v>12.22</v>
      </c>
      <c r="H2010" s="4">
        <v>101709.51</v>
      </c>
    </row>
    <row r="2011" s="1" customFormat="1" ht="28" spans="1:8">
      <c r="A2011" s="2">
        <v>7316642</v>
      </c>
      <c r="B2011" s="2" t="s">
        <v>2684</v>
      </c>
      <c r="C2011" s="3" t="s">
        <v>472</v>
      </c>
      <c r="D2011" s="4">
        <v>4375.8</v>
      </c>
      <c r="E2011" s="4">
        <v>4.86</v>
      </c>
      <c r="F2011" s="4">
        <v>21266.39</v>
      </c>
      <c r="G2011" s="4">
        <v>4.86</v>
      </c>
      <c r="H2011" s="4">
        <v>21266.39</v>
      </c>
    </row>
    <row r="2012" s="1" customFormat="1" ht="28" spans="1:8">
      <c r="A2012" s="2">
        <v>7316643</v>
      </c>
      <c r="B2012" s="2" t="s">
        <v>2685</v>
      </c>
      <c r="C2012" s="3" t="s">
        <v>472</v>
      </c>
      <c r="D2012" s="4">
        <v>1218.9</v>
      </c>
      <c r="E2012" s="4">
        <v>6.69</v>
      </c>
      <c r="F2012" s="4">
        <v>8154.44</v>
      </c>
      <c r="G2012" s="4">
        <v>6.69</v>
      </c>
      <c r="H2012" s="4">
        <v>8154.44</v>
      </c>
    </row>
    <row r="2013" s="1" customFormat="1" ht="28" spans="1:8">
      <c r="A2013" s="2">
        <v>7316660</v>
      </c>
      <c r="B2013" s="2" t="s">
        <v>2686</v>
      </c>
      <c r="C2013" s="3" t="s">
        <v>472</v>
      </c>
      <c r="D2013" s="4">
        <v>9139.2</v>
      </c>
      <c r="E2013" s="4">
        <v>5.36</v>
      </c>
      <c r="F2013" s="4">
        <v>48986.11</v>
      </c>
      <c r="G2013" s="4">
        <v>5.36</v>
      </c>
      <c r="H2013" s="4">
        <v>48986.11</v>
      </c>
    </row>
    <row r="2014" s="1" customFormat="1" ht="28" spans="1:8">
      <c r="A2014" s="2">
        <v>7316661</v>
      </c>
      <c r="B2014" s="2" t="s">
        <v>2687</v>
      </c>
      <c r="C2014" s="3" t="s">
        <v>472</v>
      </c>
      <c r="D2014" s="4">
        <v>6211.8</v>
      </c>
      <c r="E2014" s="4">
        <v>7.64</v>
      </c>
      <c r="F2014" s="4">
        <v>47458.15</v>
      </c>
      <c r="G2014" s="4">
        <v>7.64</v>
      </c>
      <c r="H2014" s="4">
        <v>47458.15</v>
      </c>
    </row>
    <row r="2015" s="1" customFormat="1" ht="14" spans="1:8">
      <c r="A2015" s="2">
        <v>7411113</v>
      </c>
      <c r="B2015" s="2" t="s">
        <v>2688</v>
      </c>
      <c r="C2015" s="3" t="s">
        <v>824</v>
      </c>
      <c r="D2015" s="4">
        <v>4.04</v>
      </c>
      <c r="E2015" s="4">
        <v>2.55</v>
      </c>
      <c r="F2015" s="4">
        <v>10.3</v>
      </c>
      <c r="G2015" s="4">
        <v>2.55</v>
      </c>
      <c r="H2015" s="4">
        <v>10.3</v>
      </c>
    </row>
    <row r="2016" s="1" customFormat="1" ht="14" spans="1:8">
      <c r="A2016" s="2">
        <v>7412013</v>
      </c>
      <c r="B2016" s="2" t="s">
        <v>2689</v>
      </c>
      <c r="C2016" s="3" t="s">
        <v>1172</v>
      </c>
      <c r="D2016" s="4">
        <v>80.8</v>
      </c>
      <c r="E2016" s="4">
        <v>12.73</v>
      </c>
      <c r="F2016" s="4">
        <v>1028.58</v>
      </c>
      <c r="G2016" s="4">
        <v>12.73</v>
      </c>
      <c r="H2016" s="4">
        <v>1028.58</v>
      </c>
    </row>
    <row r="2017" s="1" customFormat="1" ht="14" spans="1:8">
      <c r="A2017" s="2">
        <v>7412612</v>
      </c>
      <c r="B2017" s="2" t="s">
        <v>2690</v>
      </c>
      <c r="C2017" s="3" t="s">
        <v>824</v>
      </c>
      <c r="D2017" s="4">
        <v>1699.83</v>
      </c>
      <c r="E2017" s="4">
        <v>21.44</v>
      </c>
      <c r="F2017" s="4">
        <v>36444.36</v>
      </c>
      <c r="G2017" s="4">
        <v>21.44</v>
      </c>
      <c r="H2017" s="4">
        <v>36444.36</v>
      </c>
    </row>
    <row r="2018" s="1" customFormat="1" ht="14" spans="1:8">
      <c r="A2018" s="2">
        <v>7412613</v>
      </c>
      <c r="B2018" s="2" t="s">
        <v>2691</v>
      </c>
      <c r="C2018" s="3" t="s">
        <v>824</v>
      </c>
      <c r="D2018" s="4">
        <v>188.87</v>
      </c>
      <c r="E2018" s="4">
        <v>30.01</v>
      </c>
      <c r="F2018" s="4">
        <v>5667.99</v>
      </c>
      <c r="G2018" s="4">
        <v>30.01</v>
      </c>
      <c r="H2018" s="4">
        <v>5667.99</v>
      </c>
    </row>
    <row r="2019" s="1" customFormat="1" ht="14" spans="1:8">
      <c r="A2019" s="2">
        <v>7414014</v>
      </c>
      <c r="B2019" s="2" t="s">
        <v>2692</v>
      </c>
      <c r="C2019" s="3" t="s">
        <v>725</v>
      </c>
      <c r="D2019" s="4">
        <v>55.66</v>
      </c>
      <c r="E2019" s="4">
        <v>27.29</v>
      </c>
      <c r="F2019" s="4">
        <v>1518.96</v>
      </c>
      <c r="G2019" s="4">
        <v>27.29</v>
      </c>
      <c r="H2019" s="4">
        <v>1518.96</v>
      </c>
    </row>
    <row r="2020" s="1" customFormat="1" ht="14" spans="1:8">
      <c r="A2020" s="2">
        <v>7414015</v>
      </c>
      <c r="B2020" s="2" t="s">
        <v>2693</v>
      </c>
      <c r="C2020" s="3" t="s">
        <v>725</v>
      </c>
      <c r="D2020" s="4">
        <v>360</v>
      </c>
      <c r="E2020" s="4">
        <v>8.04</v>
      </c>
      <c r="F2020" s="4">
        <v>2894.4</v>
      </c>
      <c r="G2020" s="4">
        <v>8.04</v>
      </c>
      <c r="H2020" s="4">
        <v>2894.4</v>
      </c>
    </row>
    <row r="2021" s="1" customFormat="1" ht="14" spans="1:8">
      <c r="A2021" s="2">
        <v>7414114</v>
      </c>
      <c r="B2021" s="2" t="s">
        <v>2694</v>
      </c>
      <c r="C2021" s="3" t="s">
        <v>876</v>
      </c>
      <c r="D2021" s="4">
        <v>15.3</v>
      </c>
      <c r="E2021" s="4">
        <v>0.7</v>
      </c>
      <c r="F2021" s="4">
        <v>10.71</v>
      </c>
      <c r="G2021" s="4">
        <v>0.7</v>
      </c>
      <c r="H2021" s="4">
        <v>10.71</v>
      </c>
    </row>
    <row r="2022" s="1" customFormat="1" ht="14" spans="1:8">
      <c r="A2022" s="2">
        <v>7414115</v>
      </c>
      <c r="B2022" s="2" t="s">
        <v>2695</v>
      </c>
      <c r="C2022" s="3" t="s">
        <v>876</v>
      </c>
      <c r="D2022" s="4">
        <v>630.85</v>
      </c>
      <c r="E2022" s="4">
        <v>0.79</v>
      </c>
      <c r="F2022" s="4">
        <v>498.36</v>
      </c>
      <c r="G2022" s="4">
        <v>0.79</v>
      </c>
      <c r="H2022" s="4">
        <v>498.36</v>
      </c>
    </row>
    <row r="2023" s="1" customFormat="1" ht="14" spans="1:8">
      <c r="A2023" s="2">
        <v>7414117</v>
      </c>
      <c r="B2023" s="2" t="s">
        <v>2696</v>
      </c>
      <c r="C2023" s="3" t="s">
        <v>876</v>
      </c>
      <c r="D2023" s="4">
        <v>460.56</v>
      </c>
      <c r="E2023" s="4">
        <v>1.43</v>
      </c>
      <c r="F2023" s="4">
        <v>658.6</v>
      </c>
      <c r="G2023" s="4">
        <v>1.43</v>
      </c>
      <c r="H2023" s="4">
        <v>658.6</v>
      </c>
    </row>
    <row r="2024" s="1" customFormat="1" ht="14" spans="1:8">
      <c r="A2024" s="2">
        <v>7414123</v>
      </c>
      <c r="B2024" s="2" t="s">
        <v>2697</v>
      </c>
      <c r="C2024" s="3" t="s">
        <v>876</v>
      </c>
      <c r="D2024" s="4">
        <v>141.4</v>
      </c>
      <c r="E2024" s="4">
        <v>1.2</v>
      </c>
      <c r="F2024" s="4">
        <v>169.68</v>
      </c>
      <c r="G2024" s="4">
        <v>1.2</v>
      </c>
      <c r="H2024" s="4">
        <v>169.68</v>
      </c>
    </row>
    <row r="2025" s="1" customFormat="1" ht="14" spans="1:8">
      <c r="A2025" s="2">
        <v>7414124</v>
      </c>
      <c r="B2025" s="2" t="s">
        <v>2698</v>
      </c>
      <c r="C2025" s="3" t="s">
        <v>876</v>
      </c>
      <c r="D2025" s="4">
        <v>44.88</v>
      </c>
      <c r="E2025" s="4">
        <v>1.49</v>
      </c>
      <c r="F2025" s="4">
        <v>66.88</v>
      </c>
      <c r="G2025" s="4">
        <v>1.49</v>
      </c>
      <c r="H2025" s="4">
        <v>66.88</v>
      </c>
    </row>
    <row r="2026" s="1" customFormat="1" ht="14" spans="1:8">
      <c r="A2026" s="2">
        <v>7414125</v>
      </c>
      <c r="B2026" s="2" t="s">
        <v>2699</v>
      </c>
      <c r="C2026" s="3" t="s">
        <v>876</v>
      </c>
      <c r="D2026" s="4">
        <v>8694.08</v>
      </c>
      <c r="E2026" s="4">
        <v>1.71</v>
      </c>
      <c r="F2026" s="4">
        <v>14866.9</v>
      </c>
      <c r="G2026" s="4">
        <v>1.71</v>
      </c>
      <c r="H2026" s="4">
        <v>14866.9</v>
      </c>
    </row>
    <row r="2027" s="1" customFormat="1" ht="14" spans="1:8">
      <c r="A2027" s="2">
        <v>7414131</v>
      </c>
      <c r="B2027" s="2" t="s">
        <v>2700</v>
      </c>
      <c r="C2027" s="3" t="s">
        <v>876</v>
      </c>
      <c r="D2027" s="4">
        <v>15157.16</v>
      </c>
      <c r="E2027" s="4">
        <v>4.18</v>
      </c>
      <c r="F2027" s="4">
        <v>63356.93</v>
      </c>
      <c r="G2027" s="4">
        <v>4.18</v>
      </c>
      <c r="H2027" s="4">
        <v>63356.93</v>
      </c>
    </row>
    <row r="2028" s="1" customFormat="1" ht="14" spans="1:8">
      <c r="A2028" s="2">
        <v>7414132</v>
      </c>
      <c r="B2028" s="2" t="s">
        <v>2701</v>
      </c>
      <c r="C2028" s="3" t="s">
        <v>876</v>
      </c>
      <c r="D2028" s="4">
        <v>170.98</v>
      </c>
      <c r="E2028" s="4">
        <v>5.13</v>
      </c>
      <c r="F2028" s="4">
        <v>877.13</v>
      </c>
      <c r="G2028" s="4">
        <v>5.13</v>
      </c>
      <c r="H2028" s="4">
        <v>877.13</v>
      </c>
    </row>
    <row r="2029" s="1" customFormat="1" ht="14" spans="1:8">
      <c r="A2029" s="2">
        <v>7414133</v>
      </c>
      <c r="B2029" s="2" t="s">
        <v>2702</v>
      </c>
      <c r="C2029" s="3" t="s">
        <v>876</v>
      </c>
      <c r="D2029" s="4">
        <v>2038.51</v>
      </c>
      <c r="E2029" s="4">
        <v>5.43</v>
      </c>
      <c r="F2029" s="4">
        <v>11069.11</v>
      </c>
      <c r="G2029" s="4">
        <v>5.43</v>
      </c>
      <c r="H2029" s="4">
        <v>11069.11</v>
      </c>
    </row>
    <row r="2030" s="1" customFormat="1" ht="14" spans="1:8">
      <c r="A2030" s="2">
        <v>7414134</v>
      </c>
      <c r="B2030" s="2" t="s">
        <v>2703</v>
      </c>
      <c r="C2030" s="3" t="s">
        <v>876</v>
      </c>
      <c r="D2030" s="4">
        <v>164.91</v>
      </c>
      <c r="E2030" s="4">
        <v>6.12</v>
      </c>
      <c r="F2030" s="4">
        <v>1009.25</v>
      </c>
      <c r="G2030" s="4">
        <v>6.12</v>
      </c>
      <c r="H2030" s="4">
        <v>1009.25</v>
      </c>
    </row>
    <row r="2031" s="1" customFormat="1" ht="14" spans="1:8">
      <c r="A2031" s="2">
        <v>7415610</v>
      </c>
      <c r="B2031" s="2" t="s">
        <v>2704</v>
      </c>
      <c r="C2031" s="3" t="s">
        <v>824</v>
      </c>
      <c r="D2031" s="4">
        <v>514.09</v>
      </c>
      <c r="E2031" s="4">
        <v>33.73</v>
      </c>
      <c r="F2031" s="4">
        <v>17340.25</v>
      </c>
      <c r="G2031" s="4">
        <v>33.73</v>
      </c>
      <c r="H2031" s="4">
        <v>17340.25</v>
      </c>
    </row>
    <row r="2032" s="1" customFormat="1" ht="14" spans="1:8">
      <c r="A2032" s="2">
        <v>7415810</v>
      </c>
      <c r="B2032" s="2" t="s">
        <v>2705</v>
      </c>
      <c r="C2032" s="3" t="s">
        <v>1172</v>
      </c>
      <c r="D2032" s="4">
        <v>8.08</v>
      </c>
      <c r="E2032" s="4">
        <v>2.78</v>
      </c>
      <c r="F2032" s="4">
        <v>22.46</v>
      </c>
      <c r="G2032" s="4">
        <v>2.78</v>
      </c>
      <c r="H2032" s="4">
        <v>22.46</v>
      </c>
    </row>
    <row r="2033" s="1" customFormat="1" ht="14" spans="1:8">
      <c r="A2033" s="2">
        <v>7510010</v>
      </c>
      <c r="B2033" s="2" t="s">
        <v>2706</v>
      </c>
      <c r="C2033" s="3" t="s">
        <v>876</v>
      </c>
      <c r="D2033" s="4">
        <v>809.66</v>
      </c>
      <c r="E2033" s="4">
        <v>649.6</v>
      </c>
      <c r="F2033" s="4">
        <v>525955.14</v>
      </c>
      <c r="G2033" s="4">
        <v>649.6</v>
      </c>
      <c r="H2033" s="4">
        <v>525955.14</v>
      </c>
    </row>
    <row r="2034" s="1" customFormat="1" ht="14" spans="1:8">
      <c r="A2034" s="2">
        <v>7510112</v>
      </c>
      <c r="B2034" s="2" t="s">
        <v>2707</v>
      </c>
      <c r="C2034" s="3" t="s">
        <v>876</v>
      </c>
      <c r="D2034" s="4">
        <v>1655</v>
      </c>
      <c r="E2034" s="4">
        <v>485.64</v>
      </c>
      <c r="F2034" s="4">
        <v>803734.2</v>
      </c>
      <c r="G2034" s="4">
        <v>485.64</v>
      </c>
      <c r="H2034" s="4">
        <v>803734.2</v>
      </c>
    </row>
    <row r="2035" s="1" customFormat="1" ht="14" spans="1:8">
      <c r="A2035" s="2">
        <v>7510113</v>
      </c>
      <c r="B2035" s="2" t="s">
        <v>2708</v>
      </c>
      <c r="C2035" s="3" t="s">
        <v>876</v>
      </c>
      <c r="D2035" s="4">
        <v>240</v>
      </c>
      <c r="E2035" s="4">
        <v>521.62</v>
      </c>
      <c r="F2035" s="4">
        <v>125188.8</v>
      </c>
      <c r="G2035" s="4">
        <v>521.62</v>
      </c>
      <c r="H2035" s="4">
        <v>125188.8</v>
      </c>
    </row>
    <row r="2036" s="1" customFormat="1" ht="14" spans="1:8">
      <c r="A2036" s="2">
        <v>7510114</v>
      </c>
      <c r="B2036" s="2" t="s">
        <v>2709</v>
      </c>
      <c r="C2036" s="3" t="s">
        <v>876</v>
      </c>
      <c r="D2036" s="4">
        <v>257</v>
      </c>
      <c r="E2036" s="4">
        <v>632.39</v>
      </c>
      <c r="F2036" s="4">
        <v>162524.23</v>
      </c>
      <c r="G2036" s="4">
        <v>632.39</v>
      </c>
      <c r="H2036" s="4">
        <v>162524.23</v>
      </c>
    </row>
    <row r="2037" s="1" customFormat="1" ht="14" spans="1:8">
      <c r="A2037" s="2">
        <v>7513110</v>
      </c>
      <c r="B2037" s="2" t="s">
        <v>2710</v>
      </c>
      <c r="C2037" s="3" t="s">
        <v>824</v>
      </c>
      <c r="D2037" s="4">
        <v>7.55</v>
      </c>
      <c r="E2037" s="4">
        <v>3.17</v>
      </c>
      <c r="F2037" s="4">
        <v>23.95</v>
      </c>
      <c r="G2037" s="4">
        <v>3.17</v>
      </c>
      <c r="H2037" s="4">
        <v>23.95</v>
      </c>
    </row>
    <row r="2038" s="1" customFormat="1" ht="14" spans="1:8">
      <c r="A2038" s="2">
        <v>7513111</v>
      </c>
      <c r="B2038" s="2" t="s">
        <v>2711</v>
      </c>
      <c r="C2038" s="3" t="s">
        <v>824</v>
      </c>
      <c r="D2038" s="4">
        <v>65.25</v>
      </c>
      <c r="E2038" s="4">
        <v>1.53</v>
      </c>
      <c r="F2038" s="4">
        <v>99.82</v>
      </c>
      <c r="G2038" s="4">
        <v>1.53</v>
      </c>
      <c r="H2038" s="4">
        <v>99.82</v>
      </c>
    </row>
    <row r="2039" s="1" customFormat="1" ht="14" spans="1:8">
      <c r="A2039" s="2">
        <v>7516010</v>
      </c>
      <c r="B2039" s="2" t="s">
        <v>2712</v>
      </c>
      <c r="C2039" s="3" t="s">
        <v>876</v>
      </c>
      <c r="D2039" s="4">
        <v>4.04</v>
      </c>
      <c r="E2039" s="4">
        <v>135.19</v>
      </c>
      <c r="F2039" s="4">
        <v>546.17</v>
      </c>
      <c r="G2039" s="4">
        <v>135.19</v>
      </c>
      <c r="H2039" s="4">
        <v>546.17</v>
      </c>
    </row>
    <row r="2040" s="1" customFormat="1" ht="14" spans="1:8">
      <c r="A2040" s="2">
        <v>7516018</v>
      </c>
      <c r="B2040" s="2" t="s">
        <v>2713</v>
      </c>
      <c r="C2040" s="3" t="s">
        <v>876</v>
      </c>
      <c r="D2040" s="4">
        <v>160.59</v>
      </c>
      <c r="E2040" s="4">
        <v>115.63</v>
      </c>
      <c r="F2040" s="4">
        <v>18569.03</v>
      </c>
      <c r="G2040" s="4">
        <v>115.63</v>
      </c>
      <c r="H2040" s="4">
        <v>18569.03</v>
      </c>
    </row>
    <row r="2041" s="1" customFormat="1" ht="14" spans="1:8">
      <c r="A2041" s="2">
        <v>7516019</v>
      </c>
      <c r="B2041" s="2" t="s">
        <v>2714</v>
      </c>
      <c r="C2041" s="3" t="s">
        <v>876</v>
      </c>
      <c r="D2041" s="4">
        <v>13.13</v>
      </c>
      <c r="E2041" s="4">
        <v>224.48</v>
      </c>
      <c r="F2041" s="4">
        <v>2947.42</v>
      </c>
      <c r="G2041" s="4">
        <v>224.48</v>
      </c>
      <c r="H2041" s="4">
        <v>2947.42</v>
      </c>
    </row>
    <row r="2042" s="1" customFormat="1" ht="14" spans="1:8">
      <c r="A2042" s="2">
        <v>7517110</v>
      </c>
      <c r="B2042" s="2" t="s">
        <v>2715</v>
      </c>
      <c r="C2042" s="3" t="s">
        <v>725</v>
      </c>
      <c r="D2042" s="4">
        <v>2580.84</v>
      </c>
      <c r="E2042" s="4">
        <v>12.86</v>
      </c>
      <c r="F2042" s="4">
        <v>33189.61</v>
      </c>
      <c r="G2042" s="4">
        <v>12.86</v>
      </c>
      <c r="H2042" s="4">
        <v>33189.61</v>
      </c>
    </row>
    <row r="2043" s="1" customFormat="1" ht="14" spans="1:8">
      <c r="A2043" s="2">
        <v>7517510</v>
      </c>
      <c r="B2043" s="2" t="s">
        <v>2716</v>
      </c>
      <c r="C2043" s="3" t="s">
        <v>876</v>
      </c>
      <c r="D2043" s="4">
        <v>630.24</v>
      </c>
      <c r="E2043" s="4">
        <v>19.26</v>
      </c>
      <c r="F2043" s="4">
        <v>12138.42</v>
      </c>
      <c r="G2043" s="4">
        <v>19.26</v>
      </c>
      <c r="H2043" s="4">
        <v>12138.42</v>
      </c>
    </row>
    <row r="2044" s="1" customFormat="1" ht="14" spans="1:8">
      <c r="A2044" s="2">
        <v>7517511</v>
      </c>
      <c r="B2044" s="2" t="s">
        <v>2717</v>
      </c>
      <c r="C2044" s="3" t="s">
        <v>876</v>
      </c>
      <c r="D2044" s="4">
        <v>11071.08</v>
      </c>
      <c r="E2044" s="4">
        <v>12.13</v>
      </c>
      <c r="F2044" s="4">
        <v>134292.2</v>
      </c>
      <c r="G2044" s="4">
        <v>12.13</v>
      </c>
      <c r="H2044" s="4">
        <v>134292.2</v>
      </c>
    </row>
    <row r="2045" s="1" customFormat="1" ht="14" spans="1:8">
      <c r="A2045" s="2">
        <v>7517512</v>
      </c>
      <c r="B2045" s="2" t="s">
        <v>2718</v>
      </c>
      <c r="C2045" s="3" t="s">
        <v>876</v>
      </c>
      <c r="D2045" s="4">
        <v>17867.1</v>
      </c>
      <c r="E2045" s="4">
        <v>5.51</v>
      </c>
      <c r="F2045" s="4">
        <v>98447.71</v>
      </c>
      <c r="G2045" s="4">
        <v>5.51</v>
      </c>
      <c r="H2045" s="4">
        <v>98447.71</v>
      </c>
    </row>
    <row r="2046" s="1" customFormat="1" ht="14" spans="1:8">
      <c r="A2046" s="2">
        <v>7517521</v>
      </c>
      <c r="B2046" s="2" t="s">
        <v>2719</v>
      </c>
      <c r="C2046" s="3" t="s">
        <v>824</v>
      </c>
      <c r="D2046" s="4">
        <v>227</v>
      </c>
      <c r="E2046" s="4">
        <v>30.8</v>
      </c>
      <c r="F2046" s="4">
        <v>6991.6</v>
      </c>
      <c r="G2046" s="4">
        <v>30.8</v>
      </c>
      <c r="H2046" s="4">
        <v>6991.6</v>
      </c>
    </row>
    <row r="2047" s="1" customFormat="1" ht="14" spans="1:8">
      <c r="A2047" s="2">
        <v>7517613</v>
      </c>
      <c r="B2047" s="2" t="s">
        <v>2720</v>
      </c>
      <c r="C2047" s="3" t="s">
        <v>876</v>
      </c>
      <c r="D2047" s="4">
        <v>1541.47</v>
      </c>
      <c r="E2047" s="4">
        <v>683.93</v>
      </c>
      <c r="F2047" s="4">
        <v>1054257.58</v>
      </c>
      <c r="G2047" s="4">
        <v>683.93</v>
      </c>
      <c r="H2047" s="4">
        <v>1054257.58</v>
      </c>
    </row>
    <row r="2048" s="1" customFormat="1" ht="14" spans="1:8">
      <c r="A2048" s="2">
        <v>7517614</v>
      </c>
      <c r="B2048" s="2" t="s">
        <v>2721</v>
      </c>
      <c r="C2048" s="3" t="s">
        <v>824</v>
      </c>
      <c r="D2048" s="4">
        <v>1541.47</v>
      </c>
      <c r="E2048" s="4">
        <v>39.39</v>
      </c>
      <c r="F2048" s="4">
        <v>60718.52</v>
      </c>
      <c r="G2048" s="4">
        <v>39.39</v>
      </c>
      <c r="H2048" s="4">
        <v>60718.52</v>
      </c>
    </row>
    <row r="2049" s="1" customFormat="1" ht="14" spans="1:8">
      <c r="A2049" s="2">
        <v>7517615</v>
      </c>
      <c r="B2049" s="2" t="s">
        <v>2722</v>
      </c>
      <c r="C2049" s="3" t="s">
        <v>824</v>
      </c>
      <c r="D2049" s="4">
        <v>3082.89</v>
      </c>
      <c r="E2049" s="4">
        <v>13.16</v>
      </c>
      <c r="F2049" s="4">
        <v>40570.83</v>
      </c>
      <c r="G2049" s="4">
        <v>13.16</v>
      </c>
      <c r="H2049" s="4">
        <v>40570.83</v>
      </c>
    </row>
    <row r="2050" s="1" customFormat="1" ht="14" spans="1:8">
      <c r="A2050" s="2">
        <v>7517715</v>
      </c>
      <c r="B2050" s="2" t="s">
        <v>2723</v>
      </c>
      <c r="C2050" s="3" t="s">
        <v>824</v>
      </c>
      <c r="D2050" s="4">
        <v>1068.58</v>
      </c>
      <c r="E2050" s="4">
        <v>14.58</v>
      </c>
      <c r="F2050" s="4">
        <v>15579.89</v>
      </c>
      <c r="G2050" s="4">
        <v>14.58</v>
      </c>
      <c r="H2050" s="4">
        <v>15579.89</v>
      </c>
    </row>
    <row r="2051" s="1" customFormat="1" ht="14" spans="1:8">
      <c r="A2051" s="2">
        <v>7518012</v>
      </c>
      <c r="B2051" s="2" t="s">
        <v>2724</v>
      </c>
      <c r="C2051" s="3" t="s">
        <v>824</v>
      </c>
      <c r="D2051" s="4">
        <v>1977.6</v>
      </c>
      <c r="E2051" s="4">
        <v>0.64</v>
      </c>
      <c r="F2051" s="4">
        <v>1265.66</v>
      </c>
      <c r="G2051" s="4">
        <v>0.64</v>
      </c>
      <c r="H2051" s="4">
        <v>1265.66</v>
      </c>
    </row>
    <row r="2052" s="1" customFormat="1" ht="14" spans="1:8">
      <c r="A2052" s="2">
        <v>7518013</v>
      </c>
      <c r="B2052" s="2" t="s">
        <v>2725</v>
      </c>
      <c r="C2052" s="3" t="s">
        <v>824</v>
      </c>
      <c r="D2052" s="4">
        <v>370.8</v>
      </c>
      <c r="E2052" s="4">
        <v>1.05</v>
      </c>
      <c r="F2052" s="4">
        <v>389.34</v>
      </c>
      <c r="G2052" s="4">
        <v>1.05</v>
      </c>
      <c r="H2052" s="4">
        <v>389.34</v>
      </c>
    </row>
    <row r="2053" s="1" customFormat="1" ht="14" spans="1:8">
      <c r="A2053" s="2">
        <v>7518014</v>
      </c>
      <c r="B2053" s="2" t="s">
        <v>2726</v>
      </c>
      <c r="C2053" s="3" t="s">
        <v>824</v>
      </c>
      <c r="D2053" s="4">
        <v>2142.66</v>
      </c>
      <c r="E2053" s="4">
        <v>1.28</v>
      </c>
      <c r="F2053" s="4">
        <v>2742.61</v>
      </c>
      <c r="G2053" s="4">
        <v>1.28</v>
      </c>
      <c r="H2053" s="4">
        <v>2742.61</v>
      </c>
    </row>
    <row r="2054" s="1" customFormat="1" ht="14" spans="1:8">
      <c r="A2054" s="2">
        <v>7518015</v>
      </c>
      <c r="B2054" s="2" t="s">
        <v>2727</v>
      </c>
      <c r="C2054" s="3" t="s">
        <v>824</v>
      </c>
      <c r="D2054" s="4">
        <v>2105.28</v>
      </c>
      <c r="E2054" s="4">
        <v>2.31</v>
      </c>
      <c r="F2054" s="4">
        <v>4863.21</v>
      </c>
      <c r="G2054" s="4">
        <v>2.31</v>
      </c>
      <c r="H2054" s="4">
        <v>4863.21</v>
      </c>
    </row>
    <row r="2055" s="1" customFormat="1" ht="14" spans="1:8">
      <c r="A2055" s="2">
        <v>7518016</v>
      </c>
      <c r="B2055" s="2" t="s">
        <v>2728</v>
      </c>
      <c r="C2055" s="3" t="s">
        <v>824</v>
      </c>
      <c r="D2055" s="4">
        <v>570.7</v>
      </c>
      <c r="E2055" s="4">
        <v>2.5</v>
      </c>
      <c r="F2055" s="4">
        <v>1426.75</v>
      </c>
      <c r="G2055" s="4">
        <v>2.5</v>
      </c>
      <c r="H2055" s="4">
        <v>1426.75</v>
      </c>
    </row>
    <row r="2056" s="1" customFormat="1" ht="14" spans="1:8">
      <c r="A2056" s="2">
        <v>7518110</v>
      </c>
      <c r="B2056" s="2" t="s">
        <v>2729</v>
      </c>
      <c r="C2056" s="3" t="s">
        <v>824</v>
      </c>
      <c r="D2056" s="4">
        <v>1151.4</v>
      </c>
      <c r="E2056" s="4">
        <v>9.36</v>
      </c>
      <c r="F2056" s="4">
        <v>10777.11</v>
      </c>
      <c r="G2056" s="4">
        <v>9.36</v>
      </c>
      <c r="H2056" s="4">
        <v>10777.11</v>
      </c>
    </row>
    <row r="2057" s="1" customFormat="1" ht="14" spans="1:8">
      <c r="A2057" s="2">
        <v>7519010</v>
      </c>
      <c r="B2057" s="2" t="s">
        <v>2730</v>
      </c>
      <c r="C2057" s="3" t="s">
        <v>824</v>
      </c>
      <c r="D2057" s="4">
        <v>2015.96</v>
      </c>
      <c r="E2057" s="4">
        <v>253.62</v>
      </c>
      <c r="F2057" s="4">
        <v>511287.75</v>
      </c>
      <c r="G2057" s="4">
        <v>253.62</v>
      </c>
      <c r="H2057" s="4">
        <v>511287.75</v>
      </c>
    </row>
    <row r="2058" s="1" customFormat="1" ht="14" spans="1:8">
      <c r="A2058" s="2">
        <v>7519110</v>
      </c>
      <c r="B2058" s="2" t="s">
        <v>2731</v>
      </c>
      <c r="C2058" s="3" t="s">
        <v>824</v>
      </c>
      <c r="D2058" s="4">
        <v>375.72</v>
      </c>
      <c r="E2058" s="4">
        <v>145.88</v>
      </c>
      <c r="F2058" s="4">
        <v>54810.04</v>
      </c>
      <c r="G2058" s="4">
        <v>145.88</v>
      </c>
      <c r="H2058" s="4">
        <v>54810.04</v>
      </c>
    </row>
    <row r="2059" s="1" customFormat="1" ht="14" spans="1:8">
      <c r="A2059" s="2">
        <v>7519310</v>
      </c>
      <c r="B2059" s="2" t="s">
        <v>2732</v>
      </c>
      <c r="C2059" s="3" t="s">
        <v>472</v>
      </c>
      <c r="D2059" s="4">
        <v>40.2</v>
      </c>
      <c r="E2059" s="4">
        <v>38.58</v>
      </c>
      <c r="F2059" s="4">
        <v>1550.92</v>
      </c>
      <c r="G2059" s="4">
        <v>38.58</v>
      </c>
      <c r="H2059" s="4">
        <v>1550.92</v>
      </c>
    </row>
    <row r="2060" s="1" customFormat="1" ht="14" spans="1:8">
      <c r="A2060" s="2">
        <v>7519311</v>
      </c>
      <c r="B2060" s="2" t="s">
        <v>2733</v>
      </c>
      <c r="C2060" s="3" t="s">
        <v>472</v>
      </c>
      <c r="D2060" s="4">
        <v>3597.9</v>
      </c>
      <c r="E2060" s="4">
        <v>50.16</v>
      </c>
      <c r="F2060" s="4">
        <v>180470.66</v>
      </c>
      <c r="G2060" s="4">
        <v>50.16</v>
      </c>
      <c r="H2060" s="4">
        <v>180470.66</v>
      </c>
    </row>
    <row r="2061" s="1" customFormat="1" ht="14" spans="1:8">
      <c r="A2061" s="2">
        <v>7519312</v>
      </c>
      <c r="B2061" s="2" t="s">
        <v>2734</v>
      </c>
      <c r="C2061" s="3" t="s">
        <v>472</v>
      </c>
      <c r="D2061" s="4">
        <v>1909.5</v>
      </c>
      <c r="E2061" s="4">
        <v>56.04</v>
      </c>
      <c r="F2061" s="4">
        <v>107008.38</v>
      </c>
      <c r="G2061" s="4">
        <v>56.04</v>
      </c>
      <c r="H2061" s="4">
        <v>107008.38</v>
      </c>
    </row>
    <row r="2062" s="1" customFormat="1" ht="14" spans="1:8">
      <c r="A2062" s="2">
        <v>7519313</v>
      </c>
      <c r="B2062" s="2" t="s">
        <v>2735</v>
      </c>
      <c r="C2062" s="3" t="s">
        <v>472</v>
      </c>
      <c r="D2062" s="4">
        <v>4393.2</v>
      </c>
      <c r="E2062" s="4">
        <v>74.36</v>
      </c>
      <c r="F2062" s="4">
        <v>326678.35</v>
      </c>
      <c r="G2062" s="4">
        <v>74.36</v>
      </c>
      <c r="H2062" s="4">
        <v>326678.35</v>
      </c>
    </row>
    <row r="2063" s="1" customFormat="1" ht="14" spans="1:8">
      <c r="A2063" s="2">
        <v>7519516</v>
      </c>
      <c r="B2063" s="2" t="s">
        <v>2736</v>
      </c>
      <c r="C2063" s="3" t="s">
        <v>824</v>
      </c>
      <c r="D2063" s="4">
        <v>545970.04</v>
      </c>
      <c r="E2063" s="4">
        <v>0.3</v>
      </c>
      <c r="F2063" s="4">
        <v>163791.01</v>
      </c>
      <c r="G2063" s="4">
        <v>0.3</v>
      </c>
      <c r="H2063" s="4">
        <v>163791.01</v>
      </c>
    </row>
    <row r="2064" s="1" customFormat="1" ht="14" spans="1:8">
      <c r="A2064" s="2">
        <v>7611011</v>
      </c>
      <c r="B2064" s="2" t="s">
        <v>2737</v>
      </c>
      <c r="C2064" s="3" t="s">
        <v>1019</v>
      </c>
      <c r="D2064" s="4">
        <v>76</v>
      </c>
      <c r="E2064" s="4">
        <v>51.28</v>
      </c>
      <c r="F2064" s="4">
        <v>3897.28</v>
      </c>
      <c r="G2064" s="4">
        <v>51.28</v>
      </c>
      <c r="H2064" s="4">
        <v>3897.28</v>
      </c>
    </row>
    <row r="2065" s="1" customFormat="1" ht="14" spans="1:8">
      <c r="A2065" s="2">
        <v>7611012</v>
      </c>
      <c r="B2065" s="2" t="s">
        <v>2738</v>
      </c>
      <c r="C2065" s="3" t="s">
        <v>1019</v>
      </c>
      <c r="D2065" s="4">
        <v>3</v>
      </c>
      <c r="E2065" s="4">
        <v>84.47</v>
      </c>
      <c r="F2065" s="4">
        <v>253.41</v>
      </c>
      <c r="G2065" s="4">
        <v>84.47</v>
      </c>
      <c r="H2065" s="4">
        <v>253.41</v>
      </c>
    </row>
    <row r="2066" s="1" customFormat="1" ht="14" spans="1:8">
      <c r="A2066" s="2">
        <v>7611014</v>
      </c>
      <c r="B2066" s="2" t="s">
        <v>2739</v>
      </c>
      <c r="C2066" s="3" t="s">
        <v>1019</v>
      </c>
      <c r="D2066" s="4">
        <v>15</v>
      </c>
      <c r="E2066" s="4">
        <v>188.05</v>
      </c>
      <c r="F2066" s="4">
        <v>2820.75</v>
      </c>
      <c r="G2066" s="4">
        <v>188.05</v>
      </c>
      <c r="H2066" s="4">
        <v>2820.75</v>
      </c>
    </row>
    <row r="2067" s="1" customFormat="1" ht="14" spans="1:8">
      <c r="A2067" s="2">
        <v>7611015</v>
      </c>
      <c r="B2067" s="2" t="s">
        <v>2740</v>
      </c>
      <c r="C2067" s="3" t="s">
        <v>1019</v>
      </c>
      <c r="D2067" s="4">
        <v>20</v>
      </c>
      <c r="E2067" s="4">
        <v>362.03</v>
      </c>
      <c r="F2067" s="4">
        <v>7240.6</v>
      </c>
      <c r="G2067" s="4">
        <v>362.03</v>
      </c>
      <c r="H2067" s="4">
        <v>7240.6</v>
      </c>
    </row>
    <row r="2068" s="1" customFormat="1" ht="28" spans="1:8">
      <c r="A2068" s="2">
        <v>7612115</v>
      </c>
      <c r="B2068" s="2" t="s">
        <v>2741</v>
      </c>
      <c r="C2068" s="3" t="s">
        <v>876</v>
      </c>
      <c r="D2068" s="4">
        <v>4</v>
      </c>
      <c r="E2068" s="4">
        <v>134.18</v>
      </c>
      <c r="F2068" s="4">
        <v>536.72</v>
      </c>
      <c r="G2068" s="4">
        <v>134.18</v>
      </c>
      <c r="H2068" s="4">
        <v>536.72</v>
      </c>
    </row>
    <row r="2069" s="1" customFormat="1" ht="14" spans="1:8">
      <c r="A2069" s="2">
        <v>7710010</v>
      </c>
      <c r="B2069" s="2" t="s">
        <v>2742</v>
      </c>
      <c r="C2069" s="3" t="s">
        <v>472</v>
      </c>
      <c r="D2069" s="4">
        <v>191.9</v>
      </c>
      <c r="E2069" s="4">
        <v>631.06</v>
      </c>
      <c r="F2069" s="4">
        <v>121100.43</v>
      </c>
      <c r="G2069" s="4">
        <v>631.06</v>
      </c>
      <c r="H2069" s="4">
        <v>121100.43</v>
      </c>
    </row>
    <row r="2070" s="1" customFormat="1" ht="14" spans="1:8">
      <c r="A2070" s="2">
        <v>7710011</v>
      </c>
      <c r="B2070" s="2" t="s">
        <v>2743</v>
      </c>
      <c r="C2070" s="3" t="s">
        <v>472</v>
      </c>
      <c r="D2070" s="4">
        <v>3080.5</v>
      </c>
      <c r="E2070" s="4">
        <v>677.35</v>
      </c>
      <c r="F2070" s="4">
        <v>2086576.68</v>
      </c>
      <c r="G2070" s="4">
        <v>677.35</v>
      </c>
      <c r="H2070" s="4">
        <v>2086576.68</v>
      </c>
    </row>
    <row r="2071" s="1" customFormat="1" ht="14" spans="1:8">
      <c r="A2071" s="2">
        <v>7710017</v>
      </c>
      <c r="B2071" s="2" t="s">
        <v>2744</v>
      </c>
      <c r="C2071" s="3" t="s">
        <v>472</v>
      </c>
      <c r="D2071" s="4">
        <v>969.6</v>
      </c>
      <c r="E2071" s="4">
        <v>231.05</v>
      </c>
      <c r="F2071" s="4">
        <v>224026.08</v>
      </c>
      <c r="G2071" s="4">
        <v>231.05</v>
      </c>
      <c r="H2071" s="4">
        <v>224026.08</v>
      </c>
    </row>
    <row r="2072" s="1" customFormat="1" ht="14" spans="1:8">
      <c r="A2072" s="2">
        <v>7710153</v>
      </c>
      <c r="B2072" s="2" t="s">
        <v>2745</v>
      </c>
      <c r="C2072" s="3" t="s">
        <v>472</v>
      </c>
      <c r="D2072" s="4">
        <v>4517.73</v>
      </c>
      <c r="E2072" s="4">
        <v>283.31</v>
      </c>
      <c r="F2072" s="4">
        <v>1279918.09</v>
      </c>
      <c r="G2072" s="4">
        <v>283.31</v>
      </c>
      <c r="H2072" s="4">
        <v>1279918.09</v>
      </c>
    </row>
    <row r="2073" s="1" customFormat="1" ht="14" spans="1:8">
      <c r="A2073" s="2">
        <v>7713710</v>
      </c>
      <c r="B2073" s="2" t="s">
        <v>2746</v>
      </c>
      <c r="C2073" s="3" t="s">
        <v>824</v>
      </c>
      <c r="D2073" s="4">
        <v>5</v>
      </c>
      <c r="E2073" s="4">
        <v>86.76</v>
      </c>
      <c r="F2073" s="4">
        <v>433.8</v>
      </c>
      <c r="G2073" s="4">
        <v>86.76</v>
      </c>
      <c r="H2073" s="4">
        <v>433.8</v>
      </c>
    </row>
    <row r="2074" s="1" customFormat="1" ht="14" spans="1:8">
      <c r="A2074" s="2">
        <v>7810011</v>
      </c>
      <c r="B2074" s="2" t="s">
        <v>2747</v>
      </c>
      <c r="C2074" s="3" t="s">
        <v>824</v>
      </c>
      <c r="D2074" s="4">
        <v>521.16</v>
      </c>
      <c r="E2074" s="4">
        <v>0.69</v>
      </c>
      <c r="F2074" s="4">
        <v>359.6</v>
      </c>
      <c r="G2074" s="4">
        <v>0.69</v>
      </c>
      <c r="H2074" s="4">
        <v>359.6</v>
      </c>
    </row>
    <row r="2075" s="1" customFormat="1" ht="14" spans="1:8">
      <c r="A2075" s="2">
        <v>7810112</v>
      </c>
      <c r="B2075" s="2" t="s">
        <v>2748</v>
      </c>
      <c r="C2075" s="3" t="s">
        <v>876</v>
      </c>
      <c r="D2075" s="4">
        <v>2.02</v>
      </c>
      <c r="E2075" s="4">
        <v>74.56</v>
      </c>
      <c r="F2075" s="4">
        <v>150.61</v>
      </c>
      <c r="G2075" s="4">
        <v>74.56</v>
      </c>
      <c r="H2075" s="4">
        <v>150.61</v>
      </c>
    </row>
    <row r="2076" s="1" customFormat="1" ht="14" spans="1:8">
      <c r="A2076" s="2">
        <v>7810117</v>
      </c>
      <c r="B2076" s="2" t="s">
        <v>2749</v>
      </c>
      <c r="C2076" s="3" t="s">
        <v>1172</v>
      </c>
      <c r="D2076" s="4">
        <v>6.06</v>
      </c>
      <c r="E2076" s="4">
        <v>1.24</v>
      </c>
      <c r="F2076" s="4">
        <v>7.51</v>
      </c>
      <c r="G2076" s="4">
        <v>1.24</v>
      </c>
      <c r="H2076" s="4">
        <v>7.51</v>
      </c>
    </row>
    <row r="2077" s="1" customFormat="1" ht="14" spans="1:8">
      <c r="A2077" s="2">
        <v>7810222</v>
      </c>
      <c r="B2077" s="2" t="s">
        <v>2750</v>
      </c>
      <c r="C2077" s="3" t="s">
        <v>824</v>
      </c>
      <c r="D2077" s="4">
        <v>73.71</v>
      </c>
      <c r="E2077" s="4">
        <v>24.87</v>
      </c>
      <c r="F2077" s="4">
        <v>1833.17</v>
      </c>
      <c r="G2077" s="4">
        <v>24.87</v>
      </c>
      <c r="H2077" s="4">
        <v>1833.17</v>
      </c>
    </row>
    <row r="2078" s="1" customFormat="1" ht="14" spans="1:8">
      <c r="A2078" s="2">
        <v>7810224</v>
      </c>
      <c r="B2078" s="2" t="s">
        <v>2751</v>
      </c>
      <c r="C2078" s="3" t="s">
        <v>824</v>
      </c>
      <c r="D2078" s="4">
        <v>1382</v>
      </c>
      <c r="E2078" s="4">
        <v>68.6</v>
      </c>
      <c r="F2078" s="4">
        <v>94805.2</v>
      </c>
      <c r="G2078" s="4">
        <v>68.6</v>
      </c>
      <c r="H2078" s="4">
        <v>94805.2</v>
      </c>
    </row>
    <row r="2079" s="1" customFormat="1" ht="14" spans="1:8">
      <c r="A2079" s="2">
        <v>7810229</v>
      </c>
      <c r="B2079" s="2" t="s">
        <v>2752</v>
      </c>
      <c r="C2079" s="3" t="s">
        <v>824</v>
      </c>
      <c r="D2079" s="4">
        <v>2.02</v>
      </c>
      <c r="E2079" s="4">
        <v>428.75</v>
      </c>
      <c r="F2079" s="4">
        <v>866.08</v>
      </c>
      <c r="G2079" s="4">
        <v>428.75</v>
      </c>
      <c r="H2079" s="4">
        <v>866.08</v>
      </c>
    </row>
    <row r="2080" s="1" customFormat="1" ht="14" spans="1:8">
      <c r="A2080" s="2">
        <v>7810231</v>
      </c>
      <c r="B2080" s="2" t="s">
        <v>2753</v>
      </c>
      <c r="C2080" s="3" t="s">
        <v>824</v>
      </c>
      <c r="D2080" s="4">
        <v>2.02</v>
      </c>
      <c r="E2080" s="4">
        <v>385.87</v>
      </c>
      <c r="F2080" s="4">
        <v>779.46</v>
      </c>
      <c r="G2080" s="4">
        <v>385.87</v>
      </c>
      <c r="H2080" s="4">
        <v>779.46</v>
      </c>
    </row>
    <row r="2081" s="1" customFormat="1" ht="14" spans="1:8">
      <c r="A2081" s="2">
        <v>7810232</v>
      </c>
      <c r="B2081" s="2" t="s">
        <v>2754</v>
      </c>
      <c r="C2081" s="3" t="s">
        <v>824</v>
      </c>
      <c r="D2081" s="4">
        <v>2.02</v>
      </c>
      <c r="E2081" s="4">
        <v>497.35</v>
      </c>
      <c r="F2081" s="4">
        <v>1004.65</v>
      </c>
      <c r="G2081" s="4">
        <v>497.35</v>
      </c>
      <c r="H2081" s="4">
        <v>1004.65</v>
      </c>
    </row>
    <row r="2082" s="1" customFormat="1" ht="14" spans="1:8">
      <c r="A2082" s="2">
        <v>7810235</v>
      </c>
      <c r="B2082" s="2" t="s">
        <v>2755</v>
      </c>
      <c r="C2082" s="3" t="s">
        <v>876</v>
      </c>
      <c r="D2082" s="4">
        <v>2</v>
      </c>
      <c r="E2082" s="4">
        <v>58.31</v>
      </c>
      <c r="F2082" s="4">
        <v>116.62</v>
      </c>
      <c r="G2082" s="4">
        <v>58.31</v>
      </c>
      <c r="H2082" s="4">
        <v>116.62</v>
      </c>
    </row>
    <row r="2083" s="1" customFormat="1" ht="14" spans="1:8">
      <c r="A2083" s="2">
        <v>7812111</v>
      </c>
      <c r="B2083" s="2" t="s">
        <v>2756</v>
      </c>
      <c r="C2083" s="3" t="s">
        <v>29</v>
      </c>
      <c r="D2083" s="4">
        <v>1336.9</v>
      </c>
      <c r="E2083" s="4">
        <v>6430.73</v>
      </c>
      <c r="F2083" s="4">
        <v>8597242.94</v>
      </c>
      <c r="G2083" s="4">
        <v>7722</v>
      </c>
      <c r="H2083" s="4">
        <v>10323541.8</v>
      </c>
    </row>
    <row r="2084" s="1" customFormat="1" ht="14" spans="1:8">
      <c r="A2084" s="2">
        <v>7813210</v>
      </c>
      <c r="B2084" s="2" t="s">
        <v>2757</v>
      </c>
      <c r="C2084" s="3" t="s">
        <v>876</v>
      </c>
      <c r="D2084" s="4">
        <v>14458.16</v>
      </c>
      <c r="E2084" s="4">
        <v>6.06</v>
      </c>
      <c r="F2084" s="4">
        <v>87616.44</v>
      </c>
      <c r="G2084" s="4">
        <v>6.06</v>
      </c>
      <c r="H2084" s="4">
        <v>87616.44</v>
      </c>
    </row>
    <row r="2085" s="1" customFormat="1" ht="14" spans="1:8">
      <c r="A2085" s="2">
        <v>7910211</v>
      </c>
      <c r="B2085" s="2" t="s">
        <v>2758</v>
      </c>
      <c r="C2085" s="3" t="s">
        <v>52</v>
      </c>
      <c r="D2085" s="4">
        <v>1090.76</v>
      </c>
      <c r="E2085" s="4">
        <v>41.98</v>
      </c>
      <c r="F2085" s="4">
        <v>45790.11</v>
      </c>
      <c r="G2085" s="4">
        <v>41.98</v>
      </c>
      <c r="H2085" s="4">
        <v>45790.11</v>
      </c>
    </row>
    <row r="2086" s="1" customFormat="1" ht="14" spans="1:8">
      <c r="A2086" s="2">
        <v>7912023</v>
      </c>
      <c r="B2086" s="2" t="s">
        <v>2759</v>
      </c>
      <c r="C2086" s="3" t="s">
        <v>472</v>
      </c>
      <c r="D2086" s="4">
        <v>5</v>
      </c>
      <c r="E2086" s="4">
        <v>5.1</v>
      </c>
      <c r="F2086" s="4">
        <v>25.5</v>
      </c>
      <c r="G2086" s="4">
        <v>5.1</v>
      </c>
      <c r="H2086" s="4">
        <v>25.5</v>
      </c>
    </row>
    <row r="2087" s="1" customFormat="1" ht="14" spans="1:8">
      <c r="A2087" s="2">
        <v>7912025</v>
      </c>
      <c r="B2087" s="2" t="s">
        <v>2760</v>
      </c>
      <c r="C2087" s="3" t="s">
        <v>824</v>
      </c>
      <c r="D2087" s="4">
        <v>8.16</v>
      </c>
      <c r="E2087" s="4">
        <v>2.35</v>
      </c>
      <c r="F2087" s="4">
        <v>19.18</v>
      </c>
      <c r="G2087" s="4">
        <v>2.35</v>
      </c>
      <c r="H2087" s="4">
        <v>19.18</v>
      </c>
    </row>
    <row r="2088" s="1" customFormat="1" ht="14" spans="1:8">
      <c r="A2088" s="2">
        <v>7912027</v>
      </c>
      <c r="B2088" s="2" t="s">
        <v>2761</v>
      </c>
      <c r="C2088" s="3" t="s">
        <v>472</v>
      </c>
      <c r="D2088" s="4">
        <v>1105.5</v>
      </c>
      <c r="E2088" s="4">
        <v>65.95</v>
      </c>
      <c r="F2088" s="4">
        <v>72907.73</v>
      </c>
      <c r="G2088" s="4">
        <v>65.95</v>
      </c>
      <c r="H2088" s="4">
        <v>72907.73</v>
      </c>
    </row>
    <row r="2089" s="1" customFormat="1" ht="14" spans="1:8">
      <c r="A2089" s="2">
        <v>7912028</v>
      </c>
      <c r="B2089" s="2" t="s">
        <v>2762</v>
      </c>
      <c r="C2089" s="3" t="s">
        <v>472</v>
      </c>
      <c r="D2089" s="4">
        <v>3728.55</v>
      </c>
      <c r="E2089" s="4">
        <v>93.38</v>
      </c>
      <c r="F2089" s="4">
        <v>348172.57</v>
      </c>
      <c r="G2089" s="4">
        <v>93.38</v>
      </c>
      <c r="H2089" s="4">
        <v>348172.57</v>
      </c>
    </row>
    <row r="2090" s="1" customFormat="1" ht="14" spans="1:8">
      <c r="A2090" s="2">
        <v>7912030</v>
      </c>
      <c r="B2090" s="2" t="s">
        <v>2763</v>
      </c>
      <c r="C2090" s="3" t="s">
        <v>472</v>
      </c>
      <c r="D2090" s="4">
        <v>353.26</v>
      </c>
      <c r="E2090" s="4">
        <v>200.35</v>
      </c>
      <c r="F2090" s="4">
        <v>70775.64</v>
      </c>
      <c r="G2090" s="4">
        <v>200.35</v>
      </c>
      <c r="H2090" s="4">
        <v>70775.64</v>
      </c>
    </row>
    <row r="2091" s="1" customFormat="1" ht="14" spans="1:8">
      <c r="A2091" s="2">
        <v>7912033</v>
      </c>
      <c r="B2091" s="2" t="s">
        <v>2764</v>
      </c>
      <c r="C2091" s="3" t="s">
        <v>876</v>
      </c>
      <c r="D2091" s="4">
        <v>78.4</v>
      </c>
      <c r="E2091" s="4">
        <v>69.85</v>
      </c>
      <c r="F2091" s="4">
        <v>5476.25</v>
      </c>
      <c r="G2091" s="4">
        <v>69.85</v>
      </c>
      <c r="H2091" s="4">
        <v>5476.25</v>
      </c>
    </row>
    <row r="2092" s="1" customFormat="1" ht="14" spans="1:8">
      <c r="A2092" s="2">
        <v>7912034</v>
      </c>
      <c r="B2092" s="2" t="s">
        <v>2765</v>
      </c>
      <c r="C2092" s="3" t="s">
        <v>876</v>
      </c>
      <c r="D2092" s="4">
        <v>3227</v>
      </c>
      <c r="E2092" s="4">
        <v>58.08</v>
      </c>
      <c r="F2092" s="4">
        <v>187424.16</v>
      </c>
      <c r="G2092" s="4">
        <v>58.08</v>
      </c>
      <c r="H2092" s="4">
        <v>187424.16</v>
      </c>
    </row>
    <row r="2093" s="1" customFormat="1" ht="14" spans="1:8">
      <c r="A2093" s="2">
        <v>7912035</v>
      </c>
      <c r="B2093" s="2" t="s">
        <v>2766</v>
      </c>
      <c r="C2093" s="3" t="s">
        <v>876</v>
      </c>
      <c r="D2093" s="4">
        <v>167.65</v>
      </c>
      <c r="E2093" s="4">
        <v>63.7</v>
      </c>
      <c r="F2093" s="4">
        <v>10679.32</v>
      </c>
      <c r="G2093" s="4">
        <v>63.7</v>
      </c>
      <c r="H2093" s="4">
        <v>10679.32</v>
      </c>
    </row>
    <row r="2094" s="1" customFormat="1" ht="28" spans="1:8">
      <c r="A2094" s="2">
        <v>7912052</v>
      </c>
      <c r="B2094" s="2" t="s">
        <v>2767</v>
      </c>
      <c r="C2094" s="3" t="s">
        <v>824</v>
      </c>
      <c r="D2094" s="4">
        <v>2687.61</v>
      </c>
      <c r="E2094" s="4">
        <v>60.03</v>
      </c>
      <c r="F2094" s="4">
        <v>161337.22</v>
      </c>
      <c r="G2094" s="4">
        <v>60.03</v>
      </c>
      <c r="H2094" s="4">
        <v>161337.22</v>
      </c>
    </row>
    <row r="2095" s="1" customFormat="1" ht="14" spans="1:8">
      <c r="A2095" s="2">
        <v>7912056</v>
      </c>
      <c r="B2095" s="2" t="s">
        <v>2768</v>
      </c>
      <c r="C2095" s="3" t="s">
        <v>824</v>
      </c>
      <c r="D2095" s="4">
        <v>2687.61</v>
      </c>
      <c r="E2095" s="4">
        <v>9.09</v>
      </c>
      <c r="F2095" s="4">
        <v>24430.37</v>
      </c>
      <c r="G2095" s="4">
        <v>9.09</v>
      </c>
      <c r="H2095" s="4">
        <v>24430.37</v>
      </c>
    </row>
    <row r="2096" s="1" customFormat="1" ht="14" spans="1:8">
      <c r="A2096" s="2">
        <v>7912060</v>
      </c>
      <c r="B2096" s="2" t="s">
        <v>2769</v>
      </c>
      <c r="C2096" s="3" t="s">
        <v>876</v>
      </c>
      <c r="D2096" s="4">
        <v>45.85</v>
      </c>
      <c r="E2096" s="4">
        <v>88.91</v>
      </c>
      <c r="F2096" s="4">
        <v>4076.52</v>
      </c>
      <c r="G2096" s="4">
        <v>88.91</v>
      </c>
      <c r="H2096" s="4">
        <v>4076.52</v>
      </c>
    </row>
    <row r="2097" s="1" customFormat="1" ht="14" spans="1:8">
      <c r="A2097" s="2">
        <v>7912061</v>
      </c>
      <c r="B2097" s="2" t="s">
        <v>2770</v>
      </c>
      <c r="C2097" s="3" t="s">
        <v>876</v>
      </c>
      <c r="D2097" s="4">
        <v>11.9</v>
      </c>
      <c r="E2097" s="4">
        <v>82.58</v>
      </c>
      <c r="F2097" s="4">
        <v>982.7</v>
      </c>
      <c r="G2097" s="4">
        <v>82.58</v>
      </c>
      <c r="H2097" s="4">
        <v>982.7</v>
      </c>
    </row>
    <row r="2098" s="1" customFormat="1" ht="14" spans="1:8">
      <c r="A2098" s="2">
        <v>7912062</v>
      </c>
      <c r="B2098" s="2" t="s">
        <v>2771</v>
      </c>
      <c r="C2098" s="3" t="s">
        <v>472</v>
      </c>
      <c r="D2098" s="4">
        <v>82.91</v>
      </c>
      <c r="E2098" s="4">
        <v>277.42</v>
      </c>
      <c r="F2098" s="4">
        <v>23000.89</v>
      </c>
      <c r="G2098" s="4">
        <v>277.42</v>
      </c>
      <c r="H2098" s="4">
        <v>23000.89</v>
      </c>
    </row>
    <row r="2099" s="1" customFormat="1" ht="14" spans="1:8">
      <c r="A2099" s="2">
        <v>7912073</v>
      </c>
      <c r="B2099" s="2" t="s">
        <v>2772</v>
      </c>
      <c r="C2099" s="3" t="s">
        <v>876</v>
      </c>
      <c r="D2099" s="4">
        <v>43.05</v>
      </c>
      <c r="E2099" s="4">
        <v>205.8</v>
      </c>
      <c r="F2099" s="4">
        <v>8859.69</v>
      </c>
      <c r="G2099" s="4">
        <v>205.8</v>
      </c>
      <c r="H2099" s="4">
        <v>8859.69</v>
      </c>
    </row>
    <row r="2100" s="1" customFormat="1" ht="14" spans="1:8">
      <c r="A2100" s="2">
        <v>7912074</v>
      </c>
      <c r="B2100" s="2" t="s">
        <v>2773</v>
      </c>
      <c r="C2100" s="3" t="s">
        <v>876</v>
      </c>
      <c r="D2100" s="4">
        <v>2.1</v>
      </c>
      <c r="E2100" s="4">
        <v>137.2</v>
      </c>
      <c r="F2100" s="4">
        <v>288.12</v>
      </c>
      <c r="G2100" s="4">
        <v>137.2</v>
      </c>
      <c r="H2100" s="4">
        <v>288.12</v>
      </c>
    </row>
    <row r="2101" s="1" customFormat="1" ht="14" spans="1:8">
      <c r="A2101" s="2">
        <v>7912075</v>
      </c>
      <c r="B2101" s="2" t="s">
        <v>2774</v>
      </c>
      <c r="C2101" s="3" t="s">
        <v>876</v>
      </c>
      <c r="D2101" s="4">
        <v>8.4</v>
      </c>
      <c r="E2101" s="4">
        <v>343</v>
      </c>
      <c r="F2101" s="4">
        <v>2881.2</v>
      </c>
      <c r="G2101" s="4">
        <v>343</v>
      </c>
      <c r="H2101" s="4">
        <v>2881.2</v>
      </c>
    </row>
    <row r="2102" s="1" customFormat="1" ht="14" spans="1:8">
      <c r="A2102" s="2">
        <v>7912076</v>
      </c>
      <c r="B2102" s="2" t="s">
        <v>2775</v>
      </c>
      <c r="C2102" s="3" t="s">
        <v>876</v>
      </c>
      <c r="D2102" s="4">
        <v>27.84</v>
      </c>
      <c r="E2102" s="4">
        <v>301.84</v>
      </c>
      <c r="F2102" s="4">
        <v>8403.23</v>
      </c>
      <c r="G2102" s="4">
        <v>301.84</v>
      </c>
      <c r="H2102" s="4">
        <v>8403.23</v>
      </c>
    </row>
    <row r="2103" s="1" customFormat="1" ht="14" spans="1:8">
      <c r="A2103" s="2">
        <v>7912077</v>
      </c>
      <c r="B2103" s="2" t="s">
        <v>2776</v>
      </c>
      <c r="C2103" s="3" t="s">
        <v>876</v>
      </c>
      <c r="D2103" s="4">
        <v>21</v>
      </c>
      <c r="E2103" s="4">
        <v>288.12</v>
      </c>
      <c r="F2103" s="4">
        <v>6050.5</v>
      </c>
      <c r="G2103" s="4">
        <v>288.12</v>
      </c>
      <c r="H2103" s="4">
        <v>6050.5</v>
      </c>
    </row>
    <row r="2104" s="1" customFormat="1" ht="14" spans="1:8">
      <c r="A2104" s="2">
        <v>7912078</v>
      </c>
      <c r="B2104" s="2" t="s">
        <v>2777</v>
      </c>
      <c r="C2104" s="3" t="s">
        <v>876</v>
      </c>
      <c r="D2104" s="4">
        <v>21</v>
      </c>
      <c r="E2104" s="4">
        <v>144.06</v>
      </c>
      <c r="F2104" s="4">
        <v>3025.25</v>
      </c>
      <c r="G2104" s="4">
        <v>144.06</v>
      </c>
      <c r="H2104" s="4">
        <v>3025.25</v>
      </c>
    </row>
    <row r="2105" s="1" customFormat="1" ht="14" spans="1:8">
      <c r="A2105" s="2">
        <v>7912079</v>
      </c>
      <c r="B2105" s="2" t="s">
        <v>2778</v>
      </c>
      <c r="C2105" s="3" t="s">
        <v>472</v>
      </c>
      <c r="D2105" s="4">
        <v>40</v>
      </c>
      <c r="E2105" s="4">
        <v>229.81</v>
      </c>
      <c r="F2105" s="4">
        <v>9192.4</v>
      </c>
      <c r="G2105" s="4">
        <v>229.81</v>
      </c>
      <c r="H2105" s="4">
        <v>9192.4</v>
      </c>
    </row>
    <row r="2106" s="1" customFormat="1" ht="14" spans="1:8">
      <c r="A2106" s="2">
        <v>7912080</v>
      </c>
      <c r="B2106" s="2" t="s">
        <v>2779</v>
      </c>
      <c r="C2106" s="3" t="s">
        <v>472</v>
      </c>
      <c r="D2106" s="4">
        <v>16.8</v>
      </c>
      <c r="E2106" s="4">
        <v>246.96</v>
      </c>
      <c r="F2106" s="4">
        <v>4148.92</v>
      </c>
      <c r="G2106" s="4">
        <v>246.96</v>
      </c>
      <c r="H2106" s="4">
        <v>4148.92</v>
      </c>
    </row>
    <row r="2107" s="1" customFormat="1" ht="28" spans="1:8">
      <c r="A2107" s="2">
        <v>7912087</v>
      </c>
      <c r="B2107" s="2" t="s">
        <v>2780</v>
      </c>
      <c r="C2107" s="3" t="s">
        <v>472</v>
      </c>
      <c r="D2107" s="4">
        <v>45.23</v>
      </c>
      <c r="E2107" s="4">
        <v>240.1</v>
      </c>
      <c r="F2107" s="4">
        <v>10859.72</v>
      </c>
      <c r="G2107" s="4">
        <v>240.1</v>
      </c>
      <c r="H2107" s="4">
        <v>10859.72</v>
      </c>
    </row>
    <row r="2108" s="1" customFormat="1" ht="28" spans="1:8">
      <c r="A2108" s="2">
        <v>7912088</v>
      </c>
      <c r="B2108" s="2" t="s">
        <v>2781</v>
      </c>
      <c r="C2108" s="3" t="s">
        <v>472</v>
      </c>
      <c r="D2108" s="4">
        <v>45.23</v>
      </c>
      <c r="E2108" s="4">
        <v>351.57</v>
      </c>
      <c r="F2108" s="4">
        <v>15901.51</v>
      </c>
      <c r="G2108" s="4">
        <v>351.57</v>
      </c>
      <c r="H2108" s="4">
        <v>15901.51</v>
      </c>
    </row>
    <row r="2109" s="1" customFormat="1" ht="28" spans="1:8">
      <c r="A2109" s="2">
        <v>7912089</v>
      </c>
      <c r="B2109" s="2" t="s">
        <v>2782</v>
      </c>
      <c r="C2109" s="3" t="s">
        <v>472</v>
      </c>
      <c r="D2109" s="4">
        <v>20.1</v>
      </c>
      <c r="E2109" s="4">
        <v>447.61</v>
      </c>
      <c r="F2109" s="4">
        <v>8996.96</v>
      </c>
      <c r="G2109" s="4">
        <v>447.61</v>
      </c>
      <c r="H2109" s="4">
        <v>8996.96</v>
      </c>
    </row>
    <row r="2110" s="1" customFormat="1" ht="14" spans="1:8">
      <c r="A2110" s="2">
        <v>8011011</v>
      </c>
      <c r="B2110" s="2" t="s">
        <v>2783</v>
      </c>
      <c r="C2110" s="3" t="s">
        <v>472</v>
      </c>
      <c r="D2110" s="4">
        <v>365.4</v>
      </c>
      <c r="E2110" s="4">
        <v>5.14</v>
      </c>
      <c r="F2110" s="4">
        <v>1878.15</v>
      </c>
      <c r="G2110" s="4">
        <v>5.14</v>
      </c>
      <c r="H2110" s="4">
        <v>1878.15</v>
      </c>
    </row>
    <row r="2111" s="1" customFormat="1" ht="14" spans="1:8">
      <c r="A2111" s="2">
        <v>8012051</v>
      </c>
      <c r="B2111" s="2" t="s">
        <v>2784</v>
      </c>
      <c r="C2111" s="3" t="s">
        <v>472</v>
      </c>
      <c r="D2111" s="4">
        <v>2700</v>
      </c>
      <c r="E2111" s="4">
        <v>11.96</v>
      </c>
      <c r="F2111" s="4">
        <v>32292</v>
      </c>
      <c r="G2111" s="4">
        <v>11.96</v>
      </c>
      <c r="H2111" s="4">
        <v>32292</v>
      </c>
    </row>
    <row r="2112" s="1" customFormat="1" ht="14" spans="1:8">
      <c r="A2112" s="2">
        <v>8012052</v>
      </c>
      <c r="B2112" s="2" t="s">
        <v>2785</v>
      </c>
      <c r="C2112" s="3" t="s">
        <v>472</v>
      </c>
      <c r="D2112" s="4">
        <v>2900</v>
      </c>
      <c r="E2112" s="4">
        <v>13.08</v>
      </c>
      <c r="F2112" s="4">
        <v>37932</v>
      </c>
      <c r="G2112" s="4">
        <v>13.08</v>
      </c>
      <c r="H2112" s="4">
        <v>37932</v>
      </c>
    </row>
    <row r="2113" s="1" customFormat="1" ht="14" spans="1:8">
      <c r="A2113" s="2">
        <v>8012053</v>
      </c>
      <c r="B2113" s="2" t="s">
        <v>2786</v>
      </c>
      <c r="C2113" s="3" t="s">
        <v>472</v>
      </c>
      <c r="D2113" s="4">
        <v>5100</v>
      </c>
      <c r="E2113" s="4">
        <v>13.53</v>
      </c>
      <c r="F2113" s="4">
        <v>69003</v>
      </c>
      <c r="G2113" s="4">
        <v>13.53</v>
      </c>
      <c r="H2113" s="4">
        <v>69003</v>
      </c>
    </row>
    <row r="2114" s="1" customFormat="1" ht="28" spans="1:8">
      <c r="A2114" s="2">
        <v>8012056</v>
      </c>
      <c r="B2114" s="2" t="s">
        <v>2787</v>
      </c>
      <c r="C2114" s="3" t="s">
        <v>472</v>
      </c>
      <c r="D2114" s="4">
        <v>10020</v>
      </c>
      <c r="E2114" s="4">
        <v>18.71</v>
      </c>
      <c r="F2114" s="4">
        <v>187474.2</v>
      </c>
      <c r="G2114" s="4">
        <v>18.71</v>
      </c>
      <c r="H2114" s="4">
        <v>187474.2</v>
      </c>
    </row>
    <row r="2115" s="1" customFormat="1" ht="28" spans="1:8">
      <c r="A2115" s="2">
        <v>8012088</v>
      </c>
      <c r="B2115" s="2" t="s">
        <v>2788</v>
      </c>
      <c r="C2115" s="3" t="s">
        <v>472</v>
      </c>
      <c r="D2115" s="4">
        <v>8982</v>
      </c>
      <c r="E2115" s="4">
        <v>31.77</v>
      </c>
      <c r="F2115" s="4">
        <v>285358.14</v>
      </c>
      <c r="G2115" s="4">
        <v>31.77</v>
      </c>
      <c r="H2115" s="4">
        <v>285358.14</v>
      </c>
    </row>
    <row r="2116" s="1" customFormat="1" ht="28" spans="1:8">
      <c r="A2116" s="2">
        <v>8012089</v>
      </c>
      <c r="B2116" s="2" t="s">
        <v>2789</v>
      </c>
      <c r="C2116" s="3" t="s">
        <v>472</v>
      </c>
      <c r="D2116" s="4">
        <v>19920</v>
      </c>
      <c r="E2116" s="4">
        <v>32.9</v>
      </c>
      <c r="F2116" s="4">
        <v>655368</v>
      </c>
      <c r="G2116" s="4">
        <v>32.9</v>
      </c>
      <c r="H2116" s="4">
        <v>655368</v>
      </c>
    </row>
    <row r="2117" s="1" customFormat="1" ht="28" spans="1:8">
      <c r="A2117" s="2">
        <v>8012090</v>
      </c>
      <c r="B2117" s="2" t="s">
        <v>2790</v>
      </c>
      <c r="C2117" s="3" t="s">
        <v>472</v>
      </c>
      <c r="D2117" s="4">
        <v>7161</v>
      </c>
      <c r="E2117" s="4">
        <v>33.4</v>
      </c>
      <c r="F2117" s="4">
        <v>239177.4</v>
      </c>
      <c r="G2117" s="4">
        <v>33.4</v>
      </c>
      <c r="H2117" s="4">
        <v>239177.4</v>
      </c>
    </row>
    <row r="2118" s="1" customFormat="1" ht="28" spans="1:8">
      <c r="A2118" s="2">
        <v>8016029</v>
      </c>
      <c r="B2118" s="2" t="s">
        <v>2791</v>
      </c>
      <c r="C2118" s="3" t="s">
        <v>472</v>
      </c>
      <c r="D2118" s="4">
        <v>900</v>
      </c>
      <c r="E2118" s="4">
        <v>20.4</v>
      </c>
      <c r="F2118" s="4">
        <v>18360</v>
      </c>
      <c r="G2118" s="4">
        <v>24.71</v>
      </c>
      <c r="H2118" s="4">
        <v>22239</v>
      </c>
    </row>
    <row r="2119" s="1" customFormat="1" ht="28" spans="1:8">
      <c r="A2119" s="2">
        <v>8016059</v>
      </c>
      <c r="B2119" s="2" t="s">
        <v>2792</v>
      </c>
      <c r="C2119" s="3" t="s">
        <v>472</v>
      </c>
      <c r="D2119" s="4">
        <v>12200</v>
      </c>
      <c r="E2119" s="4">
        <v>27.62</v>
      </c>
      <c r="F2119" s="4">
        <v>336964</v>
      </c>
      <c r="G2119" s="4">
        <v>34.39</v>
      </c>
      <c r="H2119" s="4">
        <v>419558</v>
      </c>
    </row>
    <row r="2120" s="1" customFormat="1" ht="14" spans="1:8">
      <c r="A2120" s="2">
        <v>8016100</v>
      </c>
      <c r="B2120" s="2" t="s">
        <v>2793</v>
      </c>
      <c r="C2120" s="3" t="s">
        <v>472</v>
      </c>
      <c r="D2120" s="4">
        <v>1920</v>
      </c>
      <c r="E2120" s="4">
        <v>8.48</v>
      </c>
      <c r="F2120" s="4">
        <v>16281.6</v>
      </c>
      <c r="G2120" s="4">
        <v>8.48</v>
      </c>
      <c r="H2120" s="4">
        <v>16281.6</v>
      </c>
    </row>
    <row r="2121" s="1" customFormat="1" ht="14" spans="1:8">
      <c r="A2121" s="2">
        <v>8016102</v>
      </c>
      <c r="B2121" s="2" t="s">
        <v>2794</v>
      </c>
      <c r="C2121" s="3" t="s">
        <v>472</v>
      </c>
      <c r="D2121" s="4">
        <v>1320</v>
      </c>
      <c r="E2121" s="4">
        <v>11.46</v>
      </c>
      <c r="F2121" s="4">
        <v>15127.2</v>
      </c>
      <c r="G2121" s="4">
        <v>11.46</v>
      </c>
      <c r="H2121" s="4">
        <v>15127.2</v>
      </c>
    </row>
    <row r="2122" s="1" customFormat="1" ht="14" spans="1:8">
      <c r="A2122" s="2">
        <v>8016104</v>
      </c>
      <c r="B2122" s="2" t="s">
        <v>2795</v>
      </c>
      <c r="C2122" s="3" t="s">
        <v>472</v>
      </c>
      <c r="D2122" s="4">
        <v>6500</v>
      </c>
      <c r="E2122" s="4">
        <v>14.16</v>
      </c>
      <c r="F2122" s="4">
        <v>92040</v>
      </c>
      <c r="G2122" s="4">
        <v>14.16</v>
      </c>
      <c r="H2122" s="4">
        <v>92040</v>
      </c>
    </row>
    <row r="2123" s="1" customFormat="1" ht="14" spans="1:8">
      <c r="A2123" s="2">
        <v>8016120</v>
      </c>
      <c r="B2123" s="2" t="s">
        <v>2796</v>
      </c>
      <c r="C2123" s="3" t="s">
        <v>472</v>
      </c>
      <c r="D2123" s="4">
        <v>1680</v>
      </c>
      <c r="E2123" s="4">
        <v>18.88</v>
      </c>
      <c r="F2123" s="4">
        <v>31718.4</v>
      </c>
      <c r="G2123" s="4">
        <v>18.88</v>
      </c>
      <c r="H2123" s="4">
        <v>31718.4</v>
      </c>
    </row>
    <row r="2124" s="1" customFormat="1" ht="14" spans="1:8">
      <c r="A2124" s="2">
        <v>8016124</v>
      </c>
      <c r="B2124" s="2" t="s">
        <v>2797</v>
      </c>
      <c r="C2124" s="3" t="s">
        <v>472</v>
      </c>
      <c r="D2124" s="4">
        <v>14000</v>
      </c>
      <c r="E2124" s="4">
        <v>19.84</v>
      </c>
      <c r="F2124" s="4">
        <v>277760</v>
      </c>
      <c r="G2124" s="4">
        <v>19.84</v>
      </c>
      <c r="H2124" s="4">
        <v>277760</v>
      </c>
    </row>
    <row r="2125" s="1" customFormat="1" ht="14" spans="1:8">
      <c r="A2125" s="2">
        <v>8017010</v>
      </c>
      <c r="B2125" s="2" t="s">
        <v>2798</v>
      </c>
      <c r="C2125" s="3" t="s">
        <v>472</v>
      </c>
      <c r="D2125" s="4">
        <v>1360</v>
      </c>
      <c r="E2125" s="4">
        <v>3</v>
      </c>
      <c r="F2125" s="4">
        <v>4080</v>
      </c>
      <c r="G2125" s="4">
        <v>3</v>
      </c>
      <c r="H2125" s="4">
        <v>4080</v>
      </c>
    </row>
    <row r="2126" s="1" customFormat="1" ht="14" spans="1:8">
      <c r="A2126" s="2">
        <v>8018019</v>
      </c>
      <c r="B2126" s="2" t="s">
        <v>2799</v>
      </c>
      <c r="C2126" s="3" t="s">
        <v>472</v>
      </c>
      <c r="D2126" s="4">
        <v>75</v>
      </c>
      <c r="E2126" s="4">
        <v>68.6</v>
      </c>
      <c r="F2126" s="4">
        <v>5145</v>
      </c>
      <c r="G2126" s="4">
        <v>68.6</v>
      </c>
      <c r="H2126" s="4">
        <v>5145</v>
      </c>
    </row>
    <row r="2127" s="1" customFormat="1" ht="14" spans="1:8">
      <c r="A2127" s="2">
        <v>8018023</v>
      </c>
      <c r="B2127" s="2" t="s">
        <v>2800</v>
      </c>
      <c r="C2127" s="3" t="s">
        <v>472</v>
      </c>
      <c r="D2127" s="4">
        <v>1287.75</v>
      </c>
      <c r="E2127" s="4">
        <v>5.49</v>
      </c>
      <c r="F2127" s="4">
        <v>7069.75</v>
      </c>
      <c r="G2127" s="4">
        <v>5.49</v>
      </c>
      <c r="H2127" s="4">
        <v>7069.75</v>
      </c>
    </row>
    <row r="2128" s="1" customFormat="1" ht="14" spans="1:8">
      <c r="A2128" s="2">
        <v>8018025</v>
      </c>
      <c r="B2128" s="2" t="s">
        <v>2801</v>
      </c>
      <c r="C2128" s="3" t="s">
        <v>472</v>
      </c>
      <c r="D2128" s="4">
        <v>12930</v>
      </c>
      <c r="E2128" s="4">
        <v>1.54</v>
      </c>
      <c r="F2128" s="4">
        <v>19912.2</v>
      </c>
      <c r="G2128" s="4">
        <v>1.54</v>
      </c>
      <c r="H2128" s="4">
        <v>19912.2</v>
      </c>
    </row>
    <row r="2129" s="1" customFormat="1" ht="14" spans="1:8">
      <c r="A2129" s="2">
        <v>8018051</v>
      </c>
      <c r="B2129" s="2" t="s">
        <v>2802</v>
      </c>
      <c r="C2129" s="3" t="s">
        <v>472</v>
      </c>
      <c r="D2129" s="4">
        <v>5650</v>
      </c>
      <c r="E2129" s="4">
        <v>1.23</v>
      </c>
      <c r="F2129" s="4">
        <v>6949.5</v>
      </c>
      <c r="G2129" s="4">
        <v>1.23</v>
      </c>
      <c r="H2129" s="4">
        <v>6949.5</v>
      </c>
    </row>
    <row r="2130" s="1" customFormat="1" ht="28" spans="1:8">
      <c r="A2130" s="2">
        <v>8018052</v>
      </c>
      <c r="B2130" s="2" t="s">
        <v>2803</v>
      </c>
      <c r="C2130" s="3" t="s">
        <v>472</v>
      </c>
      <c r="D2130" s="4">
        <v>1402.5</v>
      </c>
      <c r="E2130" s="4">
        <v>1.44</v>
      </c>
      <c r="F2130" s="4">
        <v>2019.6</v>
      </c>
      <c r="G2130" s="4">
        <v>1.44</v>
      </c>
      <c r="H2130" s="4">
        <v>2019.6</v>
      </c>
    </row>
    <row r="2131" s="1" customFormat="1" ht="28" spans="1:8">
      <c r="A2131" s="2">
        <v>8018059</v>
      </c>
      <c r="B2131" s="2" t="s">
        <v>2804</v>
      </c>
      <c r="C2131" s="3" t="s">
        <v>472</v>
      </c>
      <c r="D2131" s="4">
        <v>27200</v>
      </c>
      <c r="E2131" s="4">
        <v>1.6</v>
      </c>
      <c r="F2131" s="4">
        <v>43520</v>
      </c>
      <c r="G2131" s="4">
        <v>1.6</v>
      </c>
      <c r="H2131" s="4">
        <v>43520</v>
      </c>
    </row>
    <row r="2132" s="1" customFormat="1" ht="14" spans="1:8">
      <c r="A2132" s="2">
        <v>8018060</v>
      </c>
      <c r="B2132" s="2" t="s">
        <v>2805</v>
      </c>
      <c r="C2132" s="3" t="s">
        <v>472</v>
      </c>
      <c r="D2132" s="4">
        <v>24500</v>
      </c>
      <c r="E2132" s="4">
        <v>1.33</v>
      </c>
      <c r="F2132" s="4">
        <v>32585</v>
      </c>
      <c r="G2132" s="4">
        <v>1.33</v>
      </c>
      <c r="H2132" s="4">
        <v>32585</v>
      </c>
    </row>
    <row r="2133" s="1" customFormat="1" ht="14" spans="1:8">
      <c r="A2133" s="2">
        <v>8018064</v>
      </c>
      <c r="B2133" s="2" t="s">
        <v>2806</v>
      </c>
      <c r="C2133" s="3" t="s">
        <v>472</v>
      </c>
      <c r="D2133" s="4">
        <v>79700</v>
      </c>
      <c r="E2133" s="4">
        <v>1.78</v>
      </c>
      <c r="F2133" s="4">
        <v>141866</v>
      </c>
      <c r="G2133" s="4">
        <v>1.78</v>
      </c>
      <c r="H2133" s="4">
        <v>141866</v>
      </c>
    </row>
    <row r="2134" s="1" customFormat="1" ht="14" spans="1:8">
      <c r="A2134" s="2">
        <v>8018067</v>
      </c>
      <c r="B2134" s="2" t="s">
        <v>2807</v>
      </c>
      <c r="C2134" s="3" t="s">
        <v>472</v>
      </c>
      <c r="D2134" s="4">
        <v>19300</v>
      </c>
      <c r="E2134" s="4">
        <v>1.23</v>
      </c>
      <c r="F2134" s="4">
        <v>23739</v>
      </c>
      <c r="G2134" s="4">
        <v>1.23</v>
      </c>
      <c r="H2134" s="4">
        <v>23739</v>
      </c>
    </row>
    <row r="2135" s="1" customFormat="1" ht="14" spans="1:8">
      <c r="A2135" s="2">
        <v>8018102</v>
      </c>
      <c r="B2135" s="2" t="s">
        <v>2808</v>
      </c>
      <c r="C2135" s="3" t="s">
        <v>472</v>
      </c>
      <c r="D2135" s="4">
        <v>965</v>
      </c>
      <c r="E2135" s="4">
        <v>5.09</v>
      </c>
      <c r="F2135" s="4">
        <v>4911.85</v>
      </c>
      <c r="G2135" s="4">
        <v>5.09</v>
      </c>
      <c r="H2135" s="4">
        <v>4911.85</v>
      </c>
    </row>
    <row r="2136" s="1" customFormat="1" ht="14" spans="1:8">
      <c r="A2136" s="2">
        <v>8018110</v>
      </c>
      <c r="B2136" s="2" t="s">
        <v>2809</v>
      </c>
      <c r="C2136" s="3" t="s">
        <v>472</v>
      </c>
      <c r="D2136" s="4">
        <v>1388.75</v>
      </c>
      <c r="E2136" s="4">
        <v>13.77</v>
      </c>
      <c r="F2136" s="4">
        <v>19123.09</v>
      </c>
      <c r="G2136" s="4">
        <v>13.77</v>
      </c>
      <c r="H2136" s="4">
        <v>19123.09</v>
      </c>
    </row>
    <row r="2137" s="1" customFormat="1" ht="14" spans="1:8">
      <c r="A2137" s="2">
        <v>8018111</v>
      </c>
      <c r="B2137" s="2" t="s">
        <v>2810</v>
      </c>
      <c r="C2137" s="3" t="s">
        <v>472</v>
      </c>
      <c r="D2137" s="4">
        <v>1388.75</v>
      </c>
      <c r="E2137" s="4">
        <v>15.65</v>
      </c>
      <c r="F2137" s="4">
        <v>21733.94</v>
      </c>
      <c r="G2137" s="4">
        <v>15.65</v>
      </c>
      <c r="H2137" s="4">
        <v>21733.94</v>
      </c>
    </row>
    <row r="2138" s="1" customFormat="1" ht="14" spans="1:8">
      <c r="A2138" s="2">
        <v>8018112</v>
      </c>
      <c r="B2138" s="2" t="s">
        <v>2811</v>
      </c>
      <c r="C2138" s="3" t="s">
        <v>472</v>
      </c>
      <c r="D2138" s="4">
        <v>1386.75</v>
      </c>
      <c r="E2138" s="4">
        <v>16.55</v>
      </c>
      <c r="F2138" s="4">
        <v>22950.71</v>
      </c>
      <c r="G2138" s="4">
        <v>16.55</v>
      </c>
      <c r="H2138" s="4">
        <v>22950.71</v>
      </c>
    </row>
    <row r="2139" s="1" customFormat="1" ht="14" spans="1:8">
      <c r="A2139" s="2">
        <v>8018113</v>
      </c>
      <c r="B2139" s="2" t="s">
        <v>2812</v>
      </c>
      <c r="C2139" s="3" t="s">
        <v>472</v>
      </c>
      <c r="D2139" s="4">
        <v>13296.75</v>
      </c>
      <c r="E2139" s="4">
        <v>17.74</v>
      </c>
      <c r="F2139" s="4">
        <v>235884.35</v>
      </c>
      <c r="G2139" s="4">
        <v>17.74</v>
      </c>
      <c r="H2139" s="4">
        <v>235884.35</v>
      </c>
    </row>
    <row r="2140" s="1" customFormat="1" ht="14" spans="1:8">
      <c r="A2140" s="2">
        <v>8018121</v>
      </c>
      <c r="B2140" s="2" t="s">
        <v>2813</v>
      </c>
      <c r="C2140" s="3" t="s">
        <v>472</v>
      </c>
      <c r="D2140" s="4">
        <v>2950</v>
      </c>
      <c r="E2140" s="4">
        <v>3.97</v>
      </c>
      <c r="F2140" s="4">
        <v>11711.5</v>
      </c>
      <c r="G2140" s="4">
        <v>3.97</v>
      </c>
      <c r="H2140" s="4">
        <v>11711.5</v>
      </c>
    </row>
    <row r="2141" s="1" customFormat="1" ht="28" spans="1:8">
      <c r="A2141" s="2">
        <v>8018133</v>
      </c>
      <c r="B2141" s="2" t="s">
        <v>2814</v>
      </c>
      <c r="C2141" s="3" t="s">
        <v>472</v>
      </c>
      <c r="D2141" s="4">
        <v>562.5</v>
      </c>
      <c r="E2141" s="4">
        <v>21.22</v>
      </c>
      <c r="F2141" s="4">
        <v>11936.25</v>
      </c>
      <c r="G2141" s="4">
        <v>21.22</v>
      </c>
      <c r="H2141" s="4">
        <v>11936.25</v>
      </c>
    </row>
    <row r="2142" s="1" customFormat="1" ht="14" spans="1:8">
      <c r="A2142" s="2">
        <v>8018141</v>
      </c>
      <c r="B2142" s="2" t="s">
        <v>2815</v>
      </c>
      <c r="C2142" s="3" t="s">
        <v>472</v>
      </c>
      <c r="D2142" s="4">
        <v>10850</v>
      </c>
      <c r="E2142" s="4">
        <v>13.06</v>
      </c>
      <c r="F2142" s="4">
        <v>141701</v>
      </c>
      <c r="G2142" s="4">
        <v>13.06</v>
      </c>
      <c r="H2142" s="4">
        <v>141701</v>
      </c>
    </row>
    <row r="2143" s="1" customFormat="1" ht="14" spans="1:8">
      <c r="A2143" s="2">
        <v>8018142</v>
      </c>
      <c r="B2143" s="2" t="s">
        <v>2816</v>
      </c>
      <c r="C2143" s="3" t="s">
        <v>472</v>
      </c>
      <c r="D2143" s="4">
        <v>13903.75</v>
      </c>
      <c r="E2143" s="4">
        <v>23.34</v>
      </c>
      <c r="F2143" s="4">
        <v>324513.53</v>
      </c>
      <c r="G2143" s="4">
        <v>23.34</v>
      </c>
      <c r="H2143" s="4">
        <v>324513.53</v>
      </c>
    </row>
    <row r="2144" s="1" customFormat="1" ht="14" spans="1:8">
      <c r="A2144" s="2">
        <v>8018164</v>
      </c>
      <c r="B2144" s="2" t="s">
        <v>2817</v>
      </c>
      <c r="C2144" s="3" t="s">
        <v>472</v>
      </c>
      <c r="D2144" s="4">
        <v>1364.6</v>
      </c>
      <c r="E2144" s="4">
        <v>30.44</v>
      </c>
      <c r="F2144" s="4">
        <v>41538.43</v>
      </c>
      <c r="G2144" s="4">
        <v>30.44</v>
      </c>
      <c r="H2144" s="4">
        <v>41538.43</v>
      </c>
    </row>
    <row r="2145" s="1" customFormat="1" ht="14" spans="1:8">
      <c r="A2145" s="2">
        <v>8110016</v>
      </c>
      <c r="B2145" s="2" t="s">
        <v>2818</v>
      </c>
      <c r="C2145" s="3" t="s">
        <v>725</v>
      </c>
      <c r="D2145" s="4">
        <v>1</v>
      </c>
      <c r="E2145" s="4">
        <v>243.69</v>
      </c>
      <c r="F2145" s="4">
        <v>243.69</v>
      </c>
      <c r="G2145" s="4">
        <v>243.69</v>
      </c>
      <c r="H2145" s="4">
        <v>243.69</v>
      </c>
    </row>
    <row r="2146" s="1" customFormat="1" ht="14" spans="1:8">
      <c r="A2146" s="2">
        <v>8110037</v>
      </c>
      <c r="B2146" s="2" t="s">
        <v>2819</v>
      </c>
      <c r="C2146" s="3" t="s">
        <v>2820</v>
      </c>
      <c r="D2146" s="4">
        <v>135</v>
      </c>
      <c r="E2146" s="4">
        <v>771.75</v>
      </c>
      <c r="F2146" s="4">
        <v>104186.25</v>
      </c>
      <c r="G2146" s="4">
        <v>771.75</v>
      </c>
      <c r="H2146" s="4">
        <v>104186.25</v>
      </c>
    </row>
    <row r="2147" s="1" customFormat="1" ht="14" spans="1:8">
      <c r="A2147" s="2">
        <v>8110039</v>
      </c>
      <c r="B2147" s="2" t="s">
        <v>2821</v>
      </c>
      <c r="C2147" s="3" t="s">
        <v>2820</v>
      </c>
      <c r="D2147" s="4">
        <v>49.49</v>
      </c>
      <c r="E2147" s="4">
        <v>1509.2</v>
      </c>
      <c r="F2147" s="4">
        <v>74690.3</v>
      </c>
      <c r="G2147" s="4">
        <v>1509.2</v>
      </c>
      <c r="H2147" s="4">
        <v>74690.3</v>
      </c>
    </row>
    <row r="2148" s="1" customFormat="1" ht="28" spans="1:8">
      <c r="A2148" s="2">
        <v>8110050</v>
      </c>
      <c r="B2148" s="2" t="s">
        <v>2822</v>
      </c>
      <c r="C2148" s="3" t="s">
        <v>2820</v>
      </c>
      <c r="D2148" s="4">
        <v>353</v>
      </c>
      <c r="E2148" s="4">
        <v>996.71</v>
      </c>
      <c r="F2148" s="4">
        <v>351838.63</v>
      </c>
      <c r="G2148" s="4">
        <v>996.71</v>
      </c>
      <c r="H2148" s="4">
        <v>351838.63</v>
      </c>
    </row>
    <row r="2149" s="1" customFormat="1" ht="28" spans="1:8">
      <c r="A2149" s="2">
        <v>8110051</v>
      </c>
      <c r="B2149" s="2" t="s">
        <v>2823</v>
      </c>
      <c r="C2149" s="3" t="s">
        <v>2820</v>
      </c>
      <c r="D2149" s="4">
        <v>211</v>
      </c>
      <c r="E2149" s="4">
        <v>1350.05</v>
      </c>
      <c r="F2149" s="4">
        <v>284860.55</v>
      </c>
      <c r="G2149" s="4">
        <v>1350.05</v>
      </c>
      <c r="H2149" s="4">
        <v>284860.55</v>
      </c>
    </row>
    <row r="2150" s="1" customFormat="1" ht="28" spans="1:8">
      <c r="A2150" s="2">
        <v>8110052</v>
      </c>
      <c r="B2150" s="2" t="s">
        <v>2824</v>
      </c>
      <c r="C2150" s="3" t="s">
        <v>2820</v>
      </c>
      <c r="D2150" s="4">
        <v>236</v>
      </c>
      <c r="E2150" s="4">
        <v>1748.56</v>
      </c>
      <c r="F2150" s="4">
        <v>412660.16</v>
      </c>
      <c r="G2150" s="4">
        <v>1748.56</v>
      </c>
      <c r="H2150" s="4">
        <v>412660.16</v>
      </c>
    </row>
    <row r="2151" s="1" customFormat="1" ht="28" spans="1:8">
      <c r="A2151" s="2">
        <v>8110053</v>
      </c>
      <c r="B2151" s="2" t="s">
        <v>2825</v>
      </c>
      <c r="C2151" s="3" t="s">
        <v>2820</v>
      </c>
      <c r="D2151" s="4">
        <v>125</v>
      </c>
      <c r="E2151" s="4">
        <v>2364.82</v>
      </c>
      <c r="F2151" s="4">
        <v>295602.5</v>
      </c>
      <c r="G2151" s="4">
        <v>2364.82</v>
      </c>
      <c r="H2151" s="4">
        <v>295602.5</v>
      </c>
    </row>
    <row r="2152" s="1" customFormat="1" ht="14" spans="1:8">
      <c r="A2152" s="2">
        <v>8110054</v>
      </c>
      <c r="B2152" s="2" t="s">
        <v>2826</v>
      </c>
      <c r="C2152" s="3" t="s">
        <v>2820</v>
      </c>
      <c r="D2152" s="4">
        <v>121</v>
      </c>
      <c r="E2152" s="4">
        <v>887.66</v>
      </c>
      <c r="F2152" s="4">
        <v>107406.86</v>
      </c>
      <c r="G2152" s="4">
        <v>887.66</v>
      </c>
      <c r="H2152" s="4">
        <v>107406.86</v>
      </c>
    </row>
    <row r="2153" s="1" customFormat="1" ht="14" spans="1:8">
      <c r="A2153" s="2">
        <v>8110056</v>
      </c>
      <c r="B2153" s="2" t="s">
        <v>2827</v>
      </c>
      <c r="C2153" s="3" t="s">
        <v>2820</v>
      </c>
      <c r="D2153" s="4">
        <v>7</v>
      </c>
      <c r="E2153" s="4">
        <v>1283.85</v>
      </c>
      <c r="F2153" s="4">
        <v>8986.95</v>
      </c>
      <c r="G2153" s="4">
        <v>1283.85</v>
      </c>
      <c r="H2153" s="4">
        <v>8986.95</v>
      </c>
    </row>
    <row r="2154" s="1" customFormat="1" ht="28" spans="1:8">
      <c r="A2154" s="2">
        <v>8110061</v>
      </c>
      <c r="B2154" s="2" t="s">
        <v>2828</v>
      </c>
      <c r="C2154" s="3" t="s">
        <v>2820</v>
      </c>
      <c r="D2154" s="4">
        <v>16</v>
      </c>
      <c r="E2154" s="4">
        <v>2293.81</v>
      </c>
      <c r="F2154" s="4">
        <v>36700.96</v>
      </c>
      <c r="G2154" s="4">
        <v>2293.81</v>
      </c>
      <c r="H2154" s="4">
        <v>36700.96</v>
      </c>
    </row>
    <row r="2155" s="1" customFormat="1" ht="14" spans="1:8">
      <c r="A2155" s="2">
        <v>8110133</v>
      </c>
      <c r="B2155" s="2" t="s">
        <v>2829</v>
      </c>
      <c r="C2155" s="3" t="s">
        <v>2830</v>
      </c>
      <c r="D2155" s="4">
        <v>187</v>
      </c>
      <c r="E2155" s="4">
        <v>428.75</v>
      </c>
      <c r="F2155" s="4">
        <v>80176.25</v>
      </c>
      <c r="G2155" s="4">
        <v>428.75</v>
      </c>
      <c r="H2155" s="4">
        <v>80176.25</v>
      </c>
    </row>
    <row r="2156" s="1" customFormat="1" ht="14" spans="1:8">
      <c r="A2156" s="2">
        <v>8110134</v>
      </c>
      <c r="B2156" s="2" t="s">
        <v>2831</v>
      </c>
      <c r="C2156" s="3" t="s">
        <v>2830</v>
      </c>
      <c r="D2156" s="4">
        <v>1</v>
      </c>
      <c r="E2156" s="4">
        <v>460.91</v>
      </c>
      <c r="F2156" s="4">
        <v>460.91</v>
      </c>
      <c r="G2156" s="4">
        <v>460.91</v>
      </c>
      <c r="H2156" s="4">
        <v>460.91</v>
      </c>
    </row>
    <row r="2157" s="1" customFormat="1" ht="14" spans="1:8">
      <c r="A2157" s="2">
        <v>8110135</v>
      </c>
      <c r="B2157" s="2" t="s">
        <v>2832</v>
      </c>
      <c r="C2157" s="3" t="s">
        <v>2830</v>
      </c>
      <c r="D2157" s="4">
        <v>72</v>
      </c>
      <c r="E2157" s="4">
        <v>482.34</v>
      </c>
      <c r="F2157" s="4">
        <v>34728.48</v>
      </c>
      <c r="G2157" s="4">
        <v>482.34</v>
      </c>
      <c r="H2157" s="4">
        <v>34728.48</v>
      </c>
    </row>
    <row r="2158" s="1" customFormat="1" ht="14" spans="1:8">
      <c r="A2158" s="2">
        <v>8111031</v>
      </c>
      <c r="B2158" s="2" t="s">
        <v>2833</v>
      </c>
      <c r="C2158" s="3" t="s">
        <v>725</v>
      </c>
      <c r="D2158" s="4">
        <v>260</v>
      </c>
      <c r="E2158" s="4">
        <v>56.34</v>
      </c>
      <c r="F2158" s="4">
        <v>14648.4</v>
      </c>
      <c r="G2158" s="4">
        <v>56.34</v>
      </c>
      <c r="H2158" s="4">
        <v>14648.4</v>
      </c>
    </row>
    <row r="2159" s="1" customFormat="1" ht="14" spans="1:8">
      <c r="A2159" s="2">
        <v>8111032</v>
      </c>
      <c r="B2159" s="2" t="s">
        <v>2834</v>
      </c>
      <c r="C2159" s="3" t="s">
        <v>725</v>
      </c>
      <c r="D2159" s="4">
        <v>123</v>
      </c>
      <c r="E2159" s="4">
        <v>57.41</v>
      </c>
      <c r="F2159" s="4">
        <v>7061.43</v>
      </c>
      <c r="G2159" s="4">
        <v>57.41</v>
      </c>
      <c r="H2159" s="4">
        <v>7061.43</v>
      </c>
    </row>
    <row r="2160" s="1" customFormat="1" ht="14" spans="1:8">
      <c r="A2160" s="2">
        <v>8111035</v>
      </c>
      <c r="B2160" s="2" t="s">
        <v>2835</v>
      </c>
      <c r="C2160" s="3" t="s">
        <v>824</v>
      </c>
      <c r="D2160" s="4">
        <v>2060</v>
      </c>
      <c r="E2160" s="4">
        <v>10.4</v>
      </c>
      <c r="F2160" s="4">
        <v>21424.01</v>
      </c>
      <c r="G2160" s="4">
        <v>10.4</v>
      </c>
      <c r="H2160" s="4">
        <v>21424.01</v>
      </c>
    </row>
    <row r="2161" s="1" customFormat="1" ht="14" spans="1:8">
      <c r="A2161" s="2">
        <v>8111036</v>
      </c>
      <c r="B2161" s="2" t="s">
        <v>2836</v>
      </c>
      <c r="C2161" s="3" t="s">
        <v>725</v>
      </c>
      <c r="D2161" s="4">
        <v>188.87</v>
      </c>
      <c r="E2161" s="4">
        <v>387.73</v>
      </c>
      <c r="F2161" s="4">
        <v>73230.57</v>
      </c>
      <c r="G2161" s="4">
        <v>512</v>
      </c>
      <c r="H2161" s="4">
        <v>96701.44</v>
      </c>
    </row>
    <row r="2162" s="1" customFormat="1" ht="14" spans="1:8">
      <c r="A2162" s="2">
        <v>8111037</v>
      </c>
      <c r="B2162" s="2" t="s">
        <v>2837</v>
      </c>
      <c r="C2162" s="3" t="s">
        <v>725</v>
      </c>
      <c r="D2162" s="4">
        <v>1.01</v>
      </c>
      <c r="E2162" s="4">
        <v>430.36</v>
      </c>
      <c r="F2162" s="4">
        <v>434.66</v>
      </c>
      <c r="G2162" s="4">
        <v>568</v>
      </c>
      <c r="H2162" s="4">
        <v>573.68</v>
      </c>
    </row>
    <row r="2163" s="1" customFormat="1" ht="14" spans="1:8">
      <c r="A2163" s="2">
        <v>8111038</v>
      </c>
      <c r="B2163" s="2" t="s">
        <v>2838</v>
      </c>
      <c r="C2163" s="3" t="s">
        <v>725</v>
      </c>
      <c r="D2163" s="4">
        <v>72.72</v>
      </c>
      <c r="E2163" s="4">
        <v>533.82</v>
      </c>
      <c r="F2163" s="4">
        <v>38819.39</v>
      </c>
      <c r="G2163" s="4">
        <v>706</v>
      </c>
      <c r="H2163" s="4">
        <v>51340.32</v>
      </c>
    </row>
    <row r="2164" s="1" customFormat="1" ht="14" spans="1:8">
      <c r="A2164" s="2">
        <v>8111142</v>
      </c>
      <c r="B2164" s="2" t="s">
        <v>2839</v>
      </c>
      <c r="C2164" s="3" t="s">
        <v>824</v>
      </c>
      <c r="D2164" s="4">
        <v>42</v>
      </c>
      <c r="E2164" s="4">
        <v>639.35</v>
      </c>
      <c r="F2164" s="4">
        <v>26852.7</v>
      </c>
      <c r="G2164" s="4">
        <v>639.35</v>
      </c>
      <c r="H2164" s="4">
        <v>26852.7</v>
      </c>
    </row>
    <row r="2165" s="1" customFormat="1" ht="14" spans="1:8">
      <c r="A2165" s="2">
        <v>8111143</v>
      </c>
      <c r="B2165" s="2" t="s">
        <v>2840</v>
      </c>
      <c r="C2165" s="3" t="s">
        <v>824</v>
      </c>
      <c r="D2165" s="4">
        <v>1153</v>
      </c>
      <c r="E2165" s="4">
        <v>19.24</v>
      </c>
      <c r="F2165" s="4">
        <v>22183.72</v>
      </c>
      <c r="G2165" s="4">
        <v>19.24</v>
      </c>
      <c r="H2165" s="4">
        <v>22183.72</v>
      </c>
    </row>
    <row r="2166" s="1" customFormat="1" ht="14" spans="1:8">
      <c r="A2166" s="2">
        <v>8111144</v>
      </c>
      <c r="B2166" s="2" t="s">
        <v>2841</v>
      </c>
      <c r="C2166" s="3" t="s">
        <v>824</v>
      </c>
      <c r="D2166" s="4">
        <v>414</v>
      </c>
      <c r="E2166" s="4">
        <v>330.99</v>
      </c>
      <c r="F2166" s="4">
        <v>137029.86</v>
      </c>
      <c r="G2166" s="4">
        <v>330.99</v>
      </c>
      <c r="H2166" s="4">
        <v>137029.86</v>
      </c>
    </row>
    <row r="2167" s="1" customFormat="1" ht="14" spans="1:8">
      <c r="A2167" s="2">
        <v>8113010</v>
      </c>
      <c r="B2167" s="2" t="s">
        <v>2842</v>
      </c>
      <c r="C2167" s="3" t="s">
        <v>876</v>
      </c>
      <c r="D2167" s="4">
        <v>428</v>
      </c>
      <c r="E2167" s="4">
        <v>2.74</v>
      </c>
      <c r="F2167" s="4">
        <v>1172.72</v>
      </c>
      <c r="G2167" s="4">
        <v>2.74</v>
      </c>
      <c r="H2167" s="4">
        <v>1172.72</v>
      </c>
    </row>
    <row r="2168" s="1" customFormat="1" ht="14" spans="1:8">
      <c r="A2168" s="2">
        <v>8113041</v>
      </c>
      <c r="B2168" s="2" t="s">
        <v>2843</v>
      </c>
      <c r="C2168" s="3" t="s">
        <v>2820</v>
      </c>
      <c r="D2168" s="4">
        <v>8</v>
      </c>
      <c r="E2168" s="4">
        <v>604.28</v>
      </c>
      <c r="F2168" s="4">
        <v>4834.24</v>
      </c>
      <c r="G2168" s="4">
        <v>604.28</v>
      </c>
      <c r="H2168" s="4">
        <v>4834.24</v>
      </c>
    </row>
    <row r="2169" s="1" customFormat="1" ht="14" spans="1:8">
      <c r="A2169" s="2">
        <v>8113120</v>
      </c>
      <c r="B2169" s="2" t="s">
        <v>2844</v>
      </c>
      <c r="C2169" s="3" t="s">
        <v>824</v>
      </c>
      <c r="D2169" s="4">
        <v>6</v>
      </c>
      <c r="E2169" s="4">
        <v>49.19</v>
      </c>
      <c r="F2169" s="4">
        <v>295.14</v>
      </c>
      <c r="G2169" s="4">
        <v>49.19</v>
      </c>
      <c r="H2169" s="4">
        <v>295.14</v>
      </c>
    </row>
    <row r="2170" s="1" customFormat="1" ht="14" spans="1:8">
      <c r="A2170" s="2">
        <v>8113125</v>
      </c>
      <c r="B2170" s="2" t="s">
        <v>2845</v>
      </c>
      <c r="C2170" s="3" t="s">
        <v>824</v>
      </c>
      <c r="D2170" s="4">
        <v>196</v>
      </c>
      <c r="E2170" s="4">
        <v>15.42</v>
      </c>
      <c r="F2170" s="4">
        <v>3022.32</v>
      </c>
      <c r="G2170" s="4">
        <v>15.42</v>
      </c>
      <c r="H2170" s="4">
        <v>3022.32</v>
      </c>
    </row>
    <row r="2171" s="1" customFormat="1" ht="14" spans="1:8">
      <c r="A2171" s="2">
        <v>8113128</v>
      </c>
      <c r="B2171" s="2" t="s">
        <v>2846</v>
      </c>
      <c r="C2171" s="3" t="s">
        <v>824</v>
      </c>
      <c r="D2171" s="4">
        <v>9660</v>
      </c>
      <c r="E2171" s="4">
        <v>1.54</v>
      </c>
      <c r="F2171" s="4">
        <v>14876.4</v>
      </c>
      <c r="G2171" s="4">
        <v>1.54</v>
      </c>
      <c r="H2171" s="4">
        <v>14876.4</v>
      </c>
    </row>
    <row r="2172" s="1" customFormat="1" ht="14" spans="1:8">
      <c r="A2172" s="2">
        <v>8113132</v>
      </c>
      <c r="B2172" s="2" t="s">
        <v>2847</v>
      </c>
      <c r="C2172" s="3" t="s">
        <v>472</v>
      </c>
      <c r="D2172" s="4">
        <v>82.45</v>
      </c>
      <c r="E2172" s="4">
        <v>25.38</v>
      </c>
      <c r="F2172" s="4">
        <v>2092.59</v>
      </c>
      <c r="G2172" s="4">
        <v>25.38</v>
      </c>
      <c r="H2172" s="4">
        <v>2092.59</v>
      </c>
    </row>
    <row r="2173" s="1" customFormat="1" ht="28" spans="1:8">
      <c r="A2173" s="2">
        <v>8113163</v>
      </c>
      <c r="B2173" s="2" t="s">
        <v>2848</v>
      </c>
      <c r="C2173" s="3" t="s">
        <v>824</v>
      </c>
      <c r="D2173" s="4">
        <v>3</v>
      </c>
      <c r="E2173" s="4">
        <v>926.36</v>
      </c>
      <c r="F2173" s="4">
        <v>2779.08</v>
      </c>
      <c r="G2173" s="4">
        <v>926.36</v>
      </c>
      <c r="H2173" s="4">
        <v>2779.08</v>
      </c>
    </row>
    <row r="2174" s="1" customFormat="1" ht="28" spans="1:8">
      <c r="A2174" s="2">
        <v>8113164</v>
      </c>
      <c r="B2174" s="2" t="s">
        <v>2849</v>
      </c>
      <c r="C2174" s="3" t="s">
        <v>824</v>
      </c>
      <c r="D2174" s="4">
        <v>3</v>
      </c>
      <c r="E2174" s="4">
        <v>175.99</v>
      </c>
      <c r="F2174" s="4">
        <v>527.97</v>
      </c>
      <c r="G2174" s="4">
        <v>175.99</v>
      </c>
      <c r="H2174" s="4">
        <v>527.97</v>
      </c>
    </row>
    <row r="2175" s="1" customFormat="1" ht="28" spans="1:8">
      <c r="A2175" s="2">
        <v>8113166</v>
      </c>
      <c r="B2175" s="2" t="s">
        <v>2850</v>
      </c>
      <c r="C2175" s="3" t="s">
        <v>876</v>
      </c>
      <c r="D2175" s="4">
        <v>3</v>
      </c>
      <c r="E2175" s="4">
        <v>2379.04</v>
      </c>
      <c r="F2175" s="4">
        <v>7137.12</v>
      </c>
      <c r="G2175" s="4">
        <v>2379.04</v>
      </c>
      <c r="H2175" s="4">
        <v>7137.12</v>
      </c>
    </row>
    <row r="2176" s="1" customFormat="1" ht="28" spans="1:8">
      <c r="A2176" s="2">
        <v>8113167</v>
      </c>
      <c r="B2176" s="2" t="s">
        <v>2851</v>
      </c>
      <c r="C2176" s="3" t="s">
        <v>876</v>
      </c>
      <c r="D2176" s="4">
        <v>3</v>
      </c>
      <c r="E2176" s="4">
        <v>1225.66</v>
      </c>
      <c r="F2176" s="4">
        <v>3676.98</v>
      </c>
      <c r="G2176" s="4">
        <v>1225.66</v>
      </c>
      <c r="H2176" s="4">
        <v>3676.98</v>
      </c>
    </row>
    <row r="2177" s="1" customFormat="1" ht="14" spans="1:8">
      <c r="A2177" s="2">
        <v>8113168</v>
      </c>
      <c r="B2177" s="2" t="s">
        <v>2852</v>
      </c>
      <c r="C2177" s="3" t="s">
        <v>876</v>
      </c>
      <c r="D2177" s="4">
        <v>3</v>
      </c>
      <c r="E2177" s="4">
        <v>1127.74</v>
      </c>
      <c r="F2177" s="4">
        <v>3383.22</v>
      </c>
      <c r="G2177" s="4">
        <v>1127.74</v>
      </c>
      <c r="H2177" s="4">
        <v>3383.22</v>
      </c>
    </row>
    <row r="2178" s="1" customFormat="1" ht="28" spans="1:8">
      <c r="A2178" s="2">
        <v>8113169</v>
      </c>
      <c r="B2178" s="2" t="s">
        <v>2853</v>
      </c>
      <c r="C2178" s="3" t="s">
        <v>824</v>
      </c>
      <c r="D2178" s="4">
        <v>2</v>
      </c>
      <c r="E2178" s="4">
        <v>330.76</v>
      </c>
      <c r="F2178" s="4">
        <v>661.52</v>
      </c>
      <c r="G2178" s="4">
        <v>330.76</v>
      </c>
      <c r="H2178" s="4">
        <v>661.52</v>
      </c>
    </row>
    <row r="2179" s="1" customFormat="1" ht="28" spans="1:8">
      <c r="A2179" s="2">
        <v>8113170</v>
      </c>
      <c r="B2179" s="2" t="s">
        <v>2854</v>
      </c>
      <c r="C2179" s="3" t="s">
        <v>824</v>
      </c>
      <c r="D2179" s="4">
        <v>2</v>
      </c>
      <c r="E2179" s="4">
        <v>195.52</v>
      </c>
      <c r="F2179" s="4">
        <v>391.04</v>
      </c>
      <c r="G2179" s="4">
        <v>195.52</v>
      </c>
      <c r="H2179" s="4">
        <v>391.04</v>
      </c>
    </row>
    <row r="2180" s="1" customFormat="1" ht="28" spans="1:8">
      <c r="A2180" s="2">
        <v>8113171</v>
      </c>
      <c r="B2180" s="2" t="s">
        <v>2855</v>
      </c>
      <c r="C2180" s="3" t="s">
        <v>876</v>
      </c>
      <c r="D2180" s="4">
        <v>2</v>
      </c>
      <c r="E2180" s="4">
        <v>1128.52</v>
      </c>
      <c r="F2180" s="4">
        <v>2257.04</v>
      </c>
      <c r="G2180" s="4">
        <v>1128.52</v>
      </c>
      <c r="H2180" s="4">
        <v>2257.04</v>
      </c>
    </row>
    <row r="2181" s="1" customFormat="1" ht="28" spans="1:8">
      <c r="A2181" s="2">
        <v>8113172</v>
      </c>
      <c r="B2181" s="2" t="s">
        <v>2856</v>
      </c>
      <c r="C2181" s="3" t="s">
        <v>824</v>
      </c>
      <c r="D2181" s="4">
        <v>8</v>
      </c>
      <c r="E2181" s="4">
        <v>333.07</v>
      </c>
      <c r="F2181" s="4">
        <v>2664.56</v>
      </c>
      <c r="G2181" s="4">
        <v>333.07</v>
      </c>
      <c r="H2181" s="4">
        <v>2664.56</v>
      </c>
    </row>
    <row r="2182" s="1" customFormat="1" ht="28" spans="1:8">
      <c r="A2182" s="2">
        <v>8113173</v>
      </c>
      <c r="B2182" s="2" t="s">
        <v>2857</v>
      </c>
      <c r="C2182" s="3" t="s">
        <v>824</v>
      </c>
      <c r="D2182" s="4">
        <v>1</v>
      </c>
      <c r="E2182" s="4">
        <v>213.44</v>
      </c>
      <c r="F2182" s="4">
        <v>213.44</v>
      </c>
      <c r="G2182" s="4">
        <v>213.44</v>
      </c>
      <c r="H2182" s="4">
        <v>213.44</v>
      </c>
    </row>
    <row r="2183" s="1" customFormat="1" ht="14" spans="1:8">
      <c r="A2183" s="2">
        <v>8211018</v>
      </c>
      <c r="B2183" s="2" t="s">
        <v>2858</v>
      </c>
      <c r="C2183" s="3" t="s">
        <v>2820</v>
      </c>
      <c r="D2183" s="4">
        <v>20</v>
      </c>
      <c r="E2183" s="4">
        <v>90.29</v>
      </c>
      <c r="F2183" s="4">
        <v>1805.8</v>
      </c>
      <c r="G2183" s="4">
        <v>90.29</v>
      </c>
      <c r="H2183" s="4">
        <v>1805.8</v>
      </c>
    </row>
    <row r="2184" s="1" customFormat="1" ht="14" spans="1:8">
      <c r="A2184" s="2">
        <v>8211031</v>
      </c>
      <c r="B2184" s="2" t="s">
        <v>2859</v>
      </c>
      <c r="C2184" s="3" t="s">
        <v>1172</v>
      </c>
      <c r="D2184" s="4">
        <v>198</v>
      </c>
      <c r="E2184" s="4">
        <v>77.52</v>
      </c>
      <c r="F2184" s="4">
        <v>15348.96</v>
      </c>
      <c r="G2184" s="4">
        <v>77.52</v>
      </c>
      <c r="H2184" s="4">
        <v>15348.96</v>
      </c>
    </row>
    <row r="2185" s="1" customFormat="1" ht="14" spans="1:8">
      <c r="A2185" s="2">
        <v>8211032</v>
      </c>
      <c r="B2185" s="2" t="s">
        <v>2860</v>
      </c>
      <c r="C2185" s="3" t="s">
        <v>1172</v>
      </c>
      <c r="D2185" s="4">
        <v>40.4</v>
      </c>
      <c r="E2185" s="4">
        <v>63.6</v>
      </c>
      <c r="F2185" s="4">
        <v>2569.44</v>
      </c>
      <c r="G2185" s="4">
        <v>63.6</v>
      </c>
      <c r="H2185" s="4">
        <v>2569.44</v>
      </c>
    </row>
    <row r="2186" s="1" customFormat="1" ht="14" spans="1:8">
      <c r="A2186" s="2">
        <v>8211033</v>
      </c>
      <c r="B2186" s="2" t="s">
        <v>2861</v>
      </c>
      <c r="C2186" s="3" t="s">
        <v>1172</v>
      </c>
      <c r="D2186" s="4">
        <v>40.4</v>
      </c>
      <c r="E2186" s="4">
        <v>21.03</v>
      </c>
      <c r="F2186" s="4">
        <v>849.62</v>
      </c>
      <c r="G2186" s="4">
        <v>21.03</v>
      </c>
      <c r="H2186" s="4">
        <v>849.62</v>
      </c>
    </row>
    <row r="2187" s="1" customFormat="1" ht="14" spans="1:8">
      <c r="A2187" s="2">
        <v>8211034</v>
      </c>
      <c r="B2187" s="2" t="s">
        <v>2862</v>
      </c>
      <c r="C2187" s="3" t="s">
        <v>824</v>
      </c>
      <c r="D2187" s="4">
        <v>130.62</v>
      </c>
      <c r="E2187" s="4">
        <v>27.22</v>
      </c>
      <c r="F2187" s="4">
        <v>3555.46</v>
      </c>
      <c r="G2187" s="4">
        <v>27.22</v>
      </c>
      <c r="H2187" s="4">
        <v>3555.46</v>
      </c>
    </row>
    <row r="2188" s="1" customFormat="1" ht="14" spans="1:8">
      <c r="A2188" s="2">
        <v>8211038</v>
      </c>
      <c r="B2188" s="2" t="s">
        <v>2863</v>
      </c>
      <c r="C2188" s="3" t="s">
        <v>472</v>
      </c>
      <c r="D2188" s="4">
        <v>544</v>
      </c>
      <c r="E2188" s="4">
        <v>16.21</v>
      </c>
      <c r="F2188" s="4">
        <v>8818.24</v>
      </c>
      <c r="G2188" s="4">
        <v>16.21</v>
      </c>
      <c r="H2188" s="4">
        <v>8818.24</v>
      </c>
    </row>
    <row r="2189" s="1" customFormat="1" ht="14" spans="1:8">
      <c r="A2189" s="2">
        <v>8211039</v>
      </c>
      <c r="B2189" s="2" t="s">
        <v>2864</v>
      </c>
      <c r="C2189" s="3" t="s">
        <v>472</v>
      </c>
      <c r="D2189" s="4">
        <v>11501.88</v>
      </c>
      <c r="E2189" s="4">
        <v>87.46</v>
      </c>
      <c r="F2189" s="4">
        <v>1005954.42</v>
      </c>
      <c r="G2189" s="4">
        <v>87.46</v>
      </c>
      <c r="H2189" s="4">
        <v>1005954.42</v>
      </c>
    </row>
    <row r="2190" s="1" customFormat="1" ht="14" spans="1:8">
      <c r="A2190" s="2">
        <v>8211043</v>
      </c>
      <c r="B2190" s="2" t="s">
        <v>2865</v>
      </c>
      <c r="C2190" s="3" t="s">
        <v>472</v>
      </c>
      <c r="D2190" s="4">
        <v>1530.15</v>
      </c>
      <c r="E2190" s="4">
        <v>468.54</v>
      </c>
      <c r="F2190" s="4">
        <v>716936.48</v>
      </c>
      <c r="G2190" s="4">
        <v>468.54</v>
      </c>
      <c r="H2190" s="4">
        <v>716936.48</v>
      </c>
    </row>
    <row r="2191" s="1" customFormat="1" ht="14" spans="1:8">
      <c r="A2191" s="2">
        <v>8211045</v>
      </c>
      <c r="B2191" s="2" t="s">
        <v>2866</v>
      </c>
      <c r="C2191" s="3" t="s">
        <v>2830</v>
      </c>
      <c r="D2191" s="4">
        <v>247</v>
      </c>
      <c r="E2191" s="4">
        <v>11576.24</v>
      </c>
      <c r="F2191" s="4">
        <v>2859331.28</v>
      </c>
      <c r="G2191" s="4">
        <v>11576.24</v>
      </c>
      <c r="H2191" s="4">
        <v>2859331.28</v>
      </c>
    </row>
    <row r="2192" s="1" customFormat="1" ht="14" spans="1:8">
      <c r="A2192" s="2">
        <v>8211048</v>
      </c>
      <c r="B2192" s="2" t="s">
        <v>2867</v>
      </c>
      <c r="C2192" s="3" t="s">
        <v>824</v>
      </c>
      <c r="D2192" s="4">
        <v>137</v>
      </c>
      <c r="E2192" s="4">
        <v>71.17</v>
      </c>
      <c r="F2192" s="4">
        <v>9750.29</v>
      </c>
      <c r="G2192" s="4">
        <v>71.17</v>
      </c>
      <c r="H2192" s="4">
        <v>9750.29</v>
      </c>
    </row>
    <row r="2193" s="1" customFormat="1" ht="14" spans="1:8">
      <c r="A2193" s="2">
        <v>8211051</v>
      </c>
      <c r="B2193" s="2" t="s">
        <v>2868</v>
      </c>
      <c r="C2193" s="3" t="s">
        <v>824</v>
      </c>
      <c r="D2193" s="4">
        <v>119</v>
      </c>
      <c r="E2193" s="4">
        <v>112.33</v>
      </c>
      <c r="F2193" s="4">
        <v>13367.27</v>
      </c>
      <c r="G2193" s="4">
        <v>112.33</v>
      </c>
      <c r="H2193" s="4">
        <v>13367.27</v>
      </c>
    </row>
    <row r="2194" s="1" customFormat="1" ht="14" spans="1:8">
      <c r="A2194" s="2">
        <v>8211052</v>
      </c>
      <c r="B2194" s="2" t="s">
        <v>2869</v>
      </c>
      <c r="C2194" s="3" t="s">
        <v>824</v>
      </c>
      <c r="D2194" s="4">
        <v>58</v>
      </c>
      <c r="E2194" s="4">
        <v>205.8</v>
      </c>
      <c r="F2194" s="4">
        <v>11936.4</v>
      </c>
      <c r="G2194" s="4">
        <v>205.8</v>
      </c>
      <c r="H2194" s="4">
        <v>11936.4</v>
      </c>
    </row>
    <row r="2195" s="1" customFormat="1" ht="28" spans="1:8">
      <c r="A2195" s="2">
        <v>8211053</v>
      </c>
      <c r="B2195" s="2" t="s">
        <v>2870</v>
      </c>
      <c r="C2195" s="3" t="s">
        <v>824</v>
      </c>
      <c r="D2195" s="4">
        <v>48</v>
      </c>
      <c r="E2195" s="4">
        <v>108.04</v>
      </c>
      <c r="F2195" s="4">
        <v>5185.92</v>
      </c>
      <c r="G2195" s="4">
        <v>108.04</v>
      </c>
      <c r="H2195" s="4">
        <v>5185.92</v>
      </c>
    </row>
    <row r="2196" s="1" customFormat="1" ht="14" spans="1:8">
      <c r="A2196" s="2">
        <v>8211054</v>
      </c>
      <c r="B2196" s="2" t="s">
        <v>2871</v>
      </c>
      <c r="C2196" s="3" t="s">
        <v>824</v>
      </c>
      <c r="D2196" s="4">
        <v>48</v>
      </c>
      <c r="E2196" s="4">
        <v>126.91</v>
      </c>
      <c r="F2196" s="4">
        <v>6091.68</v>
      </c>
      <c r="G2196" s="4">
        <v>126.91</v>
      </c>
      <c r="H2196" s="4">
        <v>6091.68</v>
      </c>
    </row>
    <row r="2197" s="1" customFormat="1" ht="14" spans="1:8">
      <c r="A2197" s="2">
        <v>8211055</v>
      </c>
      <c r="B2197" s="2" t="s">
        <v>2872</v>
      </c>
      <c r="C2197" s="3" t="s">
        <v>843</v>
      </c>
      <c r="D2197" s="4">
        <v>302.5</v>
      </c>
      <c r="E2197" s="4">
        <v>24.01</v>
      </c>
      <c r="F2197" s="4">
        <v>7263.03</v>
      </c>
      <c r="G2197" s="4">
        <v>24.01</v>
      </c>
      <c r="H2197" s="4">
        <v>7263.03</v>
      </c>
    </row>
    <row r="2198" s="1" customFormat="1" ht="14" spans="1:8">
      <c r="A2198" s="2">
        <v>8211057</v>
      </c>
      <c r="B2198" s="2" t="s">
        <v>2873</v>
      </c>
      <c r="C2198" s="3" t="s">
        <v>824</v>
      </c>
      <c r="D2198" s="4">
        <v>302.5</v>
      </c>
      <c r="E2198" s="4">
        <v>17.15</v>
      </c>
      <c r="F2198" s="4">
        <v>5187.88</v>
      </c>
      <c r="G2198" s="4">
        <v>17.15</v>
      </c>
      <c r="H2198" s="4">
        <v>5187.88</v>
      </c>
    </row>
    <row r="2199" s="1" customFormat="1" ht="14" spans="1:8">
      <c r="A2199" s="2">
        <v>8211058</v>
      </c>
      <c r="B2199" s="2" t="s">
        <v>2874</v>
      </c>
      <c r="C2199" s="3" t="s">
        <v>824</v>
      </c>
      <c r="D2199" s="4">
        <v>128</v>
      </c>
      <c r="E2199" s="4">
        <v>151.78</v>
      </c>
      <c r="F2199" s="4">
        <v>19427.84</v>
      </c>
      <c r="G2199" s="4">
        <v>151.78</v>
      </c>
      <c r="H2199" s="4">
        <v>19427.84</v>
      </c>
    </row>
    <row r="2200" s="1" customFormat="1" ht="14" spans="1:8">
      <c r="A2200" s="2">
        <v>8211062</v>
      </c>
      <c r="B2200" s="2" t="s">
        <v>2875</v>
      </c>
      <c r="C2200" s="3" t="s">
        <v>824</v>
      </c>
      <c r="D2200" s="4">
        <v>183</v>
      </c>
      <c r="E2200" s="4">
        <v>62.6</v>
      </c>
      <c r="F2200" s="4">
        <v>11455.8</v>
      </c>
      <c r="G2200" s="4">
        <v>62.6</v>
      </c>
      <c r="H2200" s="4">
        <v>11455.8</v>
      </c>
    </row>
    <row r="2201" s="1" customFormat="1" ht="14" spans="1:8">
      <c r="A2201" s="2">
        <v>8211082</v>
      </c>
      <c r="B2201" s="2" t="s">
        <v>2876</v>
      </c>
      <c r="C2201" s="3" t="s">
        <v>2820</v>
      </c>
      <c r="D2201" s="4">
        <v>31</v>
      </c>
      <c r="E2201" s="4">
        <v>7534.84</v>
      </c>
      <c r="F2201" s="4">
        <v>233580.04</v>
      </c>
      <c r="G2201" s="4">
        <v>7534.84</v>
      </c>
      <c r="H2201" s="4">
        <v>233580.04</v>
      </c>
    </row>
    <row r="2202" s="1" customFormat="1" ht="14" spans="1:8">
      <c r="A2202" s="2">
        <v>8211084</v>
      </c>
      <c r="B2202" s="2" t="s">
        <v>2877</v>
      </c>
      <c r="C2202" s="3" t="s">
        <v>876</v>
      </c>
      <c r="D2202" s="4">
        <v>62</v>
      </c>
      <c r="E2202" s="4">
        <v>190.36</v>
      </c>
      <c r="F2202" s="4">
        <v>11802.32</v>
      </c>
      <c r="G2202" s="4">
        <v>190.36</v>
      </c>
      <c r="H2202" s="4">
        <v>11802.32</v>
      </c>
    </row>
    <row r="2203" s="1" customFormat="1" ht="14" spans="1:8">
      <c r="A2203" s="2">
        <v>8211091</v>
      </c>
      <c r="B2203" s="2" t="s">
        <v>2878</v>
      </c>
      <c r="C2203" s="3" t="s">
        <v>2830</v>
      </c>
      <c r="D2203" s="4">
        <v>32</v>
      </c>
      <c r="E2203" s="4">
        <v>6405.67</v>
      </c>
      <c r="F2203" s="4">
        <v>204981.44</v>
      </c>
      <c r="G2203" s="4">
        <v>6405.67</v>
      </c>
      <c r="H2203" s="4">
        <v>204981.44</v>
      </c>
    </row>
    <row r="2204" s="1" customFormat="1" ht="14" spans="1:8">
      <c r="A2204" s="2">
        <v>8215016</v>
      </c>
      <c r="B2204" s="2" t="s">
        <v>2879</v>
      </c>
      <c r="C2204" s="3" t="s">
        <v>2820</v>
      </c>
      <c r="D2204" s="4">
        <v>2</v>
      </c>
      <c r="E2204" s="4">
        <v>252.1</v>
      </c>
      <c r="F2204" s="4">
        <v>504.2</v>
      </c>
      <c r="G2204" s="4">
        <v>252.1</v>
      </c>
      <c r="H2204" s="4">
        <v>504.2</v>
      </c>
    </row>
    <row r="2205" s="1" customFormat="1" ht="14" spans="1:8">
      <c r="A2205" s="2">
        <v>8216021</v>
      </c>
      <c r="B2205" s="2" t="s">
        <v>2880</v>
      </c>
      <c r="C2205" s="3" t="s">
        <v>2820</v>
      </c>
      <c r="D2205" s="4">
        <v>2</v>
      </c>
      <c r="E2205" s="4">
        <v>159.49</v>
      </c>
      <c r="F2205" s="4">
        <v>318.98</v>
      </c>
      <c r="G2205" s="4">
        <v>159.49</v>
      </c>
      <c r="H2205" s="4">
        <v>318.98</v>
      </c>
    </row>
    <row r="2206" s="1" customFormat="1" ht="28" spans="1:8">
      <c r="A2206" s="2">
        <v>8217022</v>
      </c>
      <c r="B2206" s="2" t="s">
        <v>2881</v>
      </c>
      <c r="C2206" s="3" t="s">
        <v>2820</v>
      </c>
      <c r="D2206" s="4">
        <v>74</v>
      </c>
      <c r="E2206" s="4">
        <v>709.15</v>
      </c>
      <c r="F2206" s="4">
        <v>52477.1</v>
      </c>
      <c r="G2206" s="4">
        <v>709.15</v>
      </c>
      <c r="H2206" s="4">
        <v>52477.1</v>
      </c>
    </row>
    <row r="2207" s="1" customFormat="1" ht="14" spans="1:8">
      <c r="A2207" s="2">
        <v>8219017</v>
      </c>
      <c r="B2207" s="2" t="s">
        <v>2882</v>
      </c>
      <c r="C2207" s="3" t="s">
        <v>824</v>
      </c>
      <c r="D2207" s="4">
        <v>2</v>
      </c>
      <c r="E2207" s="4">
        <v>9.99</v>
      </c>
      <c r="F2207" s="4">
        <v>19.98</v>
      </c>
      <c r="G2207" s="4">
        <v>9.99</v>
      </c>
      <c r="H2207" s="4">
        <v>19.98</v>
      </c>
    </row>
    <row r="2208" s="1" customFormat="1" ht="14" spans="1:8">
      <c r="A2208" s="2">
        <v>8219023</v>
      </c>
      <c r="B2208" s="2" t="s">
        <v>2883</v>
      </c>
      <c r="C2208" s="3" t="s">
        <v>2820</v>
      </c>
      <c r="D2208" s="4">
        <v>26</v>
      </c>
      <c r="E2208" s="4">
        <v>165.31</v>
      </c>
      <c r="F2208" s="4">
        <v>4298.06</v>
      </c>
      <c r="G2208" s="4">
        <v>165.31</v>
      </c>
      <c r="H2208" s="4">
        <v>4298.06</v>
      </c>
    </row>
    <row r="2209" s="1" customFormat="1" ht="14" spans="1:8">
      <c r="A2209" s="2">
        <v>8219024</v>
      </c>
      <c r="B2209" s="2" t="s">
        <v>2884</v>
      </c>
      <c r="C2209" s="3" t="s">
        <v>2820</v>
      </c>
      <c r="D2209" s="4">
        <v>2</v>
      </c>
      <c r="E2209" s="4">
        <v>410.57</v>
      </c>
      <c r="F2209" s="4">
        <v>821.14</v>
      </c>
      <c r="G2209" s="4">
        <v>410.57</v>
      </c>
      <c r="H2209" s="4">
        <v>821.14</v>
      </c>
    </row>
    <row r="2210" s="1" customFormat="1" ht="14" spans="1:8">
      <c r="A2210" s="2">
        <v>8221015</v>
      </c>
      <c r="B2210" s="2" t="s">
        <v>2885</v>
      </c>
      <c r="C2210" s="3" t="s">
        <v>1172</v>
      </c>
      <c r="D2210" s="4">
        <v>1418.04</v>
      </c>
      <c r="E2210" s="4">
        <v>30.49</v>
      </c>
      <c r="F2210" s="4">
        <v>43236.06</v>
      </c>
      <c r="G2210" s="4">
        <v>30.49</v>
      </c>
      <c r="H2210" s="4">
        <v>43236.06</v>
      </c>
    </row>
    <row r="2211" s="1" customFormat="1" ht="14" spans="1:8">
      <c r="A2211" s="2">
        <v>8221016</v>
      </c>
      <c r="B2211" s="2" t="s">
        <v>2886</v>
      </c>
      <c r="C2211" s="3" t="s">
        <v>824</v>
      </c>
      <c r="D2211" s="4">
        <v>1</v>
      </c>
      <c r="E2211" s="4">
        <v>3.17</v>
      </c>
      <c r="F2211" s="4">
        <v>3.17</v>
      </c>
      <c r="G2211" s="4">
        <v>3.17</v>
      </c>
      <c r="H2211" s="4">
        <v>3.17</v>
      </c>
    </row>
    <row r="2212" s="1" customFormat="1" ht="14" spans="1:8">
      <c r="A2212" s="2">
        <v>8221026</v>
      </c>
      <c r="B2212" s="2" t="s">
        <v>2887</v>
      </c>
      <c r="C2212" s="3" t="s">
        <v>824</v>
      </c>
      <c r="D2212" s="4">
        <v>3826</v>
      </c>
      <c r="E2212" s="4">
        <v>7.05</v>
      </c>
      <c r="F2212" s="4">
        <v>26973.3</v>
      </c>
      <c r="G2212" s="4">
        <v>7.05</v>
      </c>
      <c r="H2212" s="4">
        <v>26973.3</v>
      </c>
    </row>
    <row r="2213" s="1" customFormat="1" ht="14" spans="1:8">
      <c r="A2213" s="2">
        <v>8221028</v>
      </c>
      <c r="B2213" s="2" t="s">
        <v>2888</v>
      </c>
      <c r="C2213" s="3" t="s">
        <v>824</v>
      </c>
      <c r="D2213" s="4">
        <v>2</v>
      </c>
      <c r="E2213" s="4">
        <v>9.52</v>
      </c>
      <c r="F2213" s="4">
        <v>19.04</v>
      </c>
      <c r="G2213" s="4">
        <v>9.52</v>
      </c>
      <c r="H2213" s="4">
        <v>19.04</v>
      </c>
    </row>
    <row r="2214" s="1" customFormat="1" ht="14" spans="1:8">
      <c r="A2214" s="2">
        <v>8221032</v>
      </c>
      <c r="B2214" s="2" t="s">
        <v>2889</v>
      </c>
      <c r="C2214" s="3" t="s">
        <v>824</v>
      </c>
      <c r="D2214" s="4">
        <v>17948</v>
      </c>
      <c r="E2214" s="4">
        <v>1.79</v>
      </c>
      <c r="F2214" s="4">
        <v>32126.92</v>
      </c>
      <c r="G2214" s="4">
        <v>1.79</v>
      </c>
      <c r="H2214" s="4">
        <v>32126.92</v>
      </c>
    </row>
    <row r="2215" s="1" customFormat="1" ht="14" spans="1:8">
      <c r="A2215" s="2">
        <v>8221033</v>
      </c>
      <c r="B2215" s="2" t="s">
        <v>2890</v>
      </c>
      <c r="C2215" s="3" t="s">
        <v>824</v>
      </c>
      <c r="D2215" s="4">
        <v>6846.75</v>
      </c>
      <c r="E2215" s="4">
        <v>2.14</v>
      </c>
      <c r="F2215" s="4">
        <v>14652.05</v>
      </c>
      <c r="G2215" s="4">
        <v>2.14</v>
      </c>
      <c r="H2215" s="4">
        <v>14652.05</v>
      </c>
    </row>
    <row r="2216" s="1" customFormat="1" ht="14" spans="1:8">
      <c r="A2216" s="2">
        <v>8221036</v>
      </c>
      <c r="B2216" s="2" t="s">
        <v>2891</v>
      </c>
      <c r="C2216" s="3" t="s">
        <v>824</v>
      </c>
      <c r="D2216" s="4">
        <v>63430</v>
      </c>
      <c r="E2216" s="4">
        <v>1.05</v>
      </c>
      <c r="F2216" s="4">
        <v>66601.5</v>
      </c>
      <c r="G2216" s="4">
        <v>1.05</v>
      </c>
      <c r="H2216" s="4">
        <v>66601.5</v>
      </c>
    </row>
    <row r="2217" s="1" customFormat="1" ht="14" spans="1:8">
      <c r="A2217" s="2">
        <v>8221037</v>
      </c>
      <c r="B2217" s="2" t="s">
        <v>2892</v>
      </c>
      <c r="C2217" s="3" t="s">
        <v>824</v>
      </c>
      <c r="D2217" s="4">
        <v>5860</v>
      </c>
      <c r="E2217" s="4">
        <v>4.17</v>
      </c>
      <c r="F2217" s="4">
        <v>24436.2</v>
      </c>
      <c r="G2217" s="4">
        <v>4.17</v>
      </c>
      <c r="H2217" s="4">
        <v>24436.2</v>
      </c>
    </row>
    <row r="2218" s="1" customFormat="1" ht="14" spans="1:8">
      <c r="A2218" s="2">
        <v>8221038</v>
      </c>
      <c r="B2218" s="2" t="s">
        <v>2893</v>
      </c>
      <c r="C2218" s="3" t="s">
        <v>824</v>
      </c>
      <c r="D2218" s="4">
        <v>192</v>
      </c>
      <c r="E2218" s="4">
        <v>5.21</v>
      </c>
      <c r="F2218" s="4">
        <v>1000.32</v>
      </c>
      <c r="G2218" s="4">
        <v>5.21</v>
      </c>
      <c r="H2218" s="4">
        <v>1000.32</v>
      </c>
    </row>
    <row r="2219" s="1" customFormat="1" ht="14" spans="1:8">
      <c r="A2219" s="2">
        <v>8221039</v>
      </c>
      <c r="B2219" s="2" t="s">
        <v>2894</v>
      </c>
      <c r="C2219" s="3" t="s">
        <v>824</v>
      </c>
      <c r="D2219" s="4">
        <v>16948</v>
      </c>
      <c r="E2219" s="4">
        <v>1.05</v>
      </c>
      <c r="F2219" s="4">
        <v>17795.4</v>
      </c>
      <c r="G2219" s="4">
        <v>1.05</v>
      </c>
      <c r="H2219" s="4">
        <v>17795.4</v>
      </c>
    </row>
    <row r="2220" s="1" customFormat="1" ht="14" spans="1:8">
      <c r="A2220" s="2">
        <v>8221040</v>
      </c>
      <c r="B2220" s="2" t="s">
        <v>2895</v>
      </c>
      <c r="C2220" s="3" t="s">
        <v>824</v>
      </c>
      <c r="D2220" s="4">
        <v>123480</v>
      </c>
      <c r="E2220" s="4">
        <v>1.29</v>
      </c>
      <c r="F2220" s="4">
        <v>159289.2</v>
      </c>
      <c r="G2220" s="4">
        <v>1.29</v>
      </c>
      <c r="H2220" s="4">
        <v>159289.2</v>
      </c>
    </row>
    <row r="2221" s="1" customFormat="1" ht="14" spans="1:8">
      <c r="A2221" s="2">
        <v>8221041</v>
      </c>
      <c r="B2221" s="2" t="s">
        <v>2896</v>
      </c>
      <c r="C2221" s="3" t="s">
        <v>824</v>
      </c>
      <c r="D2221" s="4">
        <v>30635</v>
      </c>
      <c r="E2221" s="4">
        <v>0.6</v>
      </c>
      <c r="F2221" s="4">
        <v>18381</v>
      </c>
      <c r="G2221" s="4">
        <v>0.6</v>
      </c>
      <c r="H2221" s="4">
        <v>18381</v>
      </c>
    </row>
    <row r="2222" s="1" customFormat="1" ht="14" spans="1:8">
      <c r="A2222" s="2">
        <v>8221042</v>
      </c>
      <c r="B2222" s="2" t="s">
        <v>2897</v>
      </c>
      <c r="C2222" s="3" t="s">
        <v>472</v>
      </c>
      <c r="D2222" s="4">
        <v>40452.36</v>
      </c>
      <c r="E2222" s="4">
        <v>1</v>
      </c>
      <c r="F2222" s="4">
        <v>40452.36</v>
      </c>
      <c r="G2222" s="4">
        <v>1</v>
      </c>
      <c r="H2222" s="4">
        <v>40452.36</v>
      </c>
    </row>
    <row r="2223" s="1" customFormat="1" ht="14" spans="1:8">
      <c r="A2223" s="2">
        <v>8221043</v>
      </c>
      <c r="B2223" s="2" t="s">
        <v>2898</v>
      </c>
      <c r="C2223" s="3" t="s">
        <v>1866</v>
      </c>
      <c r="D2223" s="4">
        <v>212.55</v>
      </c>
      <c r="E2223" s="4">
        <v>130.43</v>
      </c>
      <c r="F2223" s="4">
        <v>27722.92</v>
      </c>
      <c r="G2223" s="4">
        <v>130.43</v>
      </c>
      <c r="H2223" s="4">
        <v>27722.92</v>
      </c>
    </row>
    <row r="2224" s="1" customFormat="1" ht="14" spans="1:8">
      <c r="A2224" s="2">
        <v>8221046</v>
      </c>
      <c r="B2224" s="2" t="s">
        <v>2899</v>
      </c>
      <c r="C2224" s="3" t="s">
        <v>824</v>
      </c>
      <c r="D2224" s="4">
        <v>44984.04</v>
      </c>
      <c r="E2224" s="4">
        <v>0.18</v>
      </c>
      <c r="F2224" s="4">
        <v>8097.12</v>
      </c>
      <c r="G2224" s="4">
        <v>0.18</v>
      </c>
      <c r="H2224" s="4">
        <v>8097.12</v>
      </c>
    </row>
    <row r="2225" s="1" customFormat="1" ht="41" spans="1:8">
      <c r="A2225" s="2">
        <v>8310022</v>
      </c>
      <c r="B2225" s="2" t="s">
        <v>2900</v>
      </c>
      <c r="C2225" s="3" t="s">
        <v>876</v>
      </c>
      <c r="D2225" s="4">
        <v>13</v>
      </c>
      <c r="E2225" s="4">
        <v>11147.49</v>
      </c>
      <c r="F2225" s="4">
        <v>144917.37</v>
      </c>
      <c r="G2225" s="4">
        <v>11147.49</v>
      </c>
      <c r="H2225" s="4">
        <v>144917.37</v>
      </c>
    </row>
    <row r="2226" s="1" customFormat="1" ht="41" spans="1:8">
      <c r="A2226" s="2">
        <v>8310023</v>
      </c>
      <c r="B2226" s="2" t="s">
        <v>2901</v>
      </c>
      <c r="C2226" s="3" t="s">
        <v>876</v>
      </c>
      <c r="D2226" s="4">
        <v>1</v>
      </c>
      <c r="E2226" s="4">
        <v>6688.49</v>
      </c>
      <c r="F2226" s="4">
        <v>6688.49</v>
      </c>
      <c r="G2226" s="4">
        <v>6688.49</v>
      </c>
      <c r="H2226" s="4">
        <v>6688.49</v>
      </c>
    </row>
    <row r="2227" s="1" customFormat="1" ht="28" spans="1:8">
      <c r="A2227" s="2">
        <v>8310051</v>
      </c>
      <c r="B2227" s="2" t="s">
        <v>2902</v>
      </c>
      <c r="C2227" s="3" t="s">
        <v>876</v>
      </c>
      <c r="D2227" s="4">
        <v>0</v>
      </c>
      <c r="E2227" s="4">
        <v>7001.48</v>
      </c>
      <c r="F2227" s="4">
        <v>0</v>
      </c>
      <c r="G2227" s="4">
        <v>7001.48</v>
      </c>
      <c r="H2227" s="4">
        <v>0</v>
      </c>
    </row>
    <row r="2228" s="1" customFormat="1" ht="41" spans="1:8">
      <c r="A2228" s="2">
        <v>8310052</v>
      </c>
      <c r="B2228" s="2" t="s">
        <v>2903</v>
      </c>
      <c r="C2228" s="3" t="s">
        <v>876</v>
      </c>
      <c r="D2228" s="4">
        <v>0</v>
      </c>
      <c r="E2228" s="4">
        <v>8917.99</v>
      </c>
      <c r="F2228" s="4">
        <v>0</v>
      </c>
      <c r="G2228" s="4">
        <v>8917.99</v>
      </c>
      <c r="H2228" s="4">
        <v>0</v>
      </c>
    </row>
    <row r="2229" s="1" customFormat="1" ht="28" spans="1:8">
      <c r="A2229" s="2">
        <v>8310054</v>
      </c>
      <c r="B2229" s="2" t="s">
        <v>2904</v>
      </c>
      <c r="C2229" s="3" t="s">
        <v>876</v>
      </c>
      <c r="D2229" s="4">
        <v>0</v>
      </c>
      <c r="E2229" s="4">
        <v>14903.33</v>
      </c>
      <c r="F2229" s="4">
        <v>0</v>
      </c>
      <c r="G2229" s="4">
        <v>14903.33</v>
      </c>
      <c r="H2229" s="4">
        <v>0</v>
      </c>
    </row>
    <row r="2230" s="1" customFormat="1" ht="28" spans="1:8">
      <c r="A2230" s="2">
        <v>8310141</v>
      </c>
      <c r="B2230" s="2" t="s">
        <v>2905</v>
      </c>
      <c r="C2230" s="3" t="s">
        <v>876</v>
      </c>
      <c r="D2230" s="4">
        <v>0</v>
      </c>
      <c r="E2230" s="4">
        <v>16978.48</v>
      </c>
      <c r="F2230" s="4">
        <v>0</v>
      </c>
      <c r="G2230" s="4">
        <v>16978.48</v>
      </c>
      <c r="H2230" s="4">
        <v>0</v>
      </c>
    </row>
    <row r="2231" s="1" customFormat="1" ht="14" spans="1:8">
      <c r="A2231" s="2">
        <v>8320029</v>
      </c>
      <c r="B2231" s="2" t="s">
        <v>2906</v>
      </c>
      <c r="C2231" s="3" t="s">
        <v>824</v>
      </c>
      <c r="D2231" s="4">
        <v>251</v>
      </c>
      <c r="E2231" s="4">
        <v>24.52</v>
      </c>
      <c r="F2231" s="4">
        <v>6154.52</v>
      </c>
      <c r="G2231" s="4">
        <v>24.52</v>
      </c>
      <c r="H2231" s="4">
        <v>6154.52</v>
      </c>
    </row>
    <row r="2232" s="1" customFormat="1" ht="14" spans="1:8">
      <c r="A2232" s="2">
        <v>8410013</v>
      </c>
      <c r="B2232" s="2" t="s">
        <v>2907</v>
      </c>
      <c r="C2232" s="3" t="s">
        <v>1484</v>
      </c>
      <c r="D2232" s="4">
        <v>18</v>
      </c>
      <c r="E2232" s="4">
        <v>385.87</v>
      </c>
      <c r="F2232" s="4">
        <v>6945.66</v>
      </c>
      <c r="G2232" s="4">
        <v>385.87</v>
      </c>
      <c r="H2232" s="4">
        <v>6945.66</v>
      </c>
    </row>
    <row r="2233" s="1" customFormat="1" ht="14" spans="1:8">
      <c r="A2233" s="2">
        <v>8410014</v>
      </c>
      <c r="B2233" s="2" t="s">
        <v>2908</v>
      </c>
      <c r="C2233" s="3" t="s">
        <v>1484</v>
      </c>
      <c r="D2233" s="4">
        <v>276</v>
      </c>
      <c r="E2233" s="4">
        <v>445.9</v>
      </c>
      <c r="F2233" s="4">
        <v>123068.4</v>
      </c>
      <c r="G2233" s="4">
        <v>445.9</v>
      </c>
      <c r="H2233" s="4">
        <v>123068.4</v>
      </c>
    </row>
    <row r="2234" s="1" customFormat="1" ht="14" spans="1:8">
      <c r="A2234" s="2">
        <v>8410015</v>
      </c>
      <c r="B2234" s="2" t="s">
        <v>2909</v>
      </c>
      <c r="C2234" s="3" t="s">
        <v>1484</v>
      </c>
      <c r="D2234" s="4">
        <v>1402</v>
      </c>
      <c r="E2234" s="4">
        <v>557.37</v>
      </c>
      <c r="F2234" s="4">
        <v>781432.74</v>
      </c>
      <c r="G2234" s="4">
        <v>557.37</v>
      </c>
      <c r="H2234" s="4">
        <v>781432.74</v>
      </c>
    </row>
    <row r="2235" s="1" customFormat="1" ht="14" spans="1:8">
      <c r="A2235" s="2">
        <v>8410016</v>
      </c>
      <c r="B2235" s="2" t="s">
        <v>2910</v>
      </c>
      <c r="C2235" s="3" t="s">
        <v>876</v>
      </c>
      <c r="D2235" s="4">
        <v>290</v>
      </c>
      <c r="E2235" s="4">
        <v>172.51</v>
      </c>
      <c r="F2235" s="4">
        <v>50027.9</v>
      </c>
      <c r="G2235" s="4">
        <v>172.51</v>
      </c>
      <c r="H2235" s="4">
        <v>50027.9</v>
      </c>
    </row>
    <row r="2236" s="1" customFormat="1" ht="14" spans="1:8">
      <c r="A2236" s="2">
        <v>8411013</v>
      </c>
      <c r="B2236" s="2" t="s">
        <v>2911</v>
      </c>
      <c r="C2236" s="3" t="s">
        <v>725</v>
      </c>
      <c r="D2236" s="4">
        <v>12</v>
      </c>
      <c r="E2236" s="4">
        <v>8.48</v>
      </c>
      <c r="F2236" s="4">
        <v>101.76</v>
      </c>
      <c r="G2236" s="4">
        <v>8.48</v>
      </c>
      <c r="H2236" s="4">
        <v>101.76</v>
      </c>
    </row>
    <row r="2237" s="1" customFormat="1" ht="28" spans="1:8">
      <c r="A2237" s="2">
        <v>8411015</v>
      </c>
      <c r="B2237" s="2" t="s">
        <v>2912</v>
      </c>
      <c r="C2237" s="3" t="s">
        <v>725</v>
      </c>
      <c r="D2237" s="4">
        <v>210.08</v>
      </c>
      <c r="E2237" s="4">
        <v>47.36</v>
      </c>
      <c r="F2237" s="4">
        <v>9949.39</v>
      </c>
      <c r="G2237" s="4">
        <v>47.36</v>
      </c>
      <c r="H2237" s="4">
        <v>9949.39</v>
      </c>
    </row>
    <row r="2238" s="1" customFormat="1" ht="28" spans="1:8">
      <c r="A2238" s="2">
        <v>8411016</v>
      </c>
      <c r="B2238" s="2" t="s">
        <v>2913</v>
      </c>
      <c r="C2238" s="3" t="s">
        <v>725</v>
      </c>
      <c r="D2238" s="4">
        <v>210.08</v>
      </c>
      <c r="E2238" s="4">
        <v>71.46</v>
      </c>
      <c r="F2238" s="4">
        <v>15012.32</v>
      </c>
      <c r="G2238" s="4">
        <v>71.46</v>
      </c>
      <c r="H2238" s="4">
        <v>15012.32</v>
      </c>
    </row>
    <row r="2239" s="1" customFormat="1" ht="28" spans="1:8">
      <c r="A2239" s="2">
        <v>8411059</v>
      </c>
      <c r="B2239" s="2" t="s">
        <v>2914</v>
      </c>
      <c r="C2239" s="3" t="s">
        <v>876</v>
      </c>
      <c r="D2239" s="4">
        <v>191.9</v>
      </c>
      <c r="E2239" s="4">
        <v>541.94</v>
      </c>
      <c r="F2239" s="4">
        <v>103998.28</v>
      </c>
      <c r="G2239" s="4">
        <v>541.94</v>
      </c>
      <c r="H2239" s="4">
        <v>103998.28</v>
      </c>
    </row>
    <row r="2240" s="1" customFormat="1" ht="28" spans="1:8">
      <c r="A2240" s="2">
        <v>8411060</v>
      </c>
      <c r="B2240" s="2" t="s">
        <v>2915</v>
      </c>
      <c r="C2240" s="3" t="s">
        <v>876</v>
      </c>
      <c r="D2240" s="4">
        <v>206.04</v>
      </c>
      <c r="E2240" s="4">
        <v>595.1</v>
      </c>
      <c r="F2240" s="4">
        <v>122614.41</v>
      </c>
      <c r="G2240" s="4">
        <v>595.1</v>
      </c>
      <c r="H2240" s="4">
        <v>122614.41</v>
      </c>
    </row>
    <row r="2241" s="1" customFormat="1" ht="28" spans="1:8">
      <c r="A2241" s="2">
        <v>8411061</v>
      </c>
      <c r="B2241" s="2" t="s">
        <v>2916</v>
      </c>
      <c r="C2241" s="3" t="s">
        <v>876</v>
      </c>
      <c r="D2241" s="4">
        <v>947.38</v>
      </c>
      <c r="E2241" s="4">
        <v>656.84</v>
      </c>
      <c r="F2241" s="4">
        <v>622277.09</v>
      </c>
      <c r="G2241" s="4">
        <v>656.84</v>
      </c>
      <c r="H2241" s="4">
        <v>622277.09</v>
      </c>
    </row>
    <row r="2242" s="1" customFormat="1" ht="14" spans="1:8">
      <c r="A2242" s="2">
        <v>8411081</v>
      </c>
      <c r="B2242" s="2" t="s">
        <v>2917</v>
      </c>
      <c r="C2242" s="3" t="s">
        <v>725</v>
      </c>
      <c r="D2242" s="4">
        <v>1068.58</v>
      </c>
      <c r="E2242" s="4">
        <v>11.71</v>
      </c>
      <c r="F2242" s="4">
        <v>12513.08</v>
      </c>
      <c r="G2242" s="4">
        <v>11.71</v>
      </c>
      <c r="H2242" s="4">
        <v>12513.08</v>
      </c>
    </row>
    <row r="2243" s="1" customFormat="1" ht="14" spans="1:8">
      <c r="A2243" s="2">
        <v>8411082</v>
      </c>
      <c r="B2243" s="2" t="s">
        <v>2918</v>
      </c>
      <c r="C2243" s="3" t="s">
        <v>725</v>
      </c>
      <c r="D2243" s="4">
        <v>1068.58</v>
      </c>
      <c r="E2243" s="4">
        <v>17.58</v>
      </c>
      <c r="F2243" s="4">
        <v>18785.64</v>
      </c>
      <c r="G2243" s="4">
        <v>17.58</v>
      </c>
      <c r="H2243" s="4">
        <v>18785.64</v>
      </c>
    </row>
    <row r="2244" s="1" customFormat="1" ht="14" spans="1:8">
      <c r="A2244" s="2">
        <v>8412010</v>
      </c>
      <c r="B2244" s="2" t="s">
        <v>2919</v>
      </c>
      <c r="C2244" s="3" t="s">
        <v>725</v>
      </c>
      <c r="D2244" s="4">
        <v>1474.6</v>
      </c>
      <c r="E2244" s="4">
        <v>9.73</v>
      </c>
      <c r="F2244" s="4">
        <v>14347.86</v>
      </c>
      <c r="G2244" s="4">
        <v>9.73</v>
      </c>
      <c r="H2244" s="4">
        <v>14347.86</v>
      </c>
    </row>
    <row r="2245" s="1" customFormat="1" ht="14" spans="1:8">
      <c r="A2245" s="2">
        <v>8412011</v>
      </c>
      <c r="B2245" s="2" t="s">
        <v>2920</v>
      </c>
      <c r="C2245" s="3" t="s">
        <v>725</v>
      </c>
      <c r="D2245" s="4">
        <v>589.84</v>
      </c>
      <c r="E2245" s="4">
        <v>16.01</v>
      </c>
      <c r="F2245" s="4">
        <v>9443.34</v>
      </c>
      <c r="G2245" s="4">
        <v>16.01</v>
      </c>
      <c r="H2245" s="4">
        <v>9443.34</v>
      </c>
    </row>
    <row r="2246" s="1" customFormat="1" ht="14" spans="1:8">
      <c r="A2246" s="2">
        <v>8412012</v>
      </c>
      <c r="B2246" s="2" t="s">
        <v>2921</v>
      </c>
      <c r="C2246" s="3" t="s">
        <v>725</v>
      </c>
      <c r="D2246" s="4">
        <v>670.64</v>
      </c>
      <c r="E2246" s="4">
        <v>25.73</v>
      </c>
      <c r="F2246" s="4">
        <v>17255.57</v>
      </c>
      <c r="G2246" s="4">
        <v>25.73</v>
      </c>
      <c r="H2246" s="4">
        <v>17255.57</v>
      </c>
    </row>
    <row r="2247" s="1" customFormat="1" ht="14" spans="1:8">
      <c r="A2247" s="2">
        <v>8412030</v>
      </c>
      <c r="B2247" s="2" t="s">
        <v>2922</v>
      </c>
      <c r="C2247" s="3" t="s">
        <v>725</v>
      </c>
      <c r="D2247" s="4">
        <v>393.9</v>
      </c>
      <c r="E2247" s="4">
        <v>6.61</v>
      </c>
      <c r="F2247" s="4">
        <v>2603.68</v>
      </c>
      <c r="G2247" s="4">
        <v>6.61</v>
      </c>
      <c r="H2247" s="4">
        <v>2603.68</v>
      </c>
    </row>
    <row r="2248" s="1" customFormat="1" ht="14" spans="1:8">
      <c r="A2248" s="2">
        <v>8412031</v>
      </c>
      <c r="B2248" s="2" t="s">
        <v>2923</v>
      </c>
      <c r="C2248" s="3" t="s">
        <v>725</v>
      </c>
      <c r="D2248" s="4">
        <v>157.56</v>
      </c>
      <c r="E2248" s="4">
        <v>10.99</v>
      </c>
      <c r="F2248" s="4">
        <v>1731.59</v>
      </c>
      <c r="G2248" s="4">
        <v>10.99</v>
      </c>
      <c r="H2248" s="4">
        <v>1731.59</v>
      </c>
    </row>
    <row r="2249" s="1" customFormat="1" ht="14" spans="1:8">
      <c r="A2249" s="2">
        <v>8412032</v>
      </c>
      <c r="B2249" s="2" t="s">
        <v>2924</v>
      </c>
      <c r="C2249" s="3" t="s">
        <v>725</v>
      </c>
      <c r="D2249" s="4">
        <v>165.64</v>
      </c>
      <c r="E2249" s="4">
        <v>14.59</v>
      </c>
      <c r="F2249" s="4">
        <v>2416.68</v>
      </c>
      <c r="G2249" s="4">
        <v>14.59</v>
      </c>
      <c r="H2249" s="4">
        <v>2416.68</v>
      </c>
    </row>
    <row r="2250" s="1" customFormat="1" ht="14" spans="1:8">
      <c r="A2250" s="2">
        <v>8413010</v>
      </c>
      <c r="B2250" s="2" t="s">
        <v>2925</v>
      </c>
      <c r="C2250" s="3" t="s">
        <v>725</v>
      </c>
      <c r="D2250" s="4">
        <v>5141.88</v>
      </c>
      <c r="E2250" s="4">
        <v>5.41</v>
      </c>
      <c r="F2250" s="4">
        <v>27817.57</v>
      </c>
      <c r="G2250" s="4">
        <v>5.41</v>
      </c>
      <c r="H2250" s="4">
        <v>27817.57</v>
      </c>
    </row>
    <row r="2251" s="1" customFormat="1" ht="14" spans="1:8">
      <c r="A2251" s="2">
        <v>8413011</v>
      </c>
      <c r="B2251" s="2" t="s">
        <v>2926</v>
      </c>
      <c r="C2251" s="3" t="s">
        <v>725</v>
      </c>
      <c r="D2251" s="4">
        <v>5141.88</v>
      </c>
      <c r="E2251" s="4">
        <v>6.13</v>
      </c>
      <c r="F2251" s="4">
        <v>31519.73</v>
      </c>
      <c r="G2251" s="4">
        <v>6.13</v>
      </c>
      <c r="H2251" s="4">
        <v>31519.73</v>
      </c>
    </row>
    <row r="2252" s="1" customFormat="1" ht="14" spans="1:8">
      <c r="A2252" s="2">
        <v>8413012</v>
      </c>
      <c r="B2252" s="2" t="s">
        <v>2927</v>
      </c>
      <c r="C2252" s="3" t="s">
        <v>725</v>
      </c>
      <c r="D2252" s="4">
        <v>9379</v>
      </c>
      <c r="E2252" s="4">
        <v>40.86</v>
      </c>
      <c r="F2252" s="4">
        <v>383225.94</v>
      </c>
      <c r="G2252" s="4">
        <v>40.86</v>
      </c>
      <c r="H2252" s="4">
        <v>383225.94</v>
      </c>
    </row>
    <row r="2253" s="1" customFormat="1" ht="14" spans="1:8">
      <c r="A2253" s="2">
        <v>8414022</v>
      </c>
      <c r="B2253" s="2" t="s">
        <v>2928</v>
      </c>
      <c r="C2253" s="3" t="s">
        <v>843</v>
      </c>
      <c r="D2253" s="4">
        <v>736</v>
      </c>
      <c r="E2253" s="4">
        <v>137.2</v>
      </c>
      <c r="F2253" s="4">
        <v>100979.2</v>
      </c>
      <c r="G2253" s="4">
        <v>137.2</v>
      </c>
      <c r="H2253" s="4">
        <v>100979.2</v>
      </c>
    </row>
    <row r="2254" s="1" customFormat="1" ht="14" spans="1:8">
      <c r="A2254" s="2">
        <v>8414023</v>
      </c>
      <c r="B2254" s="2" t="s">
        <v>2929</v>
      </c>
      <c r="C2254" s="3" t="s">
        <v>725</v>
      </c>
      <c r="D2254" s="4">
        <v>143.42</v>
      </c>
      <c r="E2254" s="4">
        <v>65.57</v>
      </c>
      <c r="F2254" s="4">
        <v>9404.05</v>
      </c>
      <c r="G2254" s="4">
        <v>65.57</v>
      </c>
      <c r="H2254" s="4">
        <v>9404.05</v>
      </c>
    </row>
    <row r="2255" s="1" customFormat="1" ht="14" spans="1:8">
      <c r="A2255" s="2">
        <v>8414024</v>
      </c>
      <c r="B2255" s="2" t="s">
        <v>2930</v>
      </c>
      <c r="C2255" s="3" t="s">
        <v>725</v>
      </c>
      <c r="D2255" s="4">
        <v>144.43</v>
      </c>
      <c r="E2255" s="4">
        <v>119.8</v>
      </c>
      <c r="F2255" s="4">
        <v>17302.71</v>
      </c>
      <c r="G2255" s="4">
        <v>119.8</v>
      </c>
      <c r="H2255" s="4">
        <v>17302.71</v>
      </c>
    </row>
    <row r="2256" s="1" customFormat="1" ht="14" spans="1:8">
      <c r="A2256" s="2">
        <v>8414031</v>
      </c>
      <c r="B2256" s="2" t="s">
        <v>2931</v>
      </c>
      <c r="C2256" s="3" t="s">
        <v>725</v>
      </c>
      <c r="D2256" s="4">
        <v>1.01</v>
      </c>
      <c r="E2256" s="4">
        <v>755.43</v>
      </c>
      <c r="F2256" s="4">
        <v>762.98</v>
      </c>
      <c r="G2256" s="4">
        <v>755.43</v>
      </c>
      <c r="H2256" s="4">
        <v>762.98</v>
      </c>
    </row>
    <row r="2257" s="1" customFormat="1" ht="14" spans="1:8">
      <c r="A2257" s="2">
        <v>8414032</v>
      </c>
      <c r="B2257" s="2" t="s">
        <v>2932</v>
      </c>
      <c r="C2257" s="3" t="s">
        <v>725</v>
      </c>
      <c r="D2257" s="4">
        <v>31.31</v>
      </c>
      <c r="E2257" s="4">
        <v>75.04</v>
      </c>
      <c r="F2257" s="4">
        <v>2349.49</v>
      </c>
      <c r="G2257" s="4">
        <v>75.04</v>
      </c>
      <c r="H2257" s="4">
        <v>2349.49</v>
      </c>
    </row>
    <row r="2258" s="1" customFormat="1" ht="14" spans="1:8">
      <c r="A2258" s="2">
        <v>8415011</v>
      </c>
      <c r="B2258" s="2" t="s">
        <v>2933</v>
      </c>
      <c r="C2258" s="3" t="s">
        <v>876</v>
      </c>
      <c r="D2258" s="4">
        <v>1150.5</v>
      </c>
      <c r="E2258" s="4">
        <v>10.57</v>
      </c>
      <c r="F2258" s="4">
        <v>12160.8</v>
      </c>
      <c r="G2258" s="4">
        <v>10.57</v>
      </c>
      <c r="H2258" s="4">
        <v>12160.8</v>
      </c>
    </row>
    <row r="2259" s="1" customFormat="1" ht="14" spans="1:8">
      <c r="A2259" s="2">
        <v>8514026</v>
      </c>
      <c r="B2259" s="2" t="s">
        <v>2934</v>
      </c>
      <c r="C2259" s="3" t="s">
        <v>824</v>
      </c>
      <c r="D2259" s="4">
        <v>4</v>
      </c>
      <c r="E2259" s="4">
        <v>857.5</v>
      </c>
      <c r="F2259" s="4">
        <v>3430</v>
      </c>
      <c r="G2259" s="4">
        <v>857.5</v>
      </c>
      <c r="H2259" s="4">
        <v>3430</v>
      </c>
    </row>
    <row r="2260" s="1" customFormat="1" ht="14" spans="1:8">
      <c r="A2260" s="2">
        <v>8514030</v>
      </c>
      <c r="B2260" s="2" t="s">
        <v>2935</v>
      </c>
      <c r="C2260" s="3" t="s">
        <v>472</v>
      </c>
      <c r="D2260" s="4">
        <v>4060.2</v>
      </c>
      <c r="E2260" s="4">
        <v>7.48</v>
      </c>
      <c r="F2260" s="4">
        <v>30370.3</v>
      </c>
      <c r="G2260" s="4">
        <v>7.48</v>
      </c>
      <c r="H2260" s="4">
        <v>30370.3</v>
      </c>
    </row>
    <row r="2261" s="1" customFormat="1" ht="14" spans="1:8">
      <c r="A2261" s="2">
        <v>8514031</v>
      </c>
      <c r="B2261" s="2" t="s">
        <v>2936</v>
      </c>
      <c r="C2261" s="3" t="s">
        <v>824</v>
      </c>
      <c r="D2261" s="4">
        <v>150</v>
      </c>
      <c r="E2261" s="4">
        <v>113.19</v>
      </c>
      <c r="F2261" s="4">
        <v>16978.5</v>
      </c>
      <c r="G2261" s="4">
        <v>113.19</v>
      </c>
      <c r="H2261" s="4">
        <v>16978.5</v>
      </c>
    </row>
    <row r="2262" s="1" customFormat="1" ht="14" spans="1:8">
      <c r="A2262" s="2">
        <v>8518092</v>
      </c>
      <c r="B2262" s="2" t="s">
        <v>2937</v>
      </c>
      <c r="C2262" s="3" t="s">
        <v>824</v>
      </c>
      <c r="D2262" s="4">
        <v>102</v>
      </c>
      <c r="E2262" s="4">
        <v>211.82</v>
      </c>
      <c r="F2262" s="4">
        <v>21605.64</v>
      </c>
      <c r="G2262" s="4">
        <v>211.82</v>
      </c>
      <c r="H2262" s="4">
        <v>21605.64</v>
      </c>
    </row>
    <row r="2263" s="1" customFormat="1" ht="14" spans="1:8">
      <c r="A2263" s="2">
        <v>8519007</v>
      </c>
      <c r="B2263" s="2" t="s">
        <v>2938</v>
      </c>
      <c r="C2263" s="3" t="s">
        <v>876</v>
      </c>
      <c r="D2263" s="4">
        <v>102</v>
      </c>
      <c r="E2263" s="4">
        <v>136.34</v>
      </c>
      <c r="F2263" s="4">
        <v>13906.68</v>
      </c>
      <c r="G2263" s="4">
        <v>136.34</v>
      </c>
      <c r="H2263" s="4">
        <v>13906.68</v>
      </c>
    </row>
    <row r="2264" s="1" customFormat="1" ht="14" spans="1:8">
      <c r="A2264" s="2">
        <v>8519008</v>
      </c>
      <c r="B2264" s="2" t="s">
        <v>2939</v>
      </c>
      <c r="C2264" s="3" t="s">
        <v>824</v>
      </c>
      <c r="D2264" s="4">
        <v>2460</v>
      </c>
      <c r="E2264" s="4">
        <v>90.04</v>
      </c>
      <c r="F2264" s="4">
        <v>221498.4</v>
      </c>
      <c r="G2264" s="4">
        <v>90.04</v>
      </c>
      <c r="H2264" s="4">
        <v>221498.4</v>
      </c>
    </row>
    <row r="2265" s="1" customFormat="1" ht="14" spans="1:8">
      <c r="A2265" s="2">
        <v>8610031</v>
      </c>
      <c r="B2265" s="2" t="s">
        <v>2940</v>
      </c>
      <c r="C2265" s="3" t="s">
        <v>2820</v>
      </c>
      <c r="D2265" s="4">
        <v>49</v>
      </c>
      <c r="E2265" s="4">
        <v>3681.07</v>
      </c>
      <c r="F2265" s="4">
        <v>180372.43</v>
      </c>
      <c r="G2265" s="4">
        <v>3681.07</v>
      </c>
      <c r="H2265" s="4">
        <v>180372.43</v>
      </c>
    </row>
    <row r="2266" s="1" customFormat="1" ht="14" spans="1:8">
      <c r="A2266" s="2">
        <v>8711012</v>
      </c>
      <c r="B2266" s="2" t="s">
        <v>2941</v>
      </c>
      <c r="C2266" s="3" t="s">
        <v>824</v>
      </c>
      <c r="D2266" s="4">
        <v>8</v>
      </c>
      <c r="E2266" s="4">
        <v>137.72</v>
      </c>
      <c r="F2266" s="4">
        <v>1101.76</v>
      </c>
      <c r="G2266" s="4">
        <v>137.72</v>
      </c>
      <c r="H2266" s="4">
        <v>1101.76</v>
      </c>
    </row>
    <row r="2267" s="1" customFormat="1" ht="14" spans="1:8">
      <c r="A2267" s="2">
        <v>8711014</v>
      </c>
      <c r="B2267" s="2" t="s">
        <v>2942</v>
      </c>
      <c r="C2267" s="3" t="s">
        <v>876</v>
      </c>
      <c r="D2267" s="4">
        <v>1190</v>
      </c>
      <c r="E2267" s="4">
        <v>46.19</v>
      </c>
      <c r="F2267" s="4">
        <v>54966.1</v>
      </c>
      <c r="G2267" s="4">
        <v>46.19</v>
      </c>
      <c r="H2267" s="4">
        <v>54966.1</v>
      </c>
    </row>
    <row r="2268" s="1" customFormat="1" ht="14" spans="1:8">
      <c r="A2268" s="2">
        <v>8711026</v>
      </c>
      <c r="B2268" s="2" t="s">
        <v>2943</v>
      </c>
      <c r="C2268" s="3" t="s">
        <v>824</v>
      </c>
      <c r="D2268" s="4">
        <v>2411.76</v>
      </c>
      <c r="E2268" s="4">
        <v>3.3</v>
      </c>
      <c r="F2268" s="4">
        <v>7958.81</v>
      </c>
      <c r="G2268" s="4">
        <v>3.3</v>
      </c>
      <c r="H2268" s="4">
        <v>7958.81</v>
      </c>
    </row>
    <row r="2269" s="1" customFormat="1" ht="14" spans="1:8">
      <c r="A2269" s="2">
        <v>8711027</v>
      </c>
      <c r="B2269" s="2" t="s">
        <v>2944</v>
      </c>
      <c r="C2269" s="3" t="s">
        <v>876</v>
      </c>
      <c r="D2269" s="4">
        <v>987</v>
      </c>
      <c r="E2269" s="4">
        <v>66.48</v>
      </c>
      <c r="F2269" s="4">
        <v>65615.76</v>
      </c>
      <c r="G2269" s="4">
        <v>66.48</v>
      </c>
      <c r="H2269" s="4">
        <v>65615.76</v>
      </c>
    </row>
    <row r="2270" s="1" customFormat="1" ht="14" spans="1:8">
      <c r="A2270" s="2">
        <v>8711028</v>
      </c>
      <c r="B2270" s="2" t="s">
        <v>2945</v>
      </c>
      <c r="C2270" s="3" t="s">
        <v>876</v>
      </c>
      <c r="D2270" s="4">
        <v>166</v>
      </c>
      <c r="E2270" s="4">
        <v>35.16</v>
      </c>
      <c r="F2270" s="4">
        <v>5836.56</v>
      </c>
      <c r="G2270" s="4">
        <v>35.16</v>
      </c>
      <c r="H2270" s="4">
        <v>5836.56</v>
      </c>
    </row>
    <row r="2271" s="1" customFormat="1" ht="14" spans="1:8">
      <c r="A2271" s="2">
        <v>8711029</v>
      </c>
      <c r="B2271" s="2" t="s">
        <v>2946</v>
      </c>
      <c r="C2271" s="3" t="s">
        <v>824</v>
      </c>
      <c r="D2271" s="4">
        <v>16145</v>
      </c>
      <c r="E2271" s="4">
        <v>3.26</v>
      </c>
      <c r="F2271" s="4">
        <v>52632.7</v>
      </c>
      <c r="G2271" s="4">
        <v>3.26</v>
      </c>
      <c r="H2271" s="4">
        <v>52632.7</v>
      </c>
    </row>
    <row r="2272" s="1" customFormat="1" ht="14" spans="1:8">
      <c r="A2272" s="2">
        <v>8711030</v>
      </c>
      <c r="B2272" s="2" t="s">
        <v>2947</v>
      </c>
      <c r="C2272" s="3" t="s">
        <v>824</v>
      </c>
      <c r="D2272" s="4">
        <v>21089</v>
      </c>
      <c r="E2272" s="4">
        <v>0.44</v>
      </c>
      <c r="F2272" s="4">
        <v>9279.16</v>
      </c>
      <c r="G2272" s="4">
        <v>0.44</v>
      </c>
      <c r="H2272" s="4">
        <v>9279.16</v>
      </c>
    </row>
    <row r="2273" s="1" customFormat="1" ht="14" spans="1:8">
      <c r="A2273" s="2">
        <v>8711031</v>
      </c>
      <c r="B2273" s="2" t="s">
        <v>2948</v>
      </c>
      <c r="C2273" s="3" t="s">
        <v>876</v>
      </c>
      <c r="D2273" s="4">
        <v>43922</v>
      </c>
      <c r="E2273" s="4">
        <v>3.35</v>
      </c>
      <c r="F2273" s="4">
        <v>147138.7</v>
      </c>
      <c r="G2273" s="4">
        <v>3.35</v>
      </c>
      <c r="H2273" s="4">
        <v>147138.7</v>
      </c>
    </row>
    <row r="2274" s="1" customFormat="1" ht="14" spans="1:8">
      <c r="A2274" s="2">
        <v>8711032</v>
      </c>
      <c r="B2274" s="2" t="s">
        <v>2949</v>
      </c>
      <c r="C2274" s="3" t="s">
        <v>876</v>
      </c>
      <c r="D2274" s="4">
        <v>41654</v>
      </c>
      <c r="E2274" s="4">
        <v>1.11</v>
      </c>
      <c r="F2274" s="4">
        <v>46235.94</v>
      </c>
      <c r="G2274" s="4">
        <v>1.11</v>
      </c>
      <c r="H2274" s="4">
        <v>46235.94</v>
      </c>
    </row>
    <row r="2275" s="1" customFormat="1" ht="14" spans="1:8">
      <c r="A2275" s="2">
        <v>8711051</v>
      </c>
      <c r="B2275" s="2" t="s">
        <v>2950</v>
      </c>
      <c r="C2275" s="3" t="s">
        <v>876</v>
      </c>
      <c r="D2275" s="4">
        <v>2</v>
      </c>
      <c r="E2275" s="4">
        <v>674.18</v>
      </c>
      <c r="F2275" s="4">
        <v>1348.36</v>
      </c>
      <c r="G2275" s="4">
        <v>674.18</v>
      </c>
      <c r="H2275" s="4">
        <v>1348.36</v>
      </c>
    </row>
    <row r="2276" s="1" customFormat="1" ht="14" spans="1:8">
      <c r="A2276" s="2">
        <v>8711052</v>
      </c>
      <c r="B2276" s="2" t="s">
        <v>2951</v>
      </c>
      <c r="C2276" s="3" t="s">
        <v>876</v>
      </c>
      <c r="D2276" s="4">
        <v>53</v>
      </c>
      <c r="E2276" s="4">
        <v>844.33</v>
      </c>
      <c r="F2276" s="4">
        <v>44749.49</v>
      </c>
      <c r="G2276" s="4">
        <v>844.33</v>
      </c>
      <c r="H2276" s="4">
        <v>44749.49</v>
      </c>
    </row>
    <row r="2277" s="1" customFormat="1" ht="14" spans="1:8">
      <c r="A2277" s="2">
        <v>8711064</v>
      </c>
      <c r="B2277" s="2" t="s">
        <v>2952</v>
      </c>
      <c r="C2277" s="3" t="s">
        <v>824</v>
      </c>
      <c r="D2277" s="4">
        <v>915</v>
      </c>
      <c r="E2277" s="4">
        <v>812.91</v>
      </c>
      <c r="F2277" s="4">
        <v>743812.65</v>
      </c>
      <c r="G2277" s="4">
        <v>812.91</v>
      </c>
      <c r="H2277" s="4">
        <v>743812.65</v>
      </c>
    </row>
    <row r="2278" s="1" customFormat="1" ht="14" spans="1:8">
      <c r="A2278" s="2">
        <v>8711065</v>
      </c>
      <c r="B2278" s="2" t="s">
        <v>2953</v>
      </c>
      <c r="C2278" s="3" t="s">
        <v>824</v>
      </c>
      <c r="D2278" s="4">
        <v>1509</v>
      </c>
      <c r="E2278" s="4">
        <v>927.81</v>
      </c>
      <c r="F2278" s="4">
        <v>1400065.29</v>
      </c>
      <c r="G2278" s="4">
        <v>927.81</v>
      </c>
      <c r="H2278" s="4">
        <v>1400065.29</v>
      </c>
    </row>
    <row r="2279" s="1" customFormat="1" ht="14" spans="1:8">
      <c r="A2279" s="2">
        <v>8711068</v>
      </c>
      <c r="B2279" s="2" t="s">
        <v>2954</v>
      </c>
      <c r="C2279" s="3" t="s">
        <v>824</v>
      </c>
      <c r="D2279" s="4">
        <v>256</v>
      </c>
      <c r="E2279" s="4">
        <v>245.24</v>
      </c>
      <c r="F2279" s="4">
        <v>62781.44</v>
      </c>
      <c r="G2279" s="4">
        <v>245.24</v>
      </c>
      <c r="H2279" s="4">
        <v>62781.44</v>
      </c>
    </row>
    <row r="2280" s="1" customFormat="1" ht="14" spans="1:8">
      <c r="A2280" s="2">
        <v>8711069</v>
      </c>
      <c r="B2280" s="2" t="s">
        <v>2955</v>
      </c>
      <c r="C2280" s="3" t="s">
        <v>824</v>
      </c>
      <c r="D2280" s="4">
        <v>706</v>
      </c>
      <c r="E2280" s="4">
        <v>408.17</v>
      </c>
      <c r="F2280" s="4">
        <v>288168.02</v>
      </c>
      <c r="G2280" s="4">
        <v>408.17</v>
      </c>
      <c r="H2280" s="4">
        <v>288168.02</v>
      </c>
    </row>
    <row r="2281" s="1" customFormat="1" ht="14" spans="1:8">
      <c r="A2281" s="2">
        <v>8711071</v>
      </c>
      <c r="B2281" s="2" t="s">
        <v>2956</v>
      </c>
      <c r="C2281" s="3" t="s">
        <v>824</v>
      </c>
      <c r="D2281" s="4">
        <v>1210</v>
      </c>
      <c r="E2281" s="4">
        <v>553.94</v>
      </c>
      <c r="F2281" s="4">
        <v>670267.4</v>
      </c>
      <c r="G2281" s="4">
        <v>553.94</v>
      </c>
      <c r="H2281" s="4">
        <v>670267.4</v>
      </c>
    </row>
    <row r="2282" s="1" customFormat="1" ht="14" spans="1:8">
      <c r="A2282" s="2">
        <v>8711072</v>
      </c>
      <c r="B2282" s="2" t="s">
        <v>2957</v>
      </c>
      <c r="C2282" s="3" t="s">
        <v>824</v>
      </c>
      <c r="D2282" s="4">
        <v>1210</v>
      </c>
      <c r="E2282" s="4">
        <v>756.31</v>
      </c>
      <c r="F2282" s="4">
        <v>915135.1</v>
      </c>
      <c r="G2282" s="4">
        <v>756.31</v>
      </c>
      <c r="H2282" s="4">
        <v>915135.1</v>
      </c>
    </row>
    <row r="2283" s="1" customFormat="1" ht="14" spans="1:8">
      <c r="A2283" s="2">
        <v>8713019</v>
      </c>
      <c r="B2283" s="2" t="s">
        <v>2958</v>
      </c>
      <c r="C2283" s="3" t="s">
        <v>2959</v>
      </c>
      <c r="D2283" s="4">
        <v>3063.26</v>
      </c>
      <c r="E2283" s="4">
        <v>5.15</v>
      </c>
      <c r="F2283" s="4">
        <v>15775.81</v>
      </c>
      <c r="G2283" s="4">
        <v>5.15</v>
      </c>
      <c r="H2283" s="4">
        <v>15775.81</v>
      </c>
    </row>
    <row r="2284" s="1" customFormat="1" ht="14" spans="1:8">
      <c r="A2284" s="2">
        <v>8713021</v>
      </c>
      <c r="B2284" s="2" t="s">
        <v>2960</v>
      </c>
      <c r="C2284" s="3" t="s">
        <v>472</v>
      </c>
      <c r="D2284" s="4">
        <v>340</v>
      </c>
      <c r="E2284" s="4">
        <v>0.17</v>
      </c>
      <c r="F2284" s="4">
        <v>57.8</v>
      </c>
      <c r="G2284" s="4">
        <v>0.17</v>
      </c>
      <c r="H2284" s="4">
        <v>57.8</v>
      </c>
    </row>
    <row r="2285" s="1" customFormat="1" ht="14" spans="1:8">
      <c r="A2285" s="2">
        <v>8714011</v>
      </c>
      <c r="B2285" s="2" t="s">
        <v>2961</v>
      </c>
      <c r="C2285" s="3" t="s">
        <v>472</v>
      </c>
      <c r="D2285" s="4">
        <v>2073</v>
      </c>
      <c r="E2285" s="4">
        <v>20.68</v>
      </c>
      <c r="F2285" s="4">
        <v>42869.64</v>
      </c>
      <c r="G2285" s="4">
        <v>20.68</v>
      </c>
      <c r="H2285" s="4">
        <v>42869.64</v>
      </c>
    </row>
    <row r="2286" s="1" customFormat="1" ht="14" spans="1:8">
      <c r="A2286" s="2">
        <v>8714012</v>
      </c>
      <c r="B2286" s="2" t="s">
        <v>2962</v>
      </c>
      <c r="C2286" s="3" t="s">
        <v>472</v>
      </c>
      <c r="D2286" s="4">
        <v>18913.6</v>
      </c>
      <c r="E2286" s="4">
        <v>25.11</v>
      </c>
      <c r="F2286" s="4">
        <v>474920.49</v>
      </c>
      <c r="G2286" s="4">
        <v>25.11</v>
      </c>
      <c r="H2286" s="4">
        <v>474920.49</v>
      </c>
    </row>
    <row r="2287" s="1" customFormat="1" ht="14" spans="1:8">
      <c r="A2287" s="2">
        <v>8714013</v>
      </c>
      <c r="B2287" s="2" t="s">
        <v>2963</v>
      </c>
      <c r="C2287" s="3" t="s">
        <v>472</v>
      </c>
      <c r="D2287" s="4">
        <v>11022.13</v>
      </c>
      <c r="E2287" s="4">
        <v>33.96</v>
      </c>
      <c r="F2287" s="4">
        <v>374311.53</v>
      </c>
      <c r="G2287" s="4">
        <v>33.96</v>
      </c>
      <c r="H2287" s="4">
        <v>374311.53</v>
      </c>
    </row>
    <row r="2288" s="1" customFormat="1" ht="14" spans="1:8">
      <c r="A2288" s="2">
        <v>8714014</v>
      </c>
      <c r="B2288" s="2" t="s">
        <v>2964</v>
      </c>
      <c r="C2288" s="3" t="s">
        <v>472</v>
      </c>
      <c r="D2288" s="4">
        <v>26781.81</v>
      </c>
      <c r="E2288" s="4">
        <v>44.25</v>
      </c>
      <c r="F2288" s="4">
        <v>1185095.1</v>
      </c>
      <c r="G2288" s="4">
        <v>44.25</v>
      </c>
      <c r="H2288" s="4">
        <v>1185095.1</v>
      </c>
    </row>
    <row r="2289" s="1" customFormat="1" ht="14" spans="1:8">
      <c r="A2289" s="2">
        <v>8714015</v>
      </c>
      <c r="B2289" s="2" t="s">
        <v>2965</v>
      </c>
      <c r="C2289" s="3" t="s">
        <v>472</v>
      </c>
      <c r="D2289" s="4">
        <v>15119.7</v>
      </c>
      <c r="E2289" s="4">
        <v>81.03</v>
      </c>
      <c r="F2289" s="4">
        <v>1225149.29</v>
      </c>
      <c r="G2289" s="4">
        <v>81.03</v>
      </c>
      <c r="H2289" s="4">
        <v>1225149.29</v>
      </c>
    </row>
    <row r="2290" s="1" customFormat="1" ht="28" spans="1:8">
      <c r="A2290" s="2">
        <v>8714016</v>
      </c>
      <c r="B2290" s="2" t="s">
        <v>2966</v>
      </c>
      <c r="C2290" s="3" t="s">
        <v>843</v>
      </c>
      <c r="D2290" s="4">
        <v>130</v>
      </c>
      <c r="E2290" s="4">
        <v>87.06</v>
      </c>
      <c r="F2290" s="4">
        <v>11317.8</v>
      </c>
      <c r="G2290" s="4">
        <v>87.06</v>
      </c>
      <c r="H2290" s="4">
        <v>11317.8</v>
      </c>
    </row>
    <row r="2291" s="1" customFormat="1" ht="14" spans="1:8">
      <c r="A2291" s="2">
        <v>8714018</v>
      </c>
      <c r="B2291" s="2" t="s">
        <v>2967</v>
      </c>
      <c r="C2291" s="3" t="s">
        <v>52</v>
      </c>
      <c r="D2291" s="4">
        <v>19851.7</v>
      </c>
      <c r="E2291" s="4">
        <v>35.86</v>
      </c>
      <c r="F2291" s="4">
        <v>711881.96</v>
      </c>
      <c r="G2291" s="4">
        <v>35.86</v>
      </c>
      <c r="H2291" s="4">
        <v>711881.96</v>
      </c>
    </row>
    <row r="2292" s="1" customFormat="1" ht="14" spans="1:8">
      <c r="A2292" s="2">
        <v>8751003</v>
      </c>
      <c r="B2292" s="2" t="s">
        <v>2968</v>
      </c>
      <c r="C2292" s="3" t="s">
        <v>472</v>
      </c>
      <c r="D2292" s="4">
        <v>40</v>
      </c>
      <c r="E2292" s="4">
        <v>49.74</v>
      </c>
      <c r="F2292" s="4">
        <v>1989.6</v>
      </c>
      <c r="G2292" s="4">
        <v>49.74</v>
      </c>
      <c r="H2292" s="4">
        <v>1989.6</v>
      </c>
    </row>
    <row r="2293" s="1" customFormat="1" ht="28" spans="1:8">
      <c r="A2293" s="2">
        <v>8751012</v>
      </c>
      <c r="B2293" s="2" t="s">
        <v>2969</v>
      </c>
      <c r="C2293" s="3" t="s">
        <v>472</v>
      </c>
      <c r="D2293" s="4">
        <v>1255</v>
      </c>
      <c r="E2293" s="4">
        <v>467.34</v>
      </c>
      <c r="F2293" s="4">
        <v>586511.7</v>
      </c>
      <c r="G2293" s="4">
        <v>467.34</v>
      </c>
      <c r="H2293" s="4">
        <v>586511.7</v>
      </c>
    </row>
    <row r="2294" s="1" customFormat="1" ht="14" spans="1:8">
      <c r="A2294" s="2">
        <v>8751013</v>
      </c>
      <c r="B2294" s="2" t="s">
        <v>2970</v>
      </c>
      <c r="C2294" s="3" t="s">
        <v>843</v>
      </c>
      <c r="D2294" s="4">
        <v>502</v>
      </c>
      <c r="E2294" s="4">
        <v>10.08</v>
      </c>
      <c r="F2294" s="4">
        <v>5060.16</v>
      </c>
      <c r="G2294" s="4">
        <v>10.08</v>
      </c>
      <c r="H2294" s="4">
        <v>5060.16</v>
      </c>
    </row>
    <row r="2295" s="1" customFormat="1" ht="14" spans="1:8">
      <c r="A2295" s="2">
        <v>8751024</v>
      </c>
      <c r="B2295" s="2" t="s">
        <v>2971</v>
      </c>
      <c r="C2295" s="3" t="s">
        <v>472</v>
      </c>
      <c r="D2295" s="4">
        <v>160</v>
      </c>
      <c r="E2295" s="4">
        <v>162.92</v>
      </c>
      <c r="F2295" s="4">
        <v>26067.2</v>
      </c>
      <c r="G2295" s="4">
        <v>162.92</v>
      </c>
      <c r="H2295" s="4">
        <v>26067.2</v>
      </c>
    </row>
    <row r="2296" s="1" customFormat="1" ht="28" spans="1:8">
      <c r="A2296" s="2">
        <v>8751035</v>
      </c>
      <c r="B2296" s="2" t="s">
        <v>2972</v>
      </c>
      <c r="C2296" s="3" t="s">
        <v>1029</v>
      </c>
      <c r="D2296" s="4">
        <v>2306</v>
      </c>
      <c r="E2296" s="4">
        <v>220.38</v>
      </c>
      <c r="F2296" s="4">
        <v>508196.28</v>
      </c>
      <c r="G2296" s="4">
        <v>220.38</v>
      </c>
      <c r="H2296" s="4">
        <v>508196.28</v>
      </c>
    </row>
    <row r="2297" s="1" customFormat="1" ht="28" spans="1:8">
      <c r="A2297" s="2">
        <v>8751036</v>
      </c>
      <c r="B2297" s="2" t="s">
        <v>2973</v>
      </c>
      <c r="C2297" s="3" t="s">
        <v>1029</v>
      </c>
      <c r="D2297" s="4">
        <v>956</v>
      </c>
      <c r="E2297" s="4">
        <v>134.63</v>
      </c>
      <c r="F2297" s="4">
        <v>128706.28</v>
      </c>
      <c r="G2297" s="4">
        <v>134.63</v>
      </c>
      <c r="H2297" s="4">
        <v>128706.28</v>
      </c>
    </row>
    <row r="2298" s="1" customFormat="1" ht="28" spans="1:8">
      <c r="A2298" s="2">
        <v>8751037</v>
      </c>
      <c r="B2298" s="2" t="s">
        <v>2974</v>
      </c>
      <c r="C2298" s="3" t="s">
        <v>1029</v>
      </c>
      <c r="D2298" s="4">
        <v>2494</v>
      </c>
      <c r="E2298" s="4">
        <v>252.96</v>
      </c>
      <c r="F2298" s="4">
        <v>630882.24</v>
      </c>
      <c r="G2298" s="4">
        <v>252.96</v>
      </c>
      <c r="H2298" s="4">
        <v>630882.24</v>
      </c>
    </row>
    <row r="2299" s="1" customFormat="1" ht="28" spans="1:8">
      <c r="A2299" s="2">
        <v>8751038</v>
      </c>
      <c r="B2299" s="2" t="s">
        <v>2975</v>
      </c>
      <c r="C2299" s="3" t="s">
        <v>1029</v>
      </c>
      <c r="D2299" s="4">
        <v>1653</v>
      </c>
      <c r="E2299" s="4">
        <v>274.4</v>
      </c>
      <c r="F2299" s="4">
        <v>453583.2</v>
      </c>
      <c r="G2299" s="4">
        <v>274.4</v>
      </c>
      <c r="H2299" s="4">
        <v>453583.2</v>
      </c>
    </row>
    <row r="2300" s="1" customFormat="1" ht="28" spans="1:8">
      <c r="A2300" s="2">
        <v>8751040</v>
      </c>
      <c r="B2300" s="2" t="s">
        <v>2976</v>
      </c>
      <c r="C2300" s="3" t="s">
        <v>1029</v>
      </c>
      <c r="D2300" s="4">
        <v>462</v>
      </c>
      <c r="E2300" s="4">
        <v>289.83</v>
      </c>
      <c r="F2300" s="4">
        <v>133901.46</v>
      </c>
      <c r="G2300" s="4">
        <v>289.83</v>
      </c>
      <c r="H2300" s="4">
        <v>133901.46</v>
      </c>
    </row>
    <row r="2301" s="1" customFormat="1" ht="28" spans="1:8">
      <c r="A2301" s="2">
        <v>8751041</v>
      </c>
      <c r="B2301" s="2" t="s">
        <v>2977</v>
      </c>
      <c r="C2301" s="3" t="s">
        <v>824</v>
      </c>
      <c r="D2301" s="4">
        <v>486</v>
      </c>
      <c r="E2301" s="4">
        <v>128.62</v>
      </c>
      <c r="F2301" s="4">
        <v>62509.32</v>
      </c>
      <c r="G2301" s="4">
        <v>128.62</v>
      </c>
      <c r="H2301" s="4">
        <v>62509.32</v>
      </c>
    </row>
    <row r="2302" s="1" customFormat="1" ht="14" spans="1:8">
      <c r="A2302" s="2">
        <v>8751052</v>
      </c>
      <c r="B2302" s="2" t="s">
        <v>2978</v>
      </c>
      <c r="C2302" s="3" t="s">
        <v>876</v>
      </c>
      <c r="D2302" s="4">
        <v>948</v>
      </c>
      <c r="E2302" s="4">
        <v>289.83</v>
      </c>
      <c r="F2302" s="4">
        <v>274758.84</v>
      </c>
      <c r="G2302" s="4">
        <v>289.83</v>
      </c>
      <c r="H2302" s="4">
        <v>274758.84</v>
      </c>
    </row>
    <row r="2303" s="1" customFormat="1" ht="14" spans="1:8">
      <c r="A2303" s="2">
        <v>8751059</v>
      </c>
      <c r="B2303" s="2" t="s">
        <v>2979</v>
      </c>
      <c r="C2303" s="3" t="s">
        <v>824</v>
      </c>
      <c r="D2303" s="4">
        <v>1222</v>
      </c>
      <c r="E2303" s="4">
        <v>12</v>
      </c>
      <c r="F2303" s="4">
        <v>14664</v>
      </c>
      <c r="G2303" s="4">
        <v>12</v>
      </c>
      <c r="H2303" s="4">
        <v>14664</v>
      </c>
    </row>
    <row r="2304" s="1" customFormat="1" ht="14" spans="1:8">
      <c r="A2304" s="2">
        <v>8751060</v>
      </c>
      <c r="B2304" s="2" t="s">
        <v>2980</v>
      </c>
      <c r="C2304" s="3" t="s">
        <v>2820</v>
      </c>
      <c r="D2304" s="4">
        <v>1853</v>
      </c>
      <c r="E2304" s="4">
        <v>180.07</v>
      </c>
      <c r="F2304" s="4">
        <v>333669.71</v>
      </c>
      <c r="G2304" s="4">
        <v>180.07</v>
      </c>
      <c r="H2304" s="4">
        <v>333669.71</v>
      </c>
    </row>
    <row r="2305" s="1" customFormat="1" ht="14" spans="1:8">
      <c r="A2305" s="2">
        <v>8751084</v>
      </c>
      <c r="B2305" s="2" t="s">
        <v>2981</v>
      </c>
      <c r="C2305" s="3" t="s">
        <v>824</v>
      </c>
      <c r="D2305" s="4">
        <v>15165.1</v>
      </c>
      <c r="E2305" s="4">
        <v>4.29</v>
      </c>
      <c r="F2305" s="4">
        <v>65058.26</v>
      </c>
      <c r="G2305" s="4">
        <v>4.29</v>
      </c>
      <c r="H2305" s="4">
        <v>65058.26</v>
      </c>
    </row>
    <row r="2306" s="1" customFormat="1" ht="14" spans="1:8">
      <c r="A2306" s="2">
        <v>8751086</v>
      </c>
      <c r="B2306" s="2" t="s">
        <v>2982</v>
      </c>
      <c r="C2306" s="3" t="s">
        <v>824</v>
      </c>
      <c r="D2306" s="4">
        <v>1322</v>
      </c>
      <c r="E2306" s="4">
        <v>5.66</v>
      </c>
      <c r="F2306" s="4">
        <v>7482.52</v>
      </c>
      <c r="G2306" s="4">
        <v>5.66</v>
      </c>
      <c r="H2306" s="4">
        <v>7482.52</v>
      </c>
    </row>
    <row r="2307" s="1" customFormat="1" ht="14" spans="1:8">
      <c r="A2307" s="2">
        <v>8751088</v>
      </c>
      <c r="B2307" s="2" t="s">
        <v>2983</v>
      </c>
      <c r="C2307" s="3" t="s">
        <v>824</v>
      </c>
      <c r="D2307" s="4">
        <v>293600</v>
      </c>
      <c r="E2307" s="4">
        <v>0.09</v>
      </c>
      <c r="F2307" s="4">
        <v>26424</v>
      </c>
      <c r="G2307" s="4">
        <v>0.09</v>
      </c>
      <c r="H2307" s="4">
        <v>26424</v>
      </c>
    </row>
    <row r="2308" s="1" customFormat="1" ht="14" spans="1:8">
      <c r="A2308" s="2">
        <v>8751120</v>
      </c>
      <c r="B2308" s="2" t="s">
        <v>2984</v>
      </c>
      <c r="C2308" s="3" t="s">
        <v>472</v>
      </c>
      <c r="D2308" s="4">
        <v>640</v>
      </c>
      <c r="E2308" s="4">
        <v>4.03</v>
      </c>
      <c r="F2308" s="4">
        <v>2579.2</v>
      </c>
      <c r="G2308" s="4">
        <v>4.03</v>
      </c>
      <c r="H2308" s="4">
        <v>2579.2</v>
      </c>
    </row>
    <row r="2309" s="1" customFormat="1" ht="14" spans="1:8">
      <c r="A2309" s="2">
        <v>8751127</v>
      </c>
      <c r="B2309" s="2" t="s">
        <v>2985</v>
      </c>
      <c r="C2309" s="3" t="s">
        <v>2986</v>
      </c>
      <c r="D2309" s="4">
        <v>47.89</v>
      </c>
      <c r="E2309" s="4">
        <v>188.65</v>
      </c>
      <c r="F2309" s="4">
        <v>9034.65</v>
      </c>
      <c r="G2309" s="4">
        <v>188.65</v>
      </c>
      <c r="H2309" s="4">
        <v>9034.65</v>
      </c>
    </row>
    <row r="2310" s="1" customFormat="1" ht="14" spans="1:8">
      <c r="A2310" s="2">
        <v>8751129</v>
      </c>
      <c r="B2310" s="2" t="s">
        <v>2987</v>
      </c>
      <c r="C2310" s="3" t="s">
        <v>2986</v>
      </c>
      <c r="D2310" s="4">
        <v>10</v>
      </c>
      <c r="E2310" s="4">
        <v>23.58</v>
      </c>
      <c r="F2310" s="4">
        <v>235.8</v>
      </c>
      <c r="G2310" s="4">
        <v>23.58</v>
      </c>
      <c r="H2310" s="4">
        <v>235.8</v>
      </c>
    </row>
    <row r="2311" s="1" customFormat="1" ht="14" spans="1:8">
      <c r="A2311" s="2">
        <v>8751171</v>
      </c>
      <c r="B2311" s="2" t="s">
        <v>2988</v>
      </c>
      <c r="C2311" s="3" t="s">
        <v>472</v>
      </c>
      <c r="D2311" s="4">
        <v>64.64</v>
      </c>
      <c r="E2311" s="4">
        <v>1.85</v>
      </c>
      <c r="F2311" s="4">
        <v>119.59</v>
      </c>
      <c r="G2311" s="4">
        <v>1.85</v>
      </c>
      <c r="H2311" s="4">
        <v>119.59</v>
      </c>
    </row>
    <row r="2312" s="1" customFormat="1" ht="14" spans="1:8">
      <c r="A2312" s="2">
        <v>8751176</v>
      </c>
      <c r="B2312" s="2" t="s">
        <v>2989</v>
      </c>
      <c r="C2312" s="3" t="s">
        <v>876</v>
      </c>
      <c r="D2312" s="4">
        <v>360039.6</v>
      </c>
      <c r="E2312" s="4">
        <v>4.28</v>
      </c>
      <c r="F2312" s="4">
        <v>1540969.48</v>
      </c>
      <c r="G2312" s="4">
        <v>4.28</v>
      </c>
      <c r="H2312" s="4">
        <v>1540969.48</v>
      </c>
    </row>
    <row r="2313" s="1" customFormat="1" ht="14" spans="1:8">
      <c r="A2313" s="2">
        <v>8751187</v>
      </c>
      <c r="B2313" s="2" t="s">
        <v>2990</v>
      </c>
      <c r="C2313" s="3" t="s">
        <v>824</v>
      </c>
      <c r="D2313" s="4">
        <v>25.6</v>
      </c>
      <c r="E2313" s="4">
        <v>24.64</v>
      </c>
      <c r="F2313" s="4">
        <v>630.78</v>
      </c>
      <c r="G2313" s="4">
        <v>24.64</v>
      </c>
      <c r="H2313" s="4">
        <v>630.78</v>
      </c>
    </row>
    <row r="2314" s="1" customFormat="1" ht="14" spans="1:8">
      <c r="A2314" s="2">
        <v>8751191</v>
      </c>
      <c r="B2314" s="2" t="s">
        <v>2991</v>
      </c>
      <c r="C2314" s="3" t="s">
        <v>824</v>
      </c>
      <c r="D2314" s="4">
        <v>948</v>
      </c>
      <c r="E2314" s="4">
        <v>0.96</v>
      </c>
      <c r="F2314" s="4">
        <v>910.08</v>
      </c>
      <c r="G2314" s="4">
        <v>0.96</v>
      </c>
      <c r="H2314" s="4">
        <v>910.08</v>
      </c>
    </row>
    <row r="2315" s="1" customFormat="1" ht="14" spans="1:8">
      <c r="A2315" s="2">
        <v>8751195</v>
      </c>
      <c r="B2315" s="2" t="s">
        <v>2992</v>
      </c>
      <c r="C2315" s="3" t="s">
        <v>824</v>
      </c>
      <c r="D2315" s="4">
        <v>5403.5</v>
      </c>
      <c r="E2315" s="4">
        <v>15.4</v>
      </c>
      <c r="F2315" s="4">
        <v>83213.9</v>
      </c>
      <c r="G2315" s="4">
        <v>15.4</v>
      </c>
      <c r="H2315" s="4">
        <v>83213.9</v>
      </c>
    </row>
    <row r="2316" s="1" customFormat="1" ht="14" spans="1:8">
      <c r="A2316" s="2">
        <v>8751197</v>
      </c>
      <c r="B2316" s="2" t="s">
        <v>2993</v>
      </c>
      <c r="C2316" s="3" t="s">
        <v>824</v>
      </c>
      <c r="D2316" s="4">
        <v>5987</v>
      </c>
      <c r="E2316" s="4">
        <v>35.93</v>
      </c>
      <c r="F2316" s="4">
        <v>215112.91</v>
      </c>
      <c r="G2316" s="4">
        <v>35.93</v>
      </c>
      <c r="H2316" s="4">
        <v>215112.91</v>
      </c>
    </row>
    <row r="2317" s="1" customFormat="1" ht="14" spans="1:8">
      <c r="A2317" s="2">
        <v>8751231</v>
      </c>
      <c r="B2317" s="2" t="s">
        <v>2994</v>
      </c>
      <c r="C2317" s="3" t="s">
        <v>824</v>
      </c>
      <c r="D2317" s="4">
        <v>10</v>
      </c>
      <c r="E2317" s="4">
        <v>271.09</v>
      </c>
      <c r="F2317" s="4">
        <v>2710.9</v>
      </c>
      <c r="G2317" s="4">
        <v>271.09</v>
      </c>
      <c r="H2317" s="4">
        <v>2710.9</v>
      </c>
    </row>
    <row r="2318" s="1" customFormat="1" ht="14" spans="1:8">
      <c r="A2318" s="2">
        <v>8800005</v>
      </c>
      <c r="B2318" s="2" t="s">
        <v>2995</v>
      </c>
      <c r="C2318" s="3" t="s">
        <v>1029</v>
      </c>
      <c r="D2318" s="4">
        <v>10</v>
      </c>
      <c r="E2318" s="4">
        <v>737.45</v>
      </c>
      <c r="F2318" s="4">
        <v>7374.5</v>
      </c>
      <c r="G2318" s="4">
        <v>737.45</v>
      </c>
      <c r="H2318" s="4">
        <v>7374.5</v>
      </c>
    </row>
    <row r="2319" s="1" customFormat="1" ht="14" spans="1:8">
      <c r="A2319" s="2">
        <v>8800015</v>
      </c>
      <c r="B2319" s="2" t="s">
        <v>2996</v>
      </c>
      <c r="C2319" s="3" t="s">
        <v>1029</v>
      </c>
      <c r="D2319" s="4">
        <v>98</v>
      </c>
      <c r="E2319" s="4">
        <v>261.54</v>
      </c>
      <c r="F2319" s="4">
        <v>25630.92</v>
      </c>
      <c r="G2319" s="4">
        <v>261.54</v>
      </c>
      <c r="H2319" s="4">
        <v>25630.92</v>
      </c>
    </row>
    <row r="2320" s="1" customFormat="1" ht="14" spans="1:8">
      <c r="A2320" s="2">
        <v>8800016</v>
      </c>
      <c r="B2320" s="2" t="s">
        <v>2997</v>
      </c>
      <c r="C2320" s="3" t="s">
        <v>824</v>
      </c>
      <c r="D2320" s="4">
        <v>10</v>
      </c>
      <c r="E2320" s="4">
        <v>252.96</v>
      </c>
      <c r="F2320" s="4">
        <v>2529.6</v>
      </c>
      <c r="G2320" s="4">
        <v>252.96</v>
      </c>
      <c r="H2320" s="4">
        <v>2529.6</v>
      </c>
    </row>
    <row r="2321" s="1" customFormat="1" ht="14" spans="1:8">
      <c r="A2321" s="2">
        <v>8800017</v>
      </c>
      <c r="B2321" s="2" t="s">
        <v>2998</v>
      </c>
      <c r="C2321" s="3" t="s">
        <v>824</v>
      </c>
      <c r="D2321" s="4">
        <v>10</v>
      </c>
      <c r="E2321" s="4">
        <v>192.94</v>
      </c>
      <c r="F2321" s="4">
        <v>1929.4</v>
      </c>
      <c r="G2321" s="4">
        <v>192.94</v>
      </c>
      <c r="H2321" s="4">
        <v>1929.4</v>
      </c>
    </row>
    <row r="2322" s="1" customFormat="1" ht="14" spans="1:8">
      <c r="A2322" s="2">
        <v>8800065</v>
      </c>
      <c r="B2322" s="2" t="s">
        <v>2999</v>
      </c>
      <c r="C2322" s="3" t="s">
        <v>876</v>
      </c>
      <c r="D2322" s="4">
        <v>220.2</v>
      </c>
      <c r="E2322" s="4">
        <v>1.03</v>
      </c>
      <c r="F2322" s="4">
        <v>226.8</v>
      </c>
      <c r="G2322" s="4">
        <v>1.03</v>
      </c>
      <c r="H2322" s="4">
        <v>226.8</v>
      </c>
    </row>
    <row r="2323" s="1" customFormat="1" ht="14" spans="1:8">
      <c r="A2323" s="2">
        <v>8800066</v>
      </c>
      <c r="B2323" s="2" t="s">
        <v>3000</v>
      </c>
      <c r="C2323" s="3" t="s">
        <v>876</v>
      </c>
      <c r="D2323" s="4">
        <v>414</v>
      </c>
      <c r="E2323" s="4">
        <v>1.37</v>
      </c>
      <c r="F2323" s="4">
        <v>567.18</v>
      </c>
      <c r="G2323" s="4">
        <v>1.37</v>
      </c>
      <c r="H2323" s="4">
        <v>567.18</v>
      </c>
    </row>
    <row r="2324" s="1" customFormat="1" ht="14" spans="1:8">
      <c r="A2324" s="2">
        <v>8800067</v>
      </c>
      <c r="B2324" s="2" t="s">
        <v>3001</v>
      </c>
      <c r="C2324" s="3" t="s">
        <v>876</v>
      </c>
      <c r="D2324" s="4">
        <v>28354.76</v>
      </c>
      <c r="E2324" s="4">
        <v>2.23</v>
      </c>
      <c r="F2324" s="4">
        <v>63231.12</v>
      </c>
      <c r="G2324" s="4">
        <v>2.23</v>
      </c>
      <c r="H2324" s="4">
        <v>63231.12</v>
      </c>
    </row>
    <row r="2325" s="1" customFormat="1" ht="14" spans="1:8">
      <c r="A2325" s="2">
        <v>8800070</v>
      </c>
      <c r="B2325" s="2" t="s">
        <v>3002</v>
      </c>
      <c r="C2325" s="3" t="s">
        <v>876</v>
      </c>
      <c r="D2325" s="4">
        <v>3484.72</v>
      </c>
      <c r="E2325" s="4">
        <v>10.72</v>
      </c>
      <c r="F2325" s="4">
        <v>37356.2</v>
      </c>
      <c r="G2325" s="4">
        <v>10.72</v>
      </c>
      <c r="H2325" s="4">
        <v>37356.2</v>
      </c>
    </row>
    <row r="2326" s="1" customFormat="1" ht="28" spans="1:8">
      <c r="A2326" s="2">
        <v>8800076</v>
      </c>
      <c r="B2326" s="2" t="s">
        <v>3003</v>
      </c>
      <c r="C2326" s="3" t="s">
        <v>1029</v>
      </c>
      <c r="D2326" s="4">
        <v>12</v>
      </c>
      <c r="E2326" s="4">
        <v>375.58</v>
      </c>
      <c r="F2326" s="4">
        <v>4506.96</v>
      </c>
      <c r="G2326" s="4">
        <v>375.58</v>
      </c>
      <c r="H2326" s="4">
        <v>4506.96</v>
      </c>
    </row>
    <row r="2327" s="1" customFormat="1" ht="14" spans="1:8">
      <c r="A2327" s="2">
        <v>8800085</v>
      </c>
      <c r="B2327" s="2" t="s">
        <v>3004</v>
      </c>
      <c r="C2327" s="3" t="s">
        <v>472</v>
      </c>
      <c r="D2327" s="4">
        <v>814.6</v>
      </c>
      <c r="E2327" s="4">
        <v>13.72</v>
      </c>
      <c r="F2327" s="4">
        <v>11176.31</v>
      </c>
      <c r="G2327" s="4">
        <v>13.72</v>
      </c>
      <c r="H2327" s="4">
        <v>11176.31</v>
      </c>
    </row>
    <row r="2328" s="1" customFormat="1" ht="14" spans="1:8">
      <c r="A2328" s="2">
        <v>8800086</v>
      </c>
      <c r="B2328" s="2" t="s">
        <v>3005</v>
      </c>
      <c r="C2328" s="3" t="s">
        <v>472</v>
      </c>
      <c r="D2328" s="4">
        <v>24</v>
      </c>
      <c r="E2328" s="4">
        <v>25.73</v>
      </c>
      <c r="F2328" s="4">
        <v>617.52</v>
      </c>
      <c r="G2328" s="4">
        <v>25.73</v>
      </c>
      <c r="H2328" s="4">
        <v>617.52</v>
      </c>
    </row>
    <row r="2329" s="1" customFormat="1" ht="14" spans="1:8">
      <c r="A2329" s="2">
        <v>8800088</v>
      </c>
      <c r="B2329" s="2" t="s">
        <v>3006</v>
      </c>
      <c r="C2329" s="3" t="s">
        <v>472</v>
      </c>
      <c r="D2329" s="4">
        <v>375.38</v>
      </c>
      <c r="E2329" s="4">
        <v>14.58</v>
      </c>
      <c r="F2329" s="4">
        <v>5473.04</v>
      </c>
      <c r="G2329" s="4">
        <v>14.58</v>
      </c>
      <c r="H2329" s="4">
        <v>5473.04</v>
      </c>
    </row>
    <row r="2330" s="1" customFormat="1" ht="14" spans="1:8">
      <c r="A2330" s="2">
        <v>8800091</v>
      </c>
      <c r="B2330" s="2" t="s">
        <v>3007</v>
      </c>
      <c r="C2330" s="3" t="s">
        <v>52</v>
      </c>
      <c r="D2330" s="4">
        <v>109.2</v>
      </c>
      <c r="E2330" s="4">
        <v>12</v>
      </c>
      <c r="F2330" s="4">
        <v>1310.4</v>
      </c>
      <c r="G2330" s="4">
        <v>12</v>
      </c>
      <c r="H2330" s="4">
        <v>1310.4</v>
      </c>
    </row>
    <row r="2331" s="1" customFormat="1" ht="14" spans="1:8">
      <c r="A2331" s="2">
        <v>8800095</v>
      </c>
      <c r="B2331" s="2" t="s">
        <v>3008</v>
      </c>
      <c r="C2331" s="3" t="s">
        <v>876</v>
      </c>
      <c r="D2331" s="4">
        <v>191.35</v>
      </c>
      <c r="E2331" s="4">
        <v>7.72</v>
      </c>
      <c r="F2331" s="4">
        <v>1477.22</v>
      </c>
      <c r="G2331" s="4">
        <v>7.72</v>
      </c>
      <c r="H2331" s="4">
        <v>1477.22</v>
      </c>
    </row>
    <row r="2332" s="1" customFormat="1" ht="14" spans="1:8">
      <c r="A2332" s="2">
        <v>8800096</v>
      </c>
      <c r="B2332" s="2" t="s">
        <v>3009</v>
      </c>
      <c r="C2332" s="3" t="s">
        <v>472</v>
      </c>
      <c r="D2332" s="4">
        <v>1620</v>
      </c>
      <c r="E2332" s="4">
        <v>36.87</v>
      </c>
      <c r="F2332" s="4">
        <v>59729.4</v>
      </c>
      <c r="G2332" s="4">
        <v>36.87</v>
      </c>
      <c r="H2332" s="4">
        <v>59729.4</v>
      </c>
    </row>
    <row r="2333" s="1" customFormat="1" ht="14" spans="1:8">
      <c r="A2333" s="2">
        <v>8800098</v>
      </c>
      <c r="B2333" s="2" t="s">
        <v>3010</v>
      </c>
      <c r="C2333" s="3" t="s">
        <v>824</v>
      </c>
      <c r="D2333" s="4">
        <v>753</v>
      </c>
      <c r="E2333" s="4">
        <v>28.3</v>
      </c>
      <c r="F2333" s="4">
        <v>21309.9</v>
      </c>
      <c r="G2333" s="4">
        <v>28.3</v>
      </c>
      <c r="H2333" s="4">
        <v>21309.9</v>
      </c>
    </row>
    <row r="2334" s="1" customFormat="1" ht="14" spans="1:8">
      <c r="A2334" s="2">
        <v>8800099</v>
      </c>
      <c r="B2334" s="2" t="s">
        <v>3011</v>
      </c>
      <c r="C2334" s="3" t="s">
        <v>679</v>
      </c>
      <c r="D2334" s="4">
        <v>678.1</v>
      </c>
      <c r="E2334" s="4">
        <v>68.6</v>
      </c>
      <c r="F2334" s="4">
        <v>46517.66</v>
      </c>
      <c r="G2334" s="4">
        <v>68.6</v>
      </c>
      <c r="H2334" s="4">
        <v>46517.66</v>
      </c>
    </row>
    <row r="2335" s="1" customFormat="1" ht="14" spans="1:8">
      <c r="A2335" s="2">
        <v>8800100</v>
      </c>
      <c r="B2335" s="2" t="s">
        <v>3012</v>
      </c>
      <c r="C2335" s="3" t="s">
        <v>876</v>
      </c>
      <c r="D2335" s="4">
        <v>2057.75</v>
      </c>
      <c r="E2335" s="4">
        <v>3.86</v>
      </c>
      <c r="F2335" s="4">
        <v>7942.92</v>
      </c>
      <c r="G2335" s="4">
        <v>3.86</v>
      </c>
      <c r="H2335" s="4">
        <v>7942.92</v>
      </c>
    </row>
    <row r="2336" s="1" customFormat="1" ht="14" spans="1:8">
      <c r="A2336" s="2">
        <v>8800101</v>
      </c>
      <c r="B2336" s="2" t="s">
        <v>3013</v>
      </c>
      <c r="C2336" s="3" t="s">
        <v>876</v>
      </c>
      <c r="D2336" s="4">
        <v>1757</v>
      </c>
      <c r="E2336" s="4">
        <v>4.72</v>
      </c>
      <c r="F2336" s="4">
        <v>8293.03</v>
      </c>
      <c r="G2336" s="4">
        <v>4.72</v>
      </c>
      <c r="H2336" s="4">
        <v>8293.03</v>
      </c>
    </row>
    <row r="2337" s="1" customFormat="1" ht="14" spans="1:8">
      <c r="A2337" s="2">
        <v>8800104</v>
      </c>
      <c r="B2337" s="2" t="s">
        <v>3014</v>
      </c>
      <c r="C2337" s="3" t="s">
        <v>472</v>
      </c>
      <c r="D2337" s="4">
        <v>2788.15</v>
      </c>
      <c r="E2337" s="4">
        <v>3.86</v>
      </c>
      <c r="F2337" s="4">
        <v>10762.26</v>
      </c>
      <c r="G2337" s="4">
        <v>3.86</v>
      </c>
      <c r="H2337" s="4">
        <v>10762.26</v>
      </c>
    </row>
    <row r="2338" s="1" customFormat="1" ht="14" spans="1:8">
      <c r="A2338" s="2">
        <v>8800114</v>
      </c>
      <c r="B2338" s="2" t="s">
        <v>3015</v>
      </c>
      <c r="C2338" s="3" t="s">
        <v>1484</v>
      </c>
      <c r="D2338" s="4">
        <v>565</v>
      </c>
      <c r="E2338" s="4">
        <v>20.65</v>
      </c>
      <c r="F2338" s="4">
        <v>11667.25</v>
      </c>
      <c r="G2338" s="4">
        <v>20.65</v>
      </c>
      <c r="H2338" s="4">
        <v>11667.25</v>
      </c>
    </row>
    <row r="2339" s="1" customFormat="1" ht="14" spans="1:8">
      <c r="A2339" s="2">
        <v>8800120</v>
      </c>
      <c r="B2339" s="2" t="s">
        <v>3016</v>
      </c>
      <c r="C2339" s="3" t="s">
        <v>472</v>
      </c>
      <c r="D2339" s="4">
        <v>1186.75</v>
      </c>
      <c r="E2339" s="4">
        <v>22.72</v>
      </c>
      <c r="F2339" s="4">
        <v>26962.96</v>
      </c>
      <c r="G2339" s="4">
        <v>22.72</v>
      </c>
      <c r="H2339" s="4">
        <v>26962.96</v>
      </c>
    </row>
    <row r="2340" s="1" customFormat="1" ht="14" spans="1:8">
      <c r="A2340" s="2">
        <v>8800123</v>
      </c>
      <c r="B2340" s="2" t="s">
        <v>3017</v>
      </c>
      <c r="C2340" s="3" t="s">
        <v>472</v>
      </c>
      <c r="D2340" s="4">
        <v>15827.5</v>
      </c>
      <c r="E2340" s="4">
        <v>3.52</v>
      </c>
      <c r="F2340" s="4">
        <v>55712.8</v>
      </c>
      <c r="G2340" s="4">
        <v>3.52</v>
      </c>
      <c r="H2340" s="4">
        <v>55712.8</v>
      </c>
    </row>
    <row r="2341" s="1" customFormat="1" ht="14" spans="1:8">
      <c r="A2341" s="2">
        <v>8800125</v>
      </c>
      <c r="B2341" s="2" t="s">
        <v>3018</v>
      </c>
      <c r="C2341" s="3" t="s">
        <v>472</v>
      </c>
      <c r="D2341" s="4">
        <v>15176.12</v>
      </c>
      <c r="E2341" s="4">
        <v>11.67</v>
      </c>
      <c r="F2341" s="4">
        <v>177105.33</v>
      </c>
      <c r="G2341" s="4">
        <v>11.67</v>
      </c>
      <c r="H2341" s="4">
        <v>177105.33</v>
      </c>
    </row>
    <row r="2342" s="1" customFormat="1" ht="14" spans="1:8">
      <c r="A2342" s="2">
        <v>8800127</v>
      </c>
      <c r="B2342" s="2" t="s">
        <v>3019</v>
      </c>
      <c r="C2342" s="3" t="s">
        <v>472</v>
      </c>
      <c r="D2342" s="4">
        <v>10455</v>
      </c>
      <c r="E2342" s="4">
        <v>32.15</v>
      </c>
      <c r="F2342" s="4">
        <v>336128.25</v>
      </c>
      <c r="G2342" s="4">
        <v>32.15</v>
      </c>
      <c r="H2342" s="4">
        <v>336128.25</v>
      </c>
    </row>
    <row r="2343" s="1" customFormat="1" ht="14" spans="1:8">
      <c r="A2343" s="2">
        <v>8800129</v>
      </c>
      <c r="B2343" s="2" t="s">
        <v>3020</v>
      </c>
      <c r="C2343" s="3" t="s">
        <v>472</v>
      </c>
      <c r="D2343" s="4">
        <v>10249.47</v>
      </c>
      <c r="E2343" s="4">
        <v>1.35</v>
      </c>
      <c r="F2343" s="4">
        <v>13836.79</v>
      </c>
      <c r="G2343" s="4">
        <v>1.35</v>
      </c>
      <c r="H2343" s="4">
        <v>13836.79</v>
      </c>
    </row>
    <row r="2344" s="1" customFormat="1" ht="14" spans="1:8">
      <c r="A2344" s="2">
        <v>8800130</v>
      </c>
      <c r="B2344" s="2" t="s">
        <v>3021</v>
      </c>
      <c r="C2344" s="3" t="s">
        <v>472</v>
      </c>
      <c r="D2344" s="4">
        <v>10506</v>
      </c>
      <c r="E2344" s="4">
        <v>2.62</v>
      </c>
      <c r="F2344" s="4">
        <v>27525.72</v>
      </c>
      <c r="G2344" s="4">
        <v>2.62</v>
      </c>
      <c r="H2344" s="4">
        <v>27525.72</v>
      </c>
    </row>
    <row r="2345" s="1" customFormat="1" ht="14" spans="1:8">
      <c r="A2345" s="2">
        <v>8810104</v>
      </c>
      <c r="B2345" s="2" t="s">
        <v>3022</v>
      </c>
      <c r="C2345" s="3" t="s">
        <v>52</v>
      </c>
      <c r="D2345" s="4">
        <v>196.6</v>
      </c>
      <c r="E2345" s="4">
        <v>686</v>
      </c>
      <c r="F2345" s="4">
        <v>134867.6</v>
      </c>
      <c r="G2345" s="4">
        <v>686</v>
      </c>
      <c r="H2345" s="4">
        <v>134867.6</v>
      </c>
    </row>
    <row r="2346" s="1" customFormat="1" ht="14" spans="1:8">
      <c r="A2346" s="2">
        <v>8810105</v>
      </c>
      <c r="B2346" s="2" t="s">
        <v>3023</v>
      </c>
      <c r="C2346" s="3" t="s">
        <v>923</v>
      </c>
      <c r="D2346" s="4">
        <v>0.5</v>
      </c>
      <c r="E2346" s="4">
        <v>17.15</v>
      </c>
      <c r="F2346" s="4">
        <v>8.58</v>
      </c>
      <c r="G2346" s="4">
        <v>17.15</v>
      </c>
      <c r="H2346" s="4">
        <v>8.58</v>
      </c>
    </row>
    <row r="2347" s="1" customFormat="1" ht="14" spans="1:8">
      <c r="A2347" s="2">
        <v>8810106</v>
      </c>
      <c r="B2347" s="2" t="s">
        <v>3024</v>
      </c>
      <c r="C2347" s="3" t="s">
        <v>706</v>
      </c>
      <c r="D2347" s="4">
        <v>2.02</v>
      </c>
      <c r="E2347" s="4">
        <v>231.52</v>
      </c>
      <c r="F2347" s="4">
        <v>467.67</v>
      </c>
      <c r="G2347" s="4">
        <v>231.52</v>
      </c>
      <c r="H2347" s="4">
        <v>467.67</v>
      </c>
    </row>
    <row r="2348" s="1" customFormat="1" ht="14" spans="1:8">
      <c r="A2348" s="2">
        <v>8810119</v>
      </c>
      <c r="B2348" s="2" t="s">
        <v>3025</v>
      </c>
      <c r="C2348" s="3" t="s">
        <v>52</v>
      </c>
      <c r="D2348" s="4">
        <v>10</v>
      </c>
      <c r="E2348" s="4">
        <v>17.15</v>
      </c>
      <c r="F2348" s="4">
        <v>171.5</v>
      </c>
      <c r="G2348" s="4">
        <v>17.15</v>
      </c>
      <c r="H2348" s="4">
        <v>171.5</v>
      </c>
    </row>
    <row r="2349" s="1" customFormat="1" ht="14" spans="1:8">
      <c r="A2349" s="2">
        <v>8810302</v>
      </c>
      <c r="B2349" s="2" t="s">
        <v>3026</v>
      </c>
      <c r="C2349" s="3" t="s">
        <v>876</v>
      </c>
      <c r="D2349" s="4">
        <v>3302.7</v>
      </c>
      <c r="E2349" s="4">
        <v>31.73</v>
      </c>
      <c r="F2349" s="4">
        <v>104794.68</v>
      </c>
      <c r="G2349" s="4">
        <v>31.73</v>
      </c>
      <c r="H2349" s="4">
        <v>104794.68</v>
      </c>
    </row>
    <row r="2350" s="1" customFormat="1" ht="14" spans="1:8">
      <c r="A2350" s="2">
        <v>8810303</v>
      </c>
      <c r="B2350" s="2" t="s">
        <v>3027</v>
      </c>
      <c r="C2350" s="3" t="s">
        <v>824</v>
      </c>
      <c r="D2350" s="4">
        <v>218</v>
      </c>
      <c r="E2350" s="4">
        <v>11.58</v>
      </c>
      <c r="F2350" s="4">
        <v>2524.44</v>
      </c>
      <c r="G2350" s="4">
        <v>11.58</v>
      </c>
      <c r="H2350" s="4">
        <v>2524.44</v>
      </c>
    </row>
    <row r="2351" s="1" customFormat="1" ht="14" spans="1:8">
      <c r="A2351" s="2">
        <v>8810305</v>
      </c>
      <c r="B2351" s="2" t="s">
        <v>3028</v>
      </c>
      <c r="C2351" s="3" t="s">
        <v>725</v>
      </c>
      <c r="D2351" s="4">
        <v>106</v>
      </c>
      <c r="E2351" s="4">
        <v>2469.6</v>
      </c>
      <c r="F2351" s="4">
        <v>261777.6</v>
      </c>
      <c r="G2351" s="4">
        <v>2469.6</v>
      </c>
      <c r="H2351" s="4">
        <v>261777.6</v>
      </c>
    </row>
    <row r="2352" s="1" customFormat="1" ht="14" spans="1:8">
      <c r="A2352" s="2">
        <v>8810306</v>
      </c>
      <c r="B2352" s="2" t="s">
        <v>3029</v>
      </c>
      <c r="C2352" s="3" t="s">
        <v>876</v>
      </c>
      <c r="D2352" s="4">
        <v>1384.71</v>
      </c>
      <c r="E2352" s="4">
        <v>428.73</v>
      </c>
      <c r="F2352" s="4">
        <v>593666.71</v>
      </c>
      <c r="G2352" s="4">
        <v>428.73</v>
      </c>
      <c r="H2352" s="4">
        <v>593666.71</v>
      </c>
    </row>
    <row r="2353" s="1" customFormat="1" ht="14" spans="1:8">
      <c r="A2353" s="2">
        <v>8899024</v>
      </c>
      <c r="B2353" s="2" t="s">
        <v>2580</v>
      </c>
      <c r="C2353" s="3" t="s">
        <v>876</v>
      </c>
      <c r="D2353" s="4">
        <v>8053.32</v>
      </c>
      <c r="E2353" s="4">
        <v>194.87</v>
      </c>
      <c r="F2353" s="4">
        <v>1569350.48</v>
      </c>
      <c r="G2353" s="4">
        <v>194.87</v>
      </c>
      <c r="H2353" s="4">
        <v>1569350.48</v>
      </c>
    </row>
    <row r="2354" s="1" customFormat="1" ht="14" spans="1:8">
      <c r="A2354" s="2">
        <v>8999002</v>
      </c>
      <c r="B2354" s="2" t="s">
        <v>3030</v>
      </c>
      <c r="C2354" s="3" t="s">
        <v>3031</v>
      </c>
      <c r="D2354" s="4">
        <v>14191059.42</v>
      </c>
      <c r="E2354" s="4">
        <v>1</v>
      </c>
      <c r="F2354" s="4">
        <v>14191059.6</v>
      </c>
      <c r="G2354" s="4">
        <v>1</v>
      </c>
      <c r="H2354" s="4">
        <v>14191059.6</v>
      </c>
    </row>
    <row r="2355" s="1" customFormat="1" ht="14" spans="1:8">
      <c r="A2355" s="2">
        <v>8999003</v>
      </c>
      <c r="B2355" s="2" t="s">
        <v>3032</v>
      </c>
      <c r="C2355" s="3" t="s">
        <v>3031</v>
      </c>
      <c r="D2355" s="4">
        <v>62843.48</v>
      </c>
      <c r="E2355" s="4">
        <v>1</v>
      </c>
      <c r="F2355" s="4">
        <v>62843.48</v>
      </c>
      <c r="G2355" s="4">
        <v>1</v>
      </c>
      <c r="H2355" s="4">
        <v>62843.48</v>
      </c>
    </row>
    <row r="2356" s="1" customFormat="1" ht="14" spans="1:8">
      <c r="A2356" s="2">
        <v>8999006</v>
      </c>
      <c r="B2356" s="2" t="s">
        <v>3033</v>
      </c>
      <c r="C2356" s="3" t="s">
        <v>29</v>
      </c>
      <c r="D2356" s="4">
        <v>2306425.6</v>
      </c>
      <c r="E2356" s="4">
        <v>0.35</v>
      </c>
      <c r="F2356" s="4">
        <v>807249.65</v>
      </c>
      <c r="G2356" s="4">
        <v>0.75</v>
      </c>
      <c r="H2356" s="4">
        <v>1729821.76</v>
      </c>
    </row>
    <row r="2357" s="1" customFormat="1" ht="14" spans="1:8">
      <c r="A2357" s="2">
        <v>8999007</v>
      </c>
      <c r="B2357" s="2" t="s">
        <v>3034</v>
      </c>
      <c r="C2357" s="3" t="s">
        <v>3035</v>
      </c>
      <c r="D2357" s="4">
        <v>2211088.92</v>
      </c>
      <c r="E2357" s="4">
        <v>0.47</v>
      </c>
      <c r="F2357" s="4">
        <v>1039211.78</v>
      </c>
      <c r="G2357" s="4">
        <v>1.023</v>
      </c>
      <c r="H2357" s="4">
        <v>2283755.67</v>
      </c>
    </row>
    <row r="2358" s="1" customFormat="1" ht="14" spans="1:8">
      <c r="A2358" s="2">
        <v>8999011</v>
      </c>
      <c r="B2358" s="2" t="s">
        <v>3036</v>
      </c>
      <c r="C2358" s="3" t="s">
        <v>3031</v>
      </c>
      <c r="D2358" s="4">
        <v>930.41</v>
      </c>
      <c r="E2358" s="4">
        <v>1</v>
      </c>
      <c r="F2358" s="4">
        <v>930.41</v>
      </c>
      <c r="G2358" s="4">
        <v>1</v>
      </c>
      <c r="H2358" s="4">
        <v>930.41</v>
      </c>
    </row>
    <row r="2359" s="1" customFormat="1" ht="14" spans="1:8">
      <c r="A2359" s="2">
        <v>9100001</v>
      </c>
      <c r="B2359" s="2" t="s">
        <v>3037</v>
      </c>
      <c r="C2359" s="3" t="s">
        <v>3038</v>
      </c>
      <c r="D2359" s="4">
        <v>1949.05</v>
      </c>
      <c r="E2359" s="4">
        <v>546.23</v>
      </c>
      <c r="F2359" s="4">
        <v>1068497.2</v>
      </c>
      <c r="G2359" s="4">
        <v>654.91</v>
      </c>
      <c r="H2359" s="4">
        <v>1284973.08</v>
      </c>
    </row>
    <row r="2360" s="1" customFormat="1" ht="14" spans="1:8">
      <c r="A2360" s="2">
        <v>9100002</v>
      </c>
      <c r="B2360" s="2" t="s">
        <v>3039</v>
      </c>
      <c r="C2360" s="3" t="s">
        <v>3038</v>
      </c>
      <c r="D2360" s="4">
        <v>1881.6</v>
      </c>
      <c r="E2360" s="4">
        <v>683.9</v>
      </c>
      <c r="F2360" s="4">
        <v>1287733.2</v>
      </c>
      <c r="G2360" s="4">
        <v>826.23</v>
      </c>
      <c r="H2360" s="4">
        <v>1556333.99</v>
      </c>
    </row>
    <row r="2361" s="1" customFormat="1" ht="14" spans="1:8">
      <c r="A2361" s="2">
        <v>9100003</v>
      </c>
      <c r="B2361" s="2" t="s">
        <v>3040</v>
      </c>
      <c r="C2361" s="3" t="s">
        <v>3038</v>
      </c>
      <c r="D2361" s="4">
        <v>10618.75</v>
      </c>
      <c r="E2361" s="4">
        <v>718.11</v>
      </c>
      <c r="F2361" s="4">
        <v>7640872.44</v>
      </c>
      <c r="G2361" s="4">
        <v>868.83</v>
      </c>
      <c r="H2361" s="4">
        <v>9250242.83</v>
      </c>
    </row>
    <row r="2362" s="1" customFormat="1" ht="14" spans="1:8">
      <c r="A2362" s="2">
        <v>9100004</v>
      </c>
      <c r="B2362" s="2" t="s">
        <v>3041</v>
      </c>
      <c r="C2362" s="3" t="s">
        <v>3038</v>
      </c>
      <c r="D2362" s="4">
        <v>617.24</v>
      </c>
      <c r="E2362" s="4">
        <v>832.36</v>
      </c>
      <c r="F2362" s="4">
        <v>514568.31</v>
      </c>
      <c r="G2362" s="4">
        <v>1002.21</v>
      </c>
      <c r="H2362" s="4">
        <v>620355.32</v>
      </c>
    </row>
    <row r="2363" s="1" customFormat="1" ht="14" spans="1:8">
      <c r="A2363" s="2">
        <v>9100006</v>
      </c>
      <c r="B2363" s="2" t="s">
        <v>3042</v>
      </c>
      <c r="C2363" s="3" t="s">
        <v>3038</v>
      </c>
      <c r="D2363" s="4">
        <v>65.26</v>
      </c>
      <c r="E2363" s="4">
        <v>1018.47</v>
      </c>
      <c r="F2363" s="4">
        <v>66339.29</v>
      </c>
      <c r="G2363" s="4">
        <v>1235.13</v>
      </c>
      <c r="H2363" s="4">
        <v>80432.69</v>
      </c>
    </row>
    <row r="2364" s="1" customFormat="1" ht="14" spans="1:8">
      <c r="A2364" s="2">
        <v>9100008</v>
      </c>
      <c r="B2364" s="2" t="s">
        <v>3043</v>
      </c>
      <c r="C2364" s="3" t="s">
        <v>3038</v>
      </c>
      <c r="D2364" s="4">
        <v>10873.92</v>
      </c>
      <c r="E2364" s="4">
        <v>1147.02</v>
      </c>
      <c r="F2364" s="4">
        <v>12475940.22</v>
      </c>
      <c r="G2364" s="4">
        <v>1404.59</v>
      </c>
      <c r="H2364" s="4">
        <v>15281762.71</v>
      </c>
    </row>
    <row r="2365" s="1" customFormat="1" ht="14" spans="1:8">
      <c r="A2365" s="2">
        <v>9100035</v>
      </c>
      <c r="B2365" s="2" t="s">
        <v>3044</v>
      </c>
      <c r="C2365" s="3" t="s">
        <v>3038</v>
      </c>
      <c r="D2365" s="4">
        <v>11009.35</v>
      </c>
      <c r="E2365" s="4">
        <v>1306.67</v>
      </c>
      <c r="F2365" s="4">
        <v>14395420</v>
      </c>
      <c r="G2365" s="4">
        <v>1622.92</v>
      </c>
      <c r="H2365" s="4">
        <v>17900897.57</v>
      </c>
    </row>
    <row r="2366" s="1" customFormat="1" ht="14" spans="1:8">
      <c r="A2366" s="2">
        <v>9100102</v>
      </c>
      <c r="B2366" s="2" t="s">
        <v>3045</v>
      </c>
      <c r="C2366" s="3" t="s">
        <v>3038</v>
      </c>
      <c r="D2366" s="4">
        <v>3064.33</v>
      </c>
      <c r="E2366" s="4">
        <v>491.34</v>
      </c>
      <c r="F2366" s="4">
        <v>1506914.98</v>
      </c>
      <c r="G2366" s="4">
        <v>612.26</v>
      </c>
      <c r="H2366" s="4">
        <v>1878321.58</v>
      </c>
    </row>
    <row r="2367" s="1" customFormat="1" ht="14" spans="1:8">
      <c r="A2367" s="2">
        <v>9100104</v>
      </c>
      <c r="B2367" s="2" t="s">
        <v>3046</v>
      </c>
      <c r="C2367" s="3" t="s">
        <v>3038</v>
      </c>
      <c r="D2367" s="4">
        <v>9095.31</v>
      </c>
      <c r="E2367" s="4">
        <v>646.54</v>
      </c>
      <c r="F2367" s="4">
        <v>5881544.75</v>
      </c>
      <c r="G2367" s="4">
        <v>801.96</v>
      </c>
      <c r="H2367" s="4">
        <v>7296771.59</v>
      </c>
    </row>
    <row r="2368" s="1" customFormat="1" ht="14" spans="1:8">
      <c r="A2368" s="2">
        <v>9100105</v>
      </c>
      <c r="B2368" s="2" t="s">
        <v>3047</v>
      </c>
      <c r="C2368" s="3" t="s">
        <v>3038</v>
      </c>
      <c r="D2368" s="4">
        <v>4612.23</v>
      </c>
      <c r="E2368" s="4">
        <v>860.86</v>
      </c>
      <c r="F2368" s="4">
        <v>3970461.35</v>
      </c>
      <c r="G2368" s="4">
        <v>1068.76</v>
      </c>
      <c r="H2368" s="4">
        <v>4930653.59</v>
      </c>
    </row>
    <row r="2369" s="1" customFormat="1" ht="14" spans="1:8">
      <c r="A2369" s="2">
        <v>9100106</v>
      </c>
      <c r="B2369" s="2" t="s">
        <v>3048</v>
      </c>
      <c r="C2369" s="3" t="s">
        <v>3038</v>
      </c>
      <c r="D2369" s="4">
        <v>5142.5</v>
      </c>
      <c r="E2369" s="4">
        <v>1004.89</v>
      </c>
      <c r="F2369" s="4">
        <v>5167779.82</v>
      </c>
      <c r="G2369" s="4">
        <v>1254.86</v>
      </c>
      <c r="H2369" s="4">
        <v>6453452.61</v>
      </c>
    </row>
    <row r="2370" s="1" customFormat="1" ht="14" spans="1:8">
      <c r="A2370" s="2">
        <v>9100111</v>
      </c>
      <c r="B2370" s="2" t="s">
        <v>3049</v>
      </c>
      <c r="C2370" s="3" t="s">
        <v>3038</v>
      </c>
      <c r="D2370" s="4">
        <v>10.58</v>
      </c>
      <c r="E2370" s="4">
        <v>187.15</v>
      </c>
      <c r="F2370" s="4">
        <v>1978.54</v>
      </c>
      <c r="G2370" s="4">
        <v>228.82</v>
      </c>
      <c r="H2370" s="4">
        <v>2419.08</v>
      </c>
    </row>
    <row r="2371" s="1" customFormat="1" ht="14" spans="1:8">
      <c r="A2371" s="2">
        <v>9100112</v>
      </c>
      <c r="B2371" s="2" t="s">
        <v>3050</v>
      </c>
      <c r="C2371" s="3" t="s">
        <v>3038</v>
      </c>
      <c r="D2371" s="4">
        <v>30.19</v>
      </c>
      <c r="E2371" s="4">
        <v>287.68</v>
      </c>
      <c r="F2371" s="4">
        <v>8687.89</v>
      </c>
      <c r="G2371" s="4">
        <v>359.1</v>
      </c>
      <c r="H2371" s="4">
        <v>10850.06</v>
      </c>
    </row>
    <row r="2372" s="1" customFormat="1" ht="14" spans="1:8">
      <c r="A2372" s="2">
        <v>9100302</v>
      </c>
      <c r="B2372" s="2" t="s">
        <v>3051</v>
      </c>
      <c r="C2372" s="3" t="s">
        <v>3038</v>
      </c>
      <c r="D2372" s="4">
        <v>1562.18</v>
      </c>
      <c r="E2372" s="4">
        <v>290.28</v>
      </c>
      <c r="F2372" s="4">
        <v>453469.27</v>
      </c>
      <c r="G2372" s="4">
        <v>365.05</v>
      </c>
      <c r="H2372" s="4">
        <v>570371.25</v>
      </c>
    </row>
    <row r="2373" s="1" customFormat="1" ht="14" spans="1:8">
      <c r="A2373" s="2">
        <v>9100304</v>
      </c>
      <c r="B2373" s="2" t="s">
        <v>3052</v>
      </c>
      <c r="C2373" s="3" t="s">
        <v>3038</v>
      </c>
      <c r="D2373" s="4">
        <v>261.21</v>
      </c>
      <c r="E2373" s="4">
        <v>410.52</v>
      </c>
      <c r="F2373" s="4">
        <v>108999.19</v>
      </c>
      <c r="G2373" s="4">
        <v>526.61</v>
      </c>
      <c r="H2373" s="4">
        <v>139624.06</v>
      </c>
    </row>
    <row r="2374" s="1" customFormat="1" ht="14" spans="1:8">
      <c r="A2374" s="2">
        <v>9100305</v>
      </c>
      <c r="B2374" s="2" t="s">
        <v>3053</v>
      </c>
      <c r="C2374" s="3" t="s">
        <v>3038</v>
      </c>
      <c r="D2374" s="4">
        <v>3036.63</v>
      </c>
      <c r="E2374" s="4">
        <v>493.6</v>
      </c>
      <c r="F2374" s="4">
        <v>1498889.91</v>
      </c>
      <c r="G2374" s="4">
        <v>638.43</v>
      </c>
      <c r="H2374" s="4">
        <v>1939142.89</v>
      </c>
    </row>
    <row r="2375" s="1" customFormat="1" ht="14" spans="1:8">
      <c r="A2375" s="2">
        <v>9100310</v>
      </c>
      <c r="B2375" s="2" t="s">
        <v>3054</v>
      </c>
      <c r="C2375" s="3" t="s">
        <v>3038</v>
      </c>
      <c r="D2375" s="4">
        <v>31.47</v>
      </c>
      <c r="E2375" s="4">
        <v>170.19</v>
      </c>
      <c r="F2375" s="4">
        <v>5355.88</v>
      </c>
      <c r="G2375" s="4">
        <v>197.55</v>
      </c>
      <c r="H2375" s="4">
        <v>6216.9</v>
      </c>
    </row>
    <row r="2376" s="1" customFormat="1" ht="14" spans="1:8">
      <c r="A2376" s="2">
        <v>9100311</v>
      </c>
      <c r="B2376" s="2" t="s">
        <v>3055</v>
      </c>
      <c r="C2376" s="3" t="s">
        <v>3038</v>
      </c>
      <c r="D2376" s="4">
        <v>6.8</v>
      </c>
      <c r="E2376" s="4">
        <v>193.17</v>
      </c>
      <c r="F2376" s="4">
        <v>1313.55</v>
      </c>
      <c r="G2376" s="4">
        <v>230.39</v>
      </c>
      <c r="H2376" s="4">
        <v>1565.97</v>
      </c>
    </row>
    <row r="2377" s="1" customFormat="1" ht="14" spans="1:8">
      <c r="A2377" s="2">
        <v>9100314</v>
      </c>
      <c r="B2377" s="2" t="s">
        <v>3056</v>
      </c>
      <c r="C2377" s="3" t="s">
        <v>3038</v>
      </c>
      <c r="D2377" s="4">
        <v>163.85</v>
      </c>
      <c r="E2377" s="4">
        <v>430.66</v>
      </c>
      <c r="F2377" s="4">
        <v>70199.51</v>
      </c>
      <c r="G2377" s="4">
        <v>547.69</v>
      </c>
      <c r="H2377" s="4">
        <v>89349.57</v>
      </c>
    </row>
    <row r="2378" s="1" customFormat="1" ht="14" spans="1:8">
      <c r="A2378" s="2">
        <v>9100317</v>
      </c>
      <c r="B2378" s="2" t="s">
        <v>3057</v>
      </c>
      <c r="C2378" s="3" t="s">
        <v>3038</v>
      </c>
      <c r="D2378" s="4">
        <v>9385.19</v>
      </c>
      <c r="E2378" s="4">
        <v>824.08</v>
      </c>
      <c r="F2378" s="4">
        <v>7736097.39</v>
      </c>
      <c r="G2378" s="4">
        <v>1031.82</v>
      </c>
      <c r="H2378" s="4">
        <v>9688282.76</v>
      </c>
    </row>
    <row r="2379" s="1" customFormat="1" ht="14" spans="1:8">
      <c r="A2379" s="2">
        <v>9100319</v>
      </c>
      <c r="B2379" s="2" t="s">
        <v>3058</v>
      </c>
      <c r="C2379" s="3" t="s">
        <v>3038</v>
      </c>
      <c r="D2379" s="4">
        <v>3829.03</v>
      </c>
      <c r="E2379" s="4">
        <v>1231.95</v>
      </c>
      <c r="F2379" s="4">
        <v>4717490.2</v>
      </c>
      <c r="G2379" s="4">
        <v>1506.48</v>
      </c>
      <c r="H2379" s="4">
        <v>5771038.26</v>
      </c>
    </row>
    <row r="2380" s="1" customFormat="1" ht="14" spans="1:8">
      <c r="A2380" s="2">
        <v>9100326</v>
      </c>
      <c r="B2380" s="2" t="s">
        <v>3059</v>
      </c>
      <c r="C2380" s="3" t="s">
        <v>3038</v>
      </c>
      <c r="D2380" s="4">
        <v>59.18</v>
      </c>
      <c r="E2380" s="4">
        <v>1540.96</v>
      </c>
      <c r="F2380" s="4">
        <v>91194.02</v>
      </c>
      <c r="G2380" s="4">
        <v>1750.52</v>
      </c>
      <c r="H2380" s="4">
        <v>103603.49</v>
      </c>
    </row>
    <row r="2381" s="1" customFormat="1" ht="14" spans="1:8">
      <c r="A2381" s="2">
        <v>9100333</v>
      </c>
      <c r="B2381" s="2" t="s">
        <v>3060</v>
      </c>
      <c r="C2381" s="3" t="s">
        <v>3038</v>
      </c>
      <c r="D2381" s="4">
        <v>213.11</v>
      </c>
      <c r="E2381" s="4">
        <v>1996.59</v>
      </c>
      <c r="F2381" s="4">
        <v>425504.44</v>
      </c>
      <c r="G2381" s="4">
        <v>2653.3</v>
      </c>
      <c r="H2381" s="4">
        <v>566186.17</v>
      </c>
    </row>
    <row r="2382" s="1" customFormat="1" ht="14" spans="1:8">
      <c r="A2382" s="2">
        <v>9100335</v>
      </c>
      <c r="B2382" s="2" t="s">
        <v>3061</v>
      </c>
      <c r="C2382" s="3" t="s">
        <v>3038</v>
      </c>
      <c r="D2382" s="4">
        <v>72.69</v>
      </c>
      <c r="E2382" s="4">
        <v>732.39</v>
      </c>
      <c r="F2382" s="4">
        <v>53244.76</v>
      </c>
      <c r="G2382" s="4">
        <v>832.92</v>
      </c>
      <c r="H2382" s="4">
        <v>60557.58</v>
      </c>
    </row>
    <row r="2383" s="1" customFormat="1" ht="14" spans="1:8">
      <c r="A2383" s="2">
        <v>9100338</v>
      </c>
      <c r="B2383" s="2" t="s">
        <v>3062</v>
      </c>
      <c r="C2383" s="3" t="s">
        <v>3038</v>
      </c>
      <c r="D2383" s="4">
        <v>13.55</v>
      </c>
      <c r="E2383" s="4">
        <v>449.43</v>
      </c>
      <c r="F2383" s="4">
        <v>6085.29</v>
      </c>
      <c r="G2383" s="4">
        <v>498.54</v>
      </c>
      <c r="H2383" s="4">
        <v>6750.57</v>
      </c>
    </row>
    <row r="2384" s="1" customFormat="1" ht="14" spans="1:8">
      <c r="A2384" s="2">
        <v>9100401</v>
      </c>
      <c r="B2384" s="2" t="s">
        <v>3063</v>
      </c>
      <c r="C2384" s="3" t="s">
        <v>3038</v>
      </c>
      <c r="D2384" s="4">
        <v>3085.02</v>
      </c>
      <c r="E2384" s="4">
        <v>653.66</v>
      </c>
      <c r="F2384" s="4">
        <v>2017148.03</v>
      </c>
      <c r="G2384" s="4">
        <v>805.28</v>
      </c>
      <c r="H2384" s="4">
        <v>2485714.82</v>
      </c>
    </row>
    <row r="2385" s="1" customFormat="1" ht="14" spans="1:8">
      <c r="A2385" s="2">
        <v>9100411</v>
      </c>
      <c r="B2385" s="2" t="s">
        <v>3064</v>
      </c>
      <c r="C2385" s="3" t="s">
        <v>3038</v>
      </c>
      <c r="D2385" s="4">
        <v>39532.32</v>
      </c>
      <c r="E2385" s="4">
        <v>6.45</v>
      </c>
      <c r="F2385" s="4">
        <v>254983.7</v>
      </c>
      <c r="G2385" s="4">
        <v>10.59</v>
      </c>
      <c r="H2385" s="4">
        <v>420448.89</v>
      </c>
    </row>
    <row r="2386" s="1" customFormat="1" ht="14" spans="1:8">
      <c r="A2386" s="2">
        <v>9100412</v>
      </c>
      <c r="B2386" s="2" t="s">
        <v>3065</v>
      </c>
      <c r="C2386" s="3" t="s">
        <v>3038</v>
      </c>
      <c r="D2386" s="4">
        <v>44823.87</v>
      </c>
      <c r="E2386" s="4">
        <v>12.99</v>
      </c>
      <c r="F2386" s="4">
        <v>582261.81</v>
      </c>
      <c r="G2386" s="4">
        <v>24.28</v>
      </c>
      <c r="H2386" s="4">
        <v>1095090.67</v>
      </c>
    </row>
    <row r="2387" s="1" customFormat="1" ht="14" spans="1:8">
      <c r="A2387" s="2">
        <v>9100415</v>
      </c>
      <c r="B2387" s="2" t="s">
        <v>3066</v>
      </c>
      <c r="C2387" s="3" t="s">
        <v>3038</v>
      </c>
      <c r="D2387" s="4">
        <v>647.74</v>
      </c>
      <c r="E2387" s="4">
        <v>70.17</v>
      </c>
      <c r="F2387" s="4">
        <v>45452.18</v>
      </c>
      <c r="G2387" s="4">
        <v>92.46</v>
      </c>
      <c r="H2387" s="4">
        <v>59971.13</v>
      </c>
    </row>
    <row r="2388" s="1" customFormat="1" ht="14" spans="1:8">
      <c r="A2388" s="2">
        <v>9100422</v>
      </c>
      <c r="B2388" s="2" t="s">
        <v>3067</v>
      </c>
      <c r="C2388" s="3" t="s">
        <v>3038</v>
      </c>
      <c r="D2388" s="4">
        <v>24.8</v>
      </c>
      <c r="E2388" s="4">
        <v>14.31</v>
      </c>
      <c r="F2388" s="4">
        <v>355.05</v>
      </c>
      <c r="G2388" s="4">
        <v>14.34</v>
      </c>
      <c r="H2388" s="4">
        <v>355.76</v>
      </c>
    </row>
    <row r="2389" s="1" customFormat="1" ht="14" spans="1:8">
      <c r="A2389" s="2">
        <v>9100425</v>
      </c>
      <c r="B2389" s="2" t="s">
        <v>3068</v>
      </c>
      <c r="C2389" s="3" t="s">
        <v>3038</v>
      </c>
      <c r="D2389" s="4">
        <v>16.54</v>
      </c>
      <c r="E2389" s="4">
        <v>492.3</v>
      </c>
      <c r="F2389" s="4">
        <v>8141.17</v>
      </c>
      <c r="G2389" s="4">
        <v>644.74</v>
      </c>
      <c r="H2389" s="4">
        <v>10662.07</v>
      </c>
    </row>
    <row r="2390" s="1" customFormat="1" ht="14" spans="1:8">
      <c r="A2390" s="2">
        <v>9100431</v>
      </c>
      <c r="B2390" s="2" t="s">
        <v>3069</v>
      </c>
      <c r="C2390" s="3" t="s">
        <v>3038</v>
      </c>
      <c r="D2390" s="4">
        <v>524.7</v>
      </c>
      <c r="E2390" s="4">
        <v>548.07</v>
      </c>
      <c r="F2390" s="4">
        <v>287572.35</v>
      </c>
      <c r="G2390" s="4">
        <v>809.12</v>
      </c>
      <c r="H2390" s="4">
        <v>425374.07</v>
      </c>
    </row>
    <row r="2391" s="1" customFormat="1" ht="14" spans="1:8">
      <c r="A2391" s="2">
        <v>9100442</v>
      </c>
      <c r="B2391" s="2" t="s">
        <v>3070</v>
      </c>
      <c r="C2391" s="3" t="s">
        <v>3038</v>
      </c>
      <c r="D2391" s="4">
        <v>3318.4</v>
      </c>
      <c r="E2391" s="4">
        <v>629.55</v>
      </c>
      <c r="F2391" s="4">
        <v>2089240.05</v>
      </c>
      <c r="G2391" s="4">
        <v>879.01</v>
      </c>
      <c r="H2391" s="4">
        <v>2918108.7</v>
      </c>
    </row>
    <row r="2392" s="1" customFormat="1" ht="14" spans="1:8">
      <c r="A2392" s="2">
        <v>9100462</v>
      </c>
      <c r="B2392" s="2" t="s">
        <v>3071</v>
      </c>
      <c r="C2392" s="3" t="s">
        <v>3038</v>
      </c>
      <c r="D2392" s="4">
        <v>310.96</v>
      </c>
      <c r="E2392" s="4">
        <v>1342.41</v>
      </c>
      <c r="F2392" s="4">
        <v>416344.69</v>
      </c>
      <c r="G2392" s="4">
        <v>1592.26</v>
      </c>
      <c r="H2392" s="4">
        <v>493838.72</v>
      </c>
    </row>
    <row r="2393" s="1" customFormat="1" ht="14" spans="1:8">
      <c r="A2393" s="2">
        <v>9100464</v>
      </c>
      <c r="B2393" s="2" t="s">
        <v>3072</v>
      </c>
      <c r="C2393" s="3" t="s">
        <v>3038</v>
      </c>
      <c r="D2393" s="4">
        <v>82.86</v>
      </c>
      <c r="E2393" s="4">
        <v>2508.16</v>
      </c>
      <c r="F2393" s="4">
        <v>207821.13</v>
      </c>
      <c r="G2393" s="4">
        <v>2850.47</v>
      </c>
      <c r="H2393" s="4">
        <v>236202.11</v>
      </c>
    </row>
    <row r="2394" s="1" customFormat="1" ht="14" spans="1:8">
      <c r="A2394" s="2">
        <v>9100468</v>
      </c>
      <c r="B2394" s="2" t="s">
        <v>3073</v>
      </c>
      <c r="C2394" s="3" t="s">
        <v>3038</v>
      </c>
      <c r="D2394" s="4">
        <v>15.48</v>
      </c>
      <c r="E2394" s="4">
        <v>10296.84</v>
      </c>
      <c r="F2394" s="4">
        <v>159353.89</v>
      </c>
      <c r="G2394" s="4">
        <v>11850.38</v>
      </c>
      <c r="H2394" s="4">
        <v>183483.88</v>
      </c>
    </row>
    <row r="2395" s="1" customFormat="1" ht="14" spans="1:8">
      <c r="A2395" s="2">
        <v>9100471</v>
      </c>
      <c r="B2395" s="2" t="s">
        <v>3074</v>
      </c>
      <c r="C2395" s="3" t="s">
        <v>3038</v>
      </c>
      <c r="D2395" s="4">
        <v>73.13</v>
      </c>
      <c r="E2395" s="4">
        <v>552.53</v>
      </c>
      <c r="F2395" s="4">
        <v>40164.33</v>
      </c>
      <c r="G2395" s="4">
        <v>705.7</v>
      </c>
      <c r="H2395" s="4">
        <v>51314.84</v>
      </c>
    </row>
    <row r="2396" s="1" customFormat="1" ht="14" spans="1:8">
      <c r="A2396" s="2">
        <v>9100481</v>
      </c>
      <c r="B2396" s="2" t="s">
        <v>3075</v>
      </c>
      <c r="C2396" s="3" t="s">
        <v>3038</v>
      </c>
      <c r="D2396" s="4">
        <v>136.34</v>
      </c>
      <c r="E2396" s="4">
        <v>317.16</v>
      </c>
      <c r="F2396" s="4">
        <v>43253.2</v>
      </c>
      <c r="G2396" s="4">
        <v>391.97</v>
      </c>
      <c r="H2396" s="4">
        <v>53461.64</v>
      </c>
    </row>
    <row r="2397" s="1" customFormat="1" ht="14" spans="1:8">
      <c r="A2397" s="2">
        <v>9100503</v>
      </c>
      <c r="B2397" s="2" t="s">
        <v>3076</v>
      </c>
      <c r="C2397" s="3" t="s">
        <v>3038</v>
      </c>
      <c r="D2397" s="4">
        <v>5929.34</v>
      </c>
      <c r="E2397" s="4">
        <v>553.65</v>
      </c>
      <c r="F2397" s="4">
        <v>3307671.49</v>
      </c>
      <c r="G2397" s="4">
        <v>689.53</v>
      </c>
      <c r="H2397" s="4">
        <v>4138367.98</v>
      </c>
    </row>
    <row r="2398" s="1" customFormat="1" ht="14" spans="1:8">
      <c r="A2398" s="2">
        <v>9100504</v>
      </c>
      <c r="B2398" s="2" t="s">
        <v>3077</v>
      </c>
      <c r="C2398" s="3" t="s">
        <v>3038</v>
      </c>
      <c r="D2398" s="4">
        <v>46.24</v>
      </c>
      <c r="E2398" s="4">
        <v>653.7</v>
      </c>
      <c r="F2398" s="4">
        <v>30227.09</v>
      </c>
      <c r="G2398" s="4">
        <v>814.52</v>
      </c>
      <c r="H2398" s="4">
        <v>37667.96</v>
      </c>
    </row>
    <row r="2399" s="1" customFormat="1" ht="14" spans="1:8">
      <c r="A2399" s="2">
        <v>9100505</v>
      </c>
      <c r="B2399" s="2" t="s">
        <v>3078</v>
      </c>
      <c r="C2399" s="3" t="s">
        <v>3038</v>
      </c>
      <c r="D2399" s="4">
        <v>12630.15</v>
      </c>
      <c r="E2399" s="4">
        <v>808.18</v>
      </c>
      <c r="F2399" s="4">
        <v>10209627.69</v>
      </c>
      <c r="G2399" s="4">
        <v>1012.38</v>
      </c>
      <c r="H2399" s="4">
        <v>12791867</v>
      </c>
    </row>
    <row r="2400" s="1" customFormat="1" ht="14" spans="1:8">
      <c r="A2400" s="2">
        <v>9100523</v>
      </c>
      <c r="B2400" s="2" t="s">
        <v>3079</v>
      </c>
      <c r="C2400" s="3" t="s">
        <v>3038</v>
      </c>
      <c r="D2400" s="4">
        <v>8.94</v>
      </c>
      <c r="E2400" s="4">
        <v>559.02</v>
      </c>
      <c r="F2400" s="4">
        <v>4999.31</v>
      </c>
      <c r="G2400" s="4">
        <v>692.59</v>
      </c>
      <c r="H2400" s="4">
        <v>6194.91</v>
      </c>
    </row>
    <row r="2401" s="1" customFormat="1" ht="14" spans="1:8">
      <c r="A2401" s="2">
        <v>9100601</v>
      </c>
      <c r="B2401" s="2" t="s">
        <v>3080</v>
      </c>
      <c r="C2401" s="3" t="s">
        <v>3038</v>
      </c>
      <c r="D2401" s="4">
        <v>755.03</v>
      </c>
      <c r="E2401" s="4">
        <v>305.62</v>
      </c>
      <c r="F2401" s="4">
        <v>230750.42</v>
      </c>
      <c r="G2401" s="4">
        <v>415.75</v>
      </c>
      <c r="H2401" s="4">
        <v>316043.66</v>
      </c>
    </row>
    <row r="2402" s="1" customFormat="1" ht="14" spans="1:8">
      <c r="A2402" s="2">
        <v>9100605</v>
      </c>
      <c r="B2402" s="2" t="s">
        <v>3081</v>
      </c>
      <c r="C2402" s="3" t="s">
        <v>3038</v>
      </c>
      <c r="D2402" s="4">
        <v>2745.17</v>
      </c>
      <c r="E2402" s="4">
        <v>294.08</v>
      </c>
      <c r="F2402" s="4">
        <v>772161.07</v>
      </c>
      <c r="G2402" s="4">
        <v>377.75</v>
      </c>
      <c r="H2402" s="4">
        <v>960122.72</v>
      </c>
    </row>
    <row r="2403" s="1" customFormat="1" ht="14" spans="1:8">
      <c r="A2403" s="2">
        <v>9100607</v>
      </c>
      <c r="B2403" s="2" t="s">
        <v>3082</v>
      </c>
      <c r="C2403" s="3" t="s">
        <v>3038</v>
      </c>
      <c r="D2403" s="4">
        <v>20.92</v>
      </c>
      <c r="E2403" s="4">
        <v>3679.01</v>
      </c>
      <c r="F2403" s="4">
        <v>76961.21</v>
      </c>
      <c r="G2403" s="4">
        <v>3944.93</v>
      </c>
      <c r="H2403" s="4">
        <v>82491.77</v>
      </c>
    </row>
    <row r="2404" s="1" customFormat="1" ht="14" spans="1:8">
      <c r="A2404" s="2">
        <v>9100609</v>
      </c>
      <c r="B2404" s="2" t="s">
        <v>3083</v>
      </c>
      <c r="C2404" s="3" t="s">
        <v>3038</v>
      </c>
      <c r="D2404" s="4">
        <v>4360.22</v>
      </c>
      <c r="E2404" s="4">
        <v>192.29</v>
      </c>
      <c r="F2404" s="4">
        <v>838442.7</v>
      </c>
      <c r="G2404" s="4">
        <v>229.67</v>
      </c>
      <c r="H2404" s="4">
        <v>1001641.78</v>
      </c>
    </row>
    <row r="2405" s="1" customFormat="1" ht="14" spans="1:8">
      <c r="A2405" s="2">
        <v>9100611</v>
      </c>
      <c r="B2405" s="2" t="s">
        <v>3084</v>
      </c>
      <c r="C2405" s="3" t="s">
        <v>3038</v>
      </c>
      <c r="D2405" s="4">
        <v>13989.34</v>
      </c>
      <c r="E2405" s="4">
        <v>8.29</v>
      </c>
      <c r="F2405" s="4">
        <v>115971.54</v>
      </c>
      <c r="G2405" s="4">
        <v>8.3</v>
      </c>
      <c r="H2405" s="4">
        <v>116111.46</v>
      </c>
    </row>
    <row r="2406" s="1" customFormat="1" ht="14" spans="1:8">
      <c r="A2406" s="2">
        <v>9100615</v>
      </c>
      <c r="B2406" s="2" t="s">
        <v>3085</v>
      </c>
      <c r="C2406" s="3" t="s">
        <v>3038</v>
      </c>
      <c r="D2406" s="4">
        <v>29158.26</v>
      </c>
      <c r="E2406" s="4">
        <v>2.26</v>
      </c>
      <c r="F2406" s="4">
        <v>65897.64</v>
      </c>
      <c r="G2406" s="4">
        <v>2.26</v>
      </c>
      <c r="H2406" s="4">
        <v>65897.64</v>
      </c>
    </row>
    <row r="2407" s="1" customFormat="1" ht="14" spans="1:8">
      <c r="A2407" s="2">
        <v>9100620</v>
      </c>
      <c r="B2407" s="2" t="s">
        <v>3086</v>
      </c>
      <c r="C2407" s="3" t="s">
        <v>3038</v>
      </c>
      <c r="D2407" s="4">
        <v>274.95</v>
      </c>
      <c r="E2407" s="4">
        <v>124.14</v>
      </c>
      <c r="F2407" s="4">
        <v>36028.53</v>
      </c>
      <c r="G2407" s="4">
        <v>146.37</v>
      </c>
      <c r="H2407" s="4">
        <v>45529.56</v>
      </c>
    </row>
    <row r="2408" s="1" customFormat="1" ht="14" spans="1:8">
      <c r="A2408" s="2">
        <v>9100621</v>
      </c>
      <c r="B2408" s="2" t="s">
        <v>3087</v>
      </c>
      <c r="C2408" s="3" t="s">
        <v>3038</v>
      </c>
      <c r="D2408" s="4">
        <v>112.14</v>
      </c>
      <c r="E2408" s="4">
        <v>233.95</v>
      </c>
      <c r="F2408" s="4">
        <v>25512.48</v>
      </c>
      <c r="G2408" s="4">
        <v>307.3</v>
      </c>
      <c r="H2408" s="4">
        <v>33675.84</v>
      </c>
    </row>
    <row r="2409" s="1" customFormat="1" ht="14" spans="1:8">
      <c r="A2409" s="2">
        <v>9100622</v>
      </c>
      <c r="B2409" s="2" t="s">
        <v>3088</v>
      </c>
      <c r="C2409" s="3" t="s">
        <v>3038</v>
      </c>
      <c r="D2409" s="4">
        <v>288.06</v>
      </c>
      <c r="E2409" s="4">
        <v>88.61</v>
      </c>
      <c r="F2409" s="4">
        <v>27541.08</v>
      </c>
      <c r="G2409" s="4">
        <v>107.99</v>
      </c>
      <c r="H2409" s="4">
        <v>36679.16</v>
      </c>
    </row>
    <row r="2410" s="1" customFormat="1" ht="14" spans="1:8">
      <c r="A2410" s="2">
        <v>9100633</v>
      </c>
      <c r="B2410" s="2" t="s">
        <v>3089</v>
      </c>
      <c r="C2410" s="3" t="s">
        <v>3038</v>
      </c>
      <c r="D2410" s="4">
        <v>962.11</v>
      </c>
      <c r="E2410" s="4">
        <v>5642.66</v>
      </c>
      <c r="F2410" s="4">
        <v>5428831.4</v>
      </c>
      <c r="G2410" s="4">
        <v>6303.77</v>
      </c>
      <c r="H2410" s="4">
        <v>6064888.65</v>
      </c>
    </row>
    <row r="2411" s="1" customFormat="1" ht="14" spans="1:8">
      <c r="A2411" s="2">
        <v>9100651</v>
      </c>
      <c r="B2411" s="2" t="s">
        <v>3090</v>
      </c>
      <c r="C2411" s="3" t="s">
        <v>3038</v>
      </c>
      <c r="D2411" s="4">
        <v>418.94</v>
      </c>
      <c r="E2411" s="4">
        <v>1595.87</v>
      </c>
      <c r="F2411" s="4">
        <v>668573.78</v>
      </c>
      <c r="G2411" s="4">
        <v>1862.81</v>
      </c>
      <c r="H2411" s="4">
        <v>780405.62</v>
      </c>
    </row>
    <row r="2412" s="1" customFormat="1" ht="14" spans="1:8">
      <c r="A2412" s="2">
        <v>9100666</v>
      </c>
      <c r="B2412" s="2" t="s">
        <v>3091</v>
      </c>
      <c r="C2412" s="3" t="s">
        <v>3038</v>
      </c>
      <c r="D2412" s="4">
        <v>481.98</v>
      </c>
      <c r="E2412" s="4">
        <v>1168.23</v>
      </c>
      <c r="F2412" s="4">
        <v>563063.5</v>
      </c>
      <c r="G2412" s="4">
        <v>1529.5</v>
      </c>
      <c r="H2412" s="4">
        <v>737188.42</v>
      </c>
    </row>
    <row r="2413" s="1" customFormat="1" ht="28" spans="1:8">
      <c r="A2413" s="2">
        <v>9100668</v>
      </c>
      <c r="B2413" s="2" t="s">
        <v>3092</v>
      </c>
      <c r="C2413" s="3" t="s">
        <v>3038</v>
      </c>
      <c r="D2413" s="4">
        <v>2.21</v>
      </c>
      <c r="E2413" s="4">
        <v>4264.43</v>
      </c>
      <c r="F2413" s="4">
        <v>9411.6</v>
      </c>
      <c r="G2413" s="4">
        <v>4562.24</v>
      </c>
      <c r="H2413" s="4">
        <v>10068.87</v>
      </c>
    </row>
    <row r="2414" s="1" customFormat="1" ht="14" spans="1:8">
      <c r="A2414" s="2">
        <v>9100671</v>
      </c>
      <c r="B2414" s="2" t="s">
        <v>3093</v>
      </c>
      <c r="C2414" s="3" t="s">
        <v>3038</v>
      </c>
      <c r="D2414" s="4">
        <v>126.9</v>
      </c>
      <c r="E2414" s="4">
        <v>422.89</v>
      </c>
      <c r="F2414" s="4">
        <v>53664.73</v>
      </c>
      <c r="G2414" s="4">
        <v>541.61</v>
      </c>
      <c r="H2414" s="4">
        <v>68679.5</v>
      </c>
    </row>
    <row r="2415" s="1" customFormat="1" ht="14" spans="1:8">
      <c r="A2415" s="2">
        <v>9100673</v>
      </c>
      <c r="B2415" s="2" t="s">
        <v>3094</v>
      </c>
      <c r="C2415" s="3" t="s">
        <v>3038</v>
      </c>
      <c r="D2415" s="4">
        <v>399.78</v>
      </c>
      <c r="E2415" s="4">
        <v>1565</v>
      </c>
      <c r="F2415" s="4">
        <v>625660.4</v>
      </c>
      <c r="G2415" s="4">
        <v>1809.82</v>
      </c>
      <c r="H2415" s="4">
        <v>723535.27</v>
      </c>
    </row>
    <row r="2416" s="1" customFormat="1" ht="14" spans="1:8">
      <c r="A2416" s="2">
        <v>9100695</v>
      </c>
      <c r="B2416" s="2" t="s">
        <v>3095</v>
      </c>
      <c r="C2416" s="3" t="s">
        <v>3038</v>
      </c>
      <c r="D2416" s="4">
        <v>530.37</v>
      </c>
      <c r="E2416" s="4">
        <v>5941.48</v>
      </c>
      <c r="F2416" s="4">
        <v>3151182.75</v>
      </c>
      <c r="G2416" s="4">
        <v>7229.55</v>
      </c>
      <c r="H2416" s="4">
        <v>3834336.44</v>
      </c>
    </row>
    <row r="2417" s="1" customFormat="1" ht="14" spans="1:8">
      <c r="A2417" s="2">
        <v>9100804</v>
      </c>
      <c r="B2417" s="2" t="s">
        <v>3096</v>
      </c>
      <c r="C2417" s="3" t="s">
        <v>3038</v>
      </c>
      <c r="D2417" s="4">
        <v>1715.02</v>
      </c>
      <c r="E2417" s="4">
        <v>184.75</v>
      </c>
      <c r="F2417" s="4">
        <v>316850.09</v>
      </c>
      <c r="G2417" s="4">
        <v>315.14</v>
      </c>
      <c r="H2417" s="4">
        <v>542470.27</v>
      </c>
    </row>
    <row r="2418" s="1" customFormat="1" ht="14" spans="1:8">
      <c r="A2418" s="2">
        <v>9100812</v>
      </c>
      <c r="B2418" s="2" t="s">
        <v>3097</v>
      </c>
      <c r="C2418" s="3" t="s">
        <v>3038</v>
      </c>
      <c r="D2418" s="4">
        <v>324.1</v>
      </c>
      <c r="E2418" s="4">
        <v>498.63</v>
      </c>
      <c r="F2418" s="4">
        <v>161605.98</v>
      </c>
      <c r="G2418" s="4">
        <v>996.08</v>
      </c>
      <c r="H2418" s="4">
        <v>322829.54</v>
      </c>
    </row>
    <row r="2419" s="1" customFormat="1" ht="14" spans="1:8">
      <c r="A2419" s="2">
        <v>9101001</v>
      </c>
      <c r="B2419" s="2" t="s">
        <v>3098</v>
      </c>
      <c r="C2419" s="3" t="s">
        <v>3038</v>
      </c>
      <c r="D2419" s="4">
        <v>1.59</v>
      </c>
      <c r="E2419" s="4">
        <v>77.84</v>
      </c>
      <c r="F2419" s="4">
        <v>123.54</v>
      </c>
      <c r="G2419" s="4">
        <v>99.64</v>
      </c>
      <c r="H2419" s="4">
        <v>158.35</v>
      </c>
    </row>
    <row r="2420" s="1" customFormat="1" ht="14" spans="1:8">
      <c r="A2420" s="2">
        <v>9101002</v>
      </c>
      <c r="B2420" s="2" t="s">
        <v>3099</v>
      </c>
      <c r="C2420" s="3" t="s">
        <v>3038</v>
      </c>
      <c r="D2420" s="4">
        <v>242.03</v>
      </c>
      <c r="E2420" s="4">
        <v>86.16</v>
      </c>
      <c r="F2420" s="4">
        <v>20313</v>
      </c>
      <c r="G2420" s="4">
        <v>113.95</v>
      </c>
      <c r="H2420" s="4">
        <v>26871.82</v>
      </c>
    </row>
    <row r="2421" s="1" customFormat="1" ht="14" spans="1:8">
      <c r="A2421" s="2">
        <v>9101003</v>
      </c>
      <c r="B2421" s="2" t="s">
        <v>3100</v>
      </c>
      <c r="C2421" s="3" t="s">
        <v>3038</v>
      </c>
      <c r="D2421" s="4">
        <v>301.01</v>
      </c>
      <c r="E2421" s="4">
        <v>92.26</v>
      </c>
      <c r="F2421" s="4">
        <v>27686.92</v>
      </c>
      <c r="G2421" s="4">
        <v>125.33</v>
      </c>
      <c r="H2421" s="4">
        <v>37645.83</v>
      </c>
    </row>
    <row r="2422" s="1" customFormat="1" ht="14" spans="1:8">
      <c r="A2422" s="2">
        <v>9101004</v>
      </c>
      <c r="B2422" s="2" t="s">
        <v>3101</v>
      </c>
      <c r="C2422" s="3" t="s">
        <v>3038</v>
      </c>
      <c r="D2422" s="4">
        <v>14241.51</v>
      </c>
      <c r="E2422" s="4">
        <v>135.64</v>
      </c>
      <c r="F2422" s="4">
        <v>1897266.84</v>
      </c>
      <c r="G2422" s="4">
        <v>211.38</v>
      </c>
      <c r="H2422" s="4">
        <v>2974762.43</v>
      </c>
    </row>
    <row r="2423" s="1" customFormat="1" ht="14" spans="1:8">
      <c r="A2423" s="2">
        <v>9101005</v>
      </c>
      <c r="B2423" s="2" t="s">
        <v>3102</v>
      </c>
      <c r="C2423" s="3" t="s">
        <v>3038</v>
      </c>
      <c r="D2423" s="4">
        <v>973.9</v>
      </c>
      <c r="E2423" s="4">
        <v>185.1</v>
      </c>
      <c r="F2423" s="4">
        <v>180164.87</v>
      </c>
      <c r="G2423" s="4">
        <v>313.8</v>
      </c>
      <c r="H2423" s="4">
        <v>306539.76</v>
      </c>
    </row>
    <row r="2424" s="1" customFormat="1" ht="14" spans="1:8">
      <c r="A2424" s="2">
        <v>9101006</v>
      </c>
      <c r="B2424" s="2" t="s">
        <v>3103</v>
      </c>
      <c r="C2424" s="3" t="s">
        <v>3038</v>
      </c>
      <c r="D2424" s="4">
        <v>3897.75</v>
      </c>
      <c r="E2424" s="4">
        <v>315.68</v>
      </c>
      <c r="F2424" s="4">
        <v>1231781.5</v>
      </c>
      <c r="G2424" s="4">
        <v>546.44</v>
      </c>
      <c r="H2424" s="4">
        <v>2154366.09</v>
      </c>
    </row>
    <row r="2425" s="1" customFormat="1" ht="14" spans="1:8">
      <c r="A2425" s="2">
        <v>9101011</v>
      </c>
      <c r="B2425" s="2" t="s">
        <v>3104</v>
      </c>
      <c r="C2425" s="3" t="s">
        <v>3038</v>
      </c>
      <c r="D2425" s="4">
        <v>21116.52</v>
      </c>
      <c r="E2425" s="4">
        <v>510.09</v>
      </c>
      <c r="F2425" s="4">
        <v>10755707.24</v>
      </c>
      <c r="G2425" s="4">
        <v>903.69</v>
      </c>
      <c r="H2425" s="4">
        <v>19113375.99</v>
      </c>
    </row>
    <row r="2426" s="1" customFormat="1" ht="14" spans="1:8">
      <c r="A2426" s="2">
        <v>9101013</v>
      </c>
      <c r="B2426" s="2" t="s">
        <v>3105</v>
      </c>
      <c r="C2426" s="3" t="s">
        <v>3038</v>
      </c>
      <c r="D2426" s="4">
        <v>1518.94</v>
      </c>
      <c r="E2426" s="4">
        <v>833.86</v>
      </c>
      <c r="F2426" s="4">
        <v>1266583.31</v>
      </c>
      <c r="G2426" s="4">
        <v>1521.76</v>
      </c>
      <c r="H2426" s="4">
        <v>2311462.13</v>
      </c>
    </row>
    <row r="2427" s="1" customFormat="1" ht="14" spans="1:8">
      <c r="A2427" s="2">
        <v>9101100</v>
      </c>
      <c r="B2427" s="2" t="s">
        <v>3106</v>
      </c>
      <c r="C2427" s="3" t="s">
        <v>3038</v>
      </c>
      <c r="D2427" s="4">
        <v>1039.35</v>
      </c>
      <c r="E2427" s="4">
        <v>181.61</v>
      </c>
      <c r="F2427" s="4">
        <v>190055.06</v>
      </c>
      <c r="G2427" s="4">
        <v>225.99</v>
      </c>
      <c r="H2427" s="4">
        <v>236620.69</v>
      </c>
    </row>
    <row r="2428" s="1" customFormat="1" ht="14" spans="1:8">
      <c r="A2428" s="2">
        <v>9101102</v>
      </c>
      <c r="B2428" s="2" t="s">
        <v>3107</v>
      </c>
      <c r="C2428" s="3" t="s">
        <v>3038</v>
      </c>
      <c r="D2428" s="4">
        <v>954.45</v>
      </c>
      <c r="E2428" s="4">
        <v>416.79</v>
      </c>
      <c r="F2428" s="4">
        <v>397806.45</v>
      </c>
      <c r="G2428" s="4">
        <v>540.12</v>
      </c>
      <c r="H2428" s="4">
        <v>515519.16</v>
      </c>
    </row>
    <row r="2429" s="1" customFormat="1" ht="14" spans="1:8">
      <c r="A2429" s="2">
        <v>9101215</v>
      </c>
      <c r="B2429" s="2" t="s">
        <v>3108</v>
      </c>
      <c r="C2429" s="3" t="s">
        <v>3038</v>
      </c>
      <c r="D2429" s="4">
        <v>1322.99</v>
      </c>
      <c r="E2429" s="4">
        <v>524.16</v>
      </c>
      <c r="F2429" s="4">
        <v>702714.24</v>
      </c>
      <c r="G2429" s="4">
        <v>859.06</v>
      </c>
      <c r="H2429" s="4">
        <v>1177718.31</v>
      </c>
    </row>
    <row r="2430" s="1" customFormat="1" ht="14" spans="1:8">
      <c r="A2430" s="2">
        <v>9101301</v>
      </c>
      <c r="B2430" s="2" t="s">
        <v>3109</v>
      </c>
      <c r="C2430" s="3" t="s">
        <v>3038</v>
      </c>
      <c r="D2430" s="4">
        <v>1344.5</v>
      </c>
      <c r="E2430" s="4">
        <v>94.79</v>
      </c>
      <c r="F2430" s="4">
        <v>119944.04</v>
      </c>
      <c r="G2430" s="4">
        <v>111.95</v>
      </c>
      <c r="H2430" s="4">
        <v>141897.94</v>
      </c>
    </row>
    <row r="2431" s="1" customFormat="1" ht="14" spans="1:8">
      <c r="A2431" s="2">
        <v>9101303</v>
      </c>
      <c r="B2431" s="2" t="s">
        <v>3110</v>
      </c>
      <c r="C2431" s="3" t="s">
        <v>3038</v>
      </c>
      <c r="D2431" s="4">
        <v>1434.79</v>
      </c>
      <c r="E2431" s="4">
        <v>156.7</v>
      </c>
      <c r="F2431" s="4">
        <v>231443.36</v>
      </c>
      <c r="G2431" s="4">
        <v>193.4</v>
      </c>
      <c r="H2431" s="4">
        <v>284897.64</v>
      </c>
    </row>
    <row r="2432" s="1" customFormat="1" ht="14" spans="1:8">
      <c r="A2432" s="2">
        <v>9101402</v>
      </c>
      <c r="B2432" s="2" t="s">
        <v>3111</v>
      </c>
      <c r="C2432" s="3" t="s">
        <v>3038</v>
      </c>
      <c r="D2432" s="4">
        <v>129.33</v>
      </c>
      <c r="E2432" s="4">
        <v>457.24</v>
      </c>
      <c r="F2432" s="4">
        <v>59135.33</v>
      </c>
      <c r="G2432" s="4">
        <v>611.35</v>
      </c>
      <c r="H2432" s="4">
        <v>79095.17</v>
      </c>
    </row>
    <row r="2433" s="1" customFormat="1" ht="14" spans="1:8">
      <c r="A2433" s="2">
        <v>9101403</v>
      </c>
      <c r="B2433" s="2" t="s">
        <v>3112</v>
      </c>
      <c r="C2433" s="3" t="s">
        <v>3038</v>
      </c>
      <c r="D2433" s="4">
        <v>3.74</v>
      </c>
      <c r="E2433" s="4">
        <v>522.94</v>
      </c>
      <c r="F2433" s="4">
        <v>1955.8</v>
      </c>
      <c r="G2433" s="4">
        <v>705.52</v>
      </c>
      <c r="H2433" s="4">
        <v>2638.64</v>
      </c>
    </row>
    <row r="2434" s="1" customFormat="1" ht="14" spans="1:8">
      <c r="A2434" s="2">
        <v>9101513</v>
      </c>
      <c r="B2434" s="2" t="s">
        <v>3113</v>
      </c>
      <c r="C2434" s="3" t="s">
        <v>3038</v>
      </c>
      <c r="D2434" s="4">
        <v>247.5</v>
      </c>
      <c r="E2434" s="4">
        <v>5414.59</v>
      </c>
      <c r="F2434" s="4">
        <v>1340105.61</v>
      </c>
      <c r="G2434" s="4">
        <v>7622.28</v>
      </c>
      <c r="H2434" s="4">
        <v>1883431.04</v>
      </c>
    </row>
    <row r="2435" s="1" customFormat="1" ht="14" spans="1:8">
      <c r="A2435" s="2">
        <v>9101604</v>
      </c>
      <c r="B2435" s="2" t="s">
        <v>3114</v>
      </c>
      <c r="C2435" s="3" t="s">
        <v>3038</v>
      </c>
      <c r="D2435" s="4">
        <v>187.81</v>
      </c>
      <c r="E2435" s="4">
        <v>11.81</v>
      </c>
      <c r="F2435" s="4">
        <v>2217.99</v>
      </c>
      <c r="G2435" s="4">
        <v>11.83</v>
      </c>
      <c r="H2435" s="4">
        <v>2221.75</v>
      </c>
    </row>
    <row r="2436" s="1" customFormat="1" ht="14" spans="1:8">
      <c r="A2436" s="2">
        <v>9101605</v>
      </c>
      <c r="B2436" s="2" t="s">
        <v>3115</v>
      </c>
      <c r="C2436" s="3" t="s">
        <v>3038</v>
      </c>
      <c r="D2436" s="4">
        <v>784.46</v>
      </c>
      <c r="E2436" s="4">
        <v>18.38</v>
      </c>
      <c r="F2436" s="4">
        <v>14418.45</v>
      </c>
      <c r="G2436" s="4">
        <v>18.41</v>
      </c>
      <c r="H2436" s="4">
        <v>14441.99</v>
      </c>
    </row>
    <row r="2437" s="1" customFormat="1" ht="28" spans="1:8">
      <c r="A2437" s="2">
        <v>9102019</v>
      </c>
      <c r="B2437" s="2" t="s">
        <v>3116</v>
      </c>
      <c r="C2437" s="3" t="s">
        <v>3038</v>
      </c>
      <c r="D2437" s="4">
        <v>34.65</v>
      </c>
      <c r="E2437" s="4">
        <v>566.21</v>
      </c>
      <c r="F2437" s="4">
        <v>19791.36</v>
      </c>
      <c r="G2437" s="4">
        <v>652.39</v>
      </c>
      <c r="H2437" s="4">
        <v>22804.73</v>
      </c>
    </row>
    <row r="2438" s="1" customFormat="1" ht="14" spans="1:8">
      <c r="A2438" s="2">
        <v>9102063</v>
      </c>
      <c r="B2438" s="2" t="s">
        <v>3117</v>
      </c>
      <c r="C2438" s="3" t="s">
        <v>3038</v>
      </c>
      <c r="D2438" s="4">
        <v>13.44</v>
      </c>
      <c r="E2438" s="4">
        <v>2883.15</v>
      </c>
      <c r="F2438" s="4">
        <v>38749.54</v>
      </c>
      <c r="G2438" s="4">
        <v>3196.41</v>
      </c>
      <c r="H2438" s="4">
        <v>42959.75</v>
      </c>
    </row>
    <row r="2439" s="1" customFormat="1" ht="14" spans="1:8">
      <c r="A2439" s="2">
        <v>9102101</v>
      </c>
      <c r="B2439" s="2" t="s">
        <v>3118</v>
      </c>
      <c r="C2439" s="3" t="s">
        <v>3038</v>
      </c>
      <c r="D2439" s="4">
        <v>4100.3</v>
      </c>
      <c r="E2439" s="4">
        <v>328.02</v>
      </c>
      <c r="F2439" s="4">
        <v>1347871.92</v>
      </c>
      <c r="G2439" s="4">
        <v>387.64</v>
      </c>
      <c r="H2439" s="4">
        <v>1594441.17</v>
      </c>
    </row>
    <row r="2440" s="1" customFormat="1" ht="14" spans="1:8">
      <c r="A2440" s="2">
        <v>9102102</v>
      </c>
      <c r="B2440" s="2" t="s">
        <v>3119</v>
      </c>
      <c r="C2440" s="3" t="s">
        <v>3038</v>
      </c>
      <c r="D2440" s="4">
        <v>4401.87</v>
      </c>
      <c r="E2440" s="4">
        <v>430.4</v>
      </c>
      <c r="F2440" s="4">
        <v>1905063.74</v>
      </c>
      <c r="G2440" s="4">
        <v>519.19</v>
      </c>
      <c r="H2440" s="4">
        <v>2298775.65</v>
      </c>
    </row>
    <row r="2441" s="1" customFormat="1" ht="14" spans="1:8">
      <c r="A2441" s="2">
        <v>9102103</v>
      </c>
      <c r="B2441" s="2" t="s">
        <v>3120</v>
      </c>
      <c r="C2441" s="3" t="s">
        <v>3038</v>
      </c>
      <c r="D2441" s="4">
        <v>3705.13</v>
      </c>
      <c r="E2441" s="4">
        <v>598.15</v>
      </c>
      <c r="F2441" s="4">
        <v>2225082.33</v>
      </c>
      <c r="G2441" s="4">
        <v>706.67</v>
      </c>
      <c r="H2441" s="4">
        <v>2632901.09</v>
      </c>
    </row>
    <row r="2442" s="1" customFormat="1" ht="14" spans="1:8">
      <c r="A2442" s="2">
        <v>9102104</v>
      </c>
      <c r="B2442" s="2" t="s">
        <v>3121</v>
      </c>
      <c r="C2442" s="3" t="s">
        <v>3038</v>
      </c>
      <c r="D2442" s="4">
        <v>3952.36</v>
      </c>
      <c r="E2442" s="4">
        <v>757.56</v>
      </c>
      <c r="F2442" s="4">
        <v>3007070.52</v>
      </c>
      <c r="G2442" s="4">
        <v>895.24</v>
      </c>
      <c r="H2442" s="4">
        <v>3555180.3</v>
      </c>
    </row>
    <row r="2443" s="1" customFormat="1" ht="14" spans="1:8">
      <c r="A2443" s="2">
        <v>9102105</v>
      </c>
      <c r="B2443" s="2" t="s">
        <v>3122</v>
      </c>
      <c r="C2443" s="3" t="s">
        <v>3038</v>
      </c>
      <c r="D2443" s="4">
        <v>2377.8</v>
      </c>
      <c r="E2443" s="4">
        <v>836.01</v>
      </c>
      <c r="F2443" s="4">
        <v>1997550.96</v>
      </c>
      <c r="G2443" s="4">
        <v>991.05</v>
      </c>
      <c r="H2443" s="4">
        <v>2368450.61</v>
      </c>
    </row>
    <row r="2444" s="1" customFormat="1" ht="14" spans="1:8">
      <c r="A2444" s="2">
        <v>9102106</v>
      </c>
      <c r="B2444" s="2" t="s">
        <v>3123</v>
      </c>
      <c r="C2444" s="3" t="s">
        <v>3038</v>
      </c>
      <c r="D2444" s="4">
        <v>1953.57</v>
      </c>
      <c r="E2444" s="4">
        <v>990.47</v>
      </c>
      <c r="F2444" s="4">
        <v>1930401.54</v>
      </c>
      <c r="G2444" s="4">
        <v>1174.77</v>
      </c>
      <c r="H2444" s="4">
        <v>2289126.54</v>
      </c>
    </row>
    <row r="2445" s="1" customFormat="1" ht="14" spans="1:8">
      <c r="A2445" s="2">
        <v>9102107</v>
      </c>
      <c r="B2445" s="2" t="s">
        <v>3124</v>
      </c>
      <c r="C2445" s="3" t="s">
        <v>3038</v>
      </c>
      <c r="D2445" s="4">
        <v>488.96</v>
      </c>
      <c r="E2445" s="4">
        <v>1048.68</v>
      </c>
      <c r="F2445" s="4">
        <v>516257.79</v>
      </c>
      <c r="G2445" s="4">
        <v>1236.64</v>
      </c>
      <c r="H2445" s="4">
        <v>609069.64</v>
      </c>
    </row>
    <row r="2446" s="1" customFormat="1" ht="14" spans="1:8">
      <c r="A2446" s="2">
        <v>9102110</v>
      </c>
      <c r="B2446" s="2" t="s">
        <v>3125</v>
      </c>
      <c r="C2446" s="3" t="s">
        <v>3038</v>
      </c>
      <c r="D2446" s="4">
        <v>6</v>
      </c>
      <c r="E2446" s="4">
        <v>1981.36</v>
      </c>
      <c r="F2446" s="4">
        <v>11888.16</v>
      </c>
      <c r="G2446" s="4">
        <v>2200.56</v>
      </c>
      <c r="H2446" s="4">
        <v>13203.36</v>
      </c>
    </row>
    <row r="2447" s="1" customFormat="1" ht="14" spans="1:8">
      <c r="A2447" s="2">
        <v>9102111</v>
      </c>
      <c r="B2447" s="2" t="s">
        <v>3126</v>
      </c>
      <c r="C2447" s="3" t="s">
        <v>3038</v>
      </c>
      <c r="D2447" s="4">
        <v>21.76</v>
      </c>
      <c r="E2447" s="4">
        <v>3248.32</v>
      </c>
      <c r="F2447" s="4">
        <v>70680.2</v>
      </c>
      <c r="G2447" s="4">
        <v>3520.95</v>
      </c>
      <c r="H2447" s="4">
        <v>76612.35</v>
      </c>
    </row>
    <row r="2448" s="1" customFormat="1" ht="14" spans="1:8">
      <c r="A2448" s="2">
        <v>9102112</v>
      </c>
      <c r="B2448" s="2" t="s">
        <v>3127</v>
      </c>
      <c r="C2448" s="3" t="s">
        <v>3038</v>
      </c>
      <c r="D2448" s="4">
        <v>32.76</v>
      </c>
      <c r="E2448" s="4">
        <v>5904.78</v>
      </c>
      <c r="F2448" s="4">
        <v>193440.6</v>
      </c>
      <c r="G2448" s="4">
        <v>6196.67</v>
      </c>
      <c r="H2448" s="4">
        <v>202967.96</v>
      </c>
    </row>
    <row r="2449" s="1" customFormat="1" ht="14" spans="1:8">
      <c r="A2449" s="2">
        <v>9102115</v>
      </c>
      <c r="B2449" s="2" t="s">
        <v>3128</v>
      </c>
      <c r="C2449" s="3" t="s">
        <v>3038</v>
      </c>
      <c r="D2449" s="4">
        <v>24</v>
      </c>
      <c r="E2449" s="4">
        <v>10391.81</v>
      </c>
      <c r="F2449" s="4">
        <v>249403.44</v>
      </c>
      <c r="G2449" s="4">
        <v>10766.5</v>
      </c>
      <c r="H2449" s="4">
        <v>258396</v>
      </c>
    </row>
    <row r="2450" s="1" customFormat="1" ht="14" spans="1:8">
      <c r="A2450" s="2">
        <v>9102120</v>
      </c>
      <c r="B2450" s="2" t="s">
        <v>3129</v>
      </c>
      <c r="C2450" s="3" t="s">
        <v>3038</v>
      </c>
      <c r="D2450" s="4">
        <v>7.91</v>
      </c>
      <c r="E2450" s="4">
        <v>12363.99</v>
      </c>
      <c r="F2450" s="4">
        <v>97749.7</v>
      </c>
      <c r="G2450" s="4">
        <v>12853.6</v>
      </c>
      <c r="H2450" s="4">
        <v>101620.56</v>
      </c>
    </row>
    <row r="2451" s="1" customFormat="1" ht="14" spans="1:8">
      <c r="A2451" s="2">
        <v>9102201</v>
      </c>
      <c r="B2451" s="2" t="s">
        <v>3130</v>
      </c>
      <c r="C2451" s="3" t="s">
        <v>3038</v>
      </c>
      <c r="D2451" s="4">
        <v>2434.93</v>
      </c>
      <c r="E2451" s="4">
        <v>635.76</v>
      </c>
      <c r="F2451" s="4">
        <v>1545724</v>
      </c>
      <c r="G2451" s="4">
        <v>739.93</v>
      </c>
      <c r="H2451" s="4">
        <v>1799018.31</v>
      </c>
    </row>
    <row r="2452" s="1" customFormat="1" ht="14" spans="1:8">
      <c r="A2452" s="2">
        <v>9102212</v>
      </c>
      <c r="B2452" s="2" t="s">
        <v>3131</v>
      </c>
      <c r="C2452" s="3" t="s">
        <v>3038</v>
      </c>
      <c r="D2452" s="4">
        <v>1482.29</v>
      </c>
      <c r="E2452" s="4">
        <v>626.86</v>
      </c>
      <c r="F2452" s="4">
        <v>924478.05</v>
      </c>
      <c r="G2452" s="4">
        <v>724.72</v>
      </c>
      <c r="H2452" s="4">
        <v>1068527.08</v>
      </c>
    </row>
    <row r="2453" s="1" customFormat="1" ht="14" spans="1:8">
      <c r="A2453" s="2">
        <v>9102214</v>
      </c>
      <c r="B2453" s="2" t="s">
        <v>3132</v>
      </c>
      <c r="C2453" s="3" t="s">
        <v>3038</v>
      </c>
      <c r="D2453" s="4">
        <v>3102.29</v>
      </c>
      <c r="E2453" s="4">
        <v>840.07</v>
      </c>
      <c r="F2453" s="4">
        <v>2607632.83</v>
      </c>
      <c r="G2453" s="4">
        <v>958.97</v>
      </c>
      <c r="H2453" s="4">
        <v>2977198.05</v>
      </c>
    </row>
    <row r="2454" s="1" customFormat="1" ht="14" spans="1:8">
      <c r="A2454" s="2">
        <v>9102216</v>
      </c>
      <c r="B2454" s="2" t="s">
        <v>3133</v>
      </c>
      <c r="C2454" s="3" t="s">
        <v>3038</v>
      </c>
      <c r="D2454" s="4">
        <v>177.95</v>
      </c>
      <c r="E2454" s="4">
        <v>1094.01</v>
      </c>
      <c r="F2454" s="4">
        <v>193890.76</v>
      </c>
      <c r="G2454" s="4">
        <v>1223.13</v>
      </c>
      <c r="H2454" s="4">
        <v>216775.87</v>
      </c>
    </row>
    <row r="2455" s="1" customFormat="1" ht="14" spans="1:8">
      <c r="A2455" s="2">
        <v>9102218</v>
      </c>
      <c r="B2455" s="2" t="s">
        <v>3134</v>
      </c>
      <c r="C2455" s="3" t="s">
        <v>3038</v>
      </c>
      <c r="D2455" s="4">
        <v>104.38</v>
      </c>
      <c r="E2455" s="4">
        <v>1334.77</v>
      </c>
      <c r="F2455" s="4">
        <v>139590.7</v>
      </c>
      <c r="G2455" s="4">
        <v>1502.7</v>
      </c>
      <c r="H2455" s="4">
        <v>157125.54</v>
      </c>
    </row>
    <row r="2456" s="1" customFormat="1" ht="14" spans="1:8">
      <c r="A2456" s="2">
        <v>9102233</v>
      </c>
      <c r="B2456" s="2" t="s">
        <v>3135</v>
      </c>
      <c r="C2456" s="3" t="s">
        <v>3038</v>
      </c>
      <c r="D2456" s="4">
        <v>17.41</v>
      </c>
      <c r="E2456" s="4">
        <v>986.42</v>
      </c>
      <c r="F2456" s="4">
        <v>17286.5</v>
      </c>
      <c r="G2456" s="4">
        <v>1113.61</v>
      </c>
      <c r="H2456" s="4">
        <v>19519.69</v>
      </c>
    </row>
    <row r="2457" s="1" customFormat="1" ht="14" spans="1:8">
      <c r="A2457" s="2">
        <v>9102301</v>
      </c>
      <c r="B2457" s="2" t="s">
        <v>3136</v>
      </c>
      <c r="C2457" s="3" t="s">
        <v>3038</v>
      </c>
      <c r="D2457" s="4">
        <v>133.59</v>
      </c>
      <c r="E2457" s="4">
        <v>163.63</v>
      </c>
      <c r="F2457" s="4">
        <v>21745.88</v>
      </c>
      <c r="G2457" s="4">
        <v>190.62</v>
      </c>
      <c r="H2457" s="4">
        <v>25331.03</v>
      </c>
    </row>
    <row r="2458" s="1" customFormat="1" ht="14" spans="1:8">
      <c r="A2458" s="2">
        <v>9102302</v>
      </c>
      <c r="B2458" s="2" t="s">
        <v>3137</v>
      </c>
      <c r="C2458" s="3" t="s">
        <v>3038</v>
      </c>
      <c r="D2458" s="4">
        <v>844.55</v>
      </c>
      <c r="E2458" s="4">
        <v>227.59</v>
      </c>
      <c r="F2458" s="4">
        <v>196153.46</v>
      </c>
      <c r="G2458" s="4">
        <v>271.84</v>
      </c>
      <c r="H2458" s="4">
        <v>234275.23</v>
      </c>
    </row>
    <row r="2459" s="1" customFormat="1" ht="14" spans="1:8">
      <c r="A2459" s="2">
        <v>9102303</v>
      </c>
      <c r="B2459" s="2" t="s">
        <v>3138</v>
      </c>
      <c r="C2459" s="3" t="s">
        <v>3038</v>
      </c>
      <c r="D2459" s="4">
        <v>858.64</v>
      </c>
      <c r="E2459" s="4">
        <v>371.8</v>
      </c>
      <c r="F2459" s="4">
        <v>322407.25</v>
      </c>
      <c r="G2459" s="4">
        <v>442.89</v>
      </c>
      <c r="H2459" s="4">
        <v>384306.35</v>
      </c>
    </row>
    <row r="2460" s="1" customFormat="1" ht="14" spans="1:8">
      <c r="A2460" s="2">
        <v>9102306</v>
      </c>
      <c r="B2460" s="2" t="s">
        <v>3139</v>
      </c>
      <c r="C2460" s="3" t="s">
        <v>3038</v>
      </c>
      <c r="D2460" s="4">
        <v>313.78</v>
      </c>
      <c r="E2460" s="4">
        <v>626.47</v>
      </c>
      <c r="F2460" s="4">
        <v>196563.71</v>
      </c>
      <c r="G2460" s="4">
        <v>736.27</v>
      </c>
      <c r="H2460" s="4">
        <v>231191.95</v>
      </c>
    </row>
    <row r="2461" s="1" customFormat="1" ht="14" spans="1:8">
      <c r="A2461" s="2">
        <v>9102308</v>
      </c>
      <c r="B2461" s="2" t="s">
        <v>3140</v>
      </c>
      <c r="C2461" s="3" t="s">
        <v>3038</v>
      </c>
      <c r="D2461" s="4">
        <v>927.99</v>
      </c>
      <c r="E2461" s="4">
        <v>891.9</v>
      </c>
      <c r="F2461" s="4">
        <v>827676.1</v>
      </c>
      <c r="G2461" s="4">
        <v>1063.86</v>
      </c>
      <c r="H2461" s="4">
        <v>987815.24</v>
      </c>
    </row>
    <row r="2462" s="1" customFormat="1" ht="14" spans="1:8">
      <c r="A2462" s="2">
        <v>9102311</v>
      </c>
      <c r="B2462" s="2" t="s">
        <v>3141</v>
      </c>
      <c r="C2462" s="3" t="s">
        <v>3038</v>
      </c>
      <c r="D2462" s="4">
        <v>39.66</v>
      </c>
      <c r="E2462" s="4">
        <v>837.25</v>
      </c>
      <c r="F2462" s="4">
        <v>33203.66</v>
      </c>
      <c r="G2462" s="4">
        <v>988.88</v>
      </c>
      <c r="H2462" s="4">
        <v>39217.01</v>
      </c>
    </row>
    <row r="2463" s="1" customFormat="1" ht="14" spans="1:8">
      <c r="A2463" s="2">
        <v>9102313</v>
      </c>
      <c r="B2463" s="2" t="s">
        <v>3142</v>
      </c>
      <c r="C2463" s="3" t="s">
        <v>3038</v>
      </c>
      <c r="D2463" s="4">
        <v>1567.5</v>
      </c>
      <c r="E2463" s="4">
        <v>1207.17</v>
      </c>
      <c r="F2463" s="4">
        <v>1892239</v>
      </c>
      <c r="G2463" s="4">
        <v>1422.3</v>
      </c>
      <c r="H2463" s="4">
        <v>2231385.57</v>
      </c>
    </row>
    <row r="2464" s="1" customFormat="1" ht="14" spans="1:8">
      <c r="A2464" s="2">
        <v>9102322</v>
      </c>
      <c r="B2464" s="2" t="s">
        <v>3143</v>
      </c>
      <c r="C2464" s="3" t="s">
        <v>3038</v>
      </c>
      <c r="D2464" s="4">
        <v>42.42</v>
      </c>
      <c r="E2464" s="4">
        <v>325.86</v>
      </c>
      <c r="F2464" s="4">
        <v>13824.28</v>
      </c>
      <c r="G2464" s="4">
        <v>404.3</v>
      </c>
      <c r="H2464" s="4">
        <v>17152.02</v>
      </c>
    </row>
    <row r="2465" s="1" customFormat="1" ht="14" spans="1:8">
      <c r="A2465" s="2">
        <v>9102331</v>
      </c>
      <c r="B2465" s="2" t="s">
        <v>3144</v>
      </c>
      <c r="C2465" s="3" t="s">
        <v>3038</v>
      </c>
      <c r="D2465" s="4">
        <v>6780.16</v>
      </c>
      <c r="E2465" s="4">
        <v>81.85</v>
      </c>
      <c r="F2465" s="4">
        <v>537466.32</v>
      </c>
      <c r="G2465" s="4">
        <v>100.28</v>
      </c>
      <c r="H2465" s="4">
        <v>658653.42</v>
      </c>
    </row>
    <row r="2466" s="1" customFormat="1" ht="14" spans="1:8">
      <c r="A2466" s="2">
        <v>9102501</v>
      </c>
      <c r="B2466" s="2" t="s">
        <v>3145</v>
      </c>
      <c r="C2466" s="3" t="s">
        <v>3038</v>
      </c>
      <c r="D2466" s="4">
        <v>43.5</v>
      </c>
      <c r="E2466" s="4">
        <v>197.77</v>
      </c>
      <c r="F2466" s="4">
        <v>8445.69</v>
      </c>
      <c r="G2466" s="4">
        <v>242.36</v>
      </c>
      <c r="H2466" s="4">
        <v>10349.41</v>
      </c>
    </row>
    <row r="2467" s="1" customFormat="1" ht="14" spans="1:8">
      <c r="A2467" s="2">
        <v>9102503</v>
      </c>
      <c r="B2467" s="2" t="s">
        <v>3146</v>
      </c>
      <c r="C2467" s="3" t="s">
        <v>3038</v>
      </c>
      <c r="D2467" s="4">
        <v>15</v>
      </c>
      <c r="E2467" s="4">
        <v>357.68</v>
      </c>
      <c r="F2467" s="4">
        <v>5315.7</v>
      </c>
      <c r="G2467" s="4">
        <v>463.68</v>
      </c>
      <c r="H2467" s="4">
        <v>6889.13</v>
      </c>
    </row>
    <row r="2468" s="1" customFormat="1" ht="14" spans="1:8">
      <c r="A2468" s="2">
        <v>9102506</v>
      </c>
      <c r="B2468" s="2" t="s">
        <v>3147</v>
      </c>
      <c r="C2468" s="3" t="s">
        <v>3038</v>
      </c>
      <c r="D2468" s="4">
        <v>134.54</v>
      </c>
      <c r="E2468" s="4">
        <v>398.17</v>
      </c>
      <c r="F2468" s="4">
        <v>53529.86</v>
      </c>
      <c r="G2468" s="4">
        <v>508.02</v>
      </c>
      <c r="H2468" s="4">
        <v>68308.05</v>
      </c>
    </row>
    <row r="2469" s="1" customFormat="1" ht="14" spans="1:8">
      <c r="A2469" s="2">
        <v>9102603</v>
      </c>
      <c r="B2469" s="2" t="s">
        <v>3148</v>
      </c>
      <c r="C2469" s="3" t="s">
        <v>3038</v>
      </c>
      <c r="D2469" s="4">
        <v>0.95</v>
      </c>
      <c r="E2469" s="4">
        <v>15.2</v>
      </c>
      <c r="F2469" s="4">
        <v>14.42</v>
      </c>
      <c r="G2469" s="4">
        <v>21.02</v>
      </c>
      <c r="H2469" s="4">
        <v>20.06</v>
      </c>
    </row>
    <row r="2470" s="1" customFormat="1" ht="14" spans="1:8">
      <c r="A2470" s="2">
        <v>9102604</v>
      </c>
      <c r="B2470" s="2" t="s">
        <v>3149</v>
      </c>
      <c r="C2470" s="3" t="s">
        <v>3038</v>
      </c>
      <c r="D2470" s="4">
        <v>57.93</v>
      </c>
      <c r="E2470" s="4">
        <v>18.46</v>
      </c>
      <c r="F2470" s="4">
        <v>1069.18</v>
      </c>
      <c r="G2470" s="4">
        <v>26.71</v>
      </c>
      <c r="H2470" s="4">
        <v>1531.23</v>
      </c>
    </row>
    <row r="2471" s="1" customFormat="1" ht="14" spans="1:8">
      <c r="A2471" s="2">
        <v>9102605</v>
      </c>
      <c r="B2471" s="2" t="s">
        <v>3150</v>
      </c>
      <c r="C2471" s="3" t="s">
        <v>3038</v>
      </c>
      <c r="D2471" s="4">
        <v>245.02</v>
      </c>
      <c r="E2471" s="4">
        <v>23.67</v>
      </c>
      <c r="F2471" s="4">
        <v>5799.88</v>
      </c>
      <c r="G2471" s="4">
        <v>35.73</v>
      </c>
      <c r="H2471" s="4">
        <v>8771.96</v>
      </c>
    </row>
    <row r="2472" s="1" customFormat="1" ht="14" spans="1:8">
      <c r="A2472" s="2">
        <v>9102611</v>
      </c>
      <c r="B2472" s="2" t="s">
        <v>3151</v>
      </c>
      <c r="C2472" s="3" t="s">
        <v>3038</v>
      </c>
      <c r="D2472" s="4">
        <v>1213.54</v>
      </c>
      <c r="E2472" s="4">
        <v>99.81</v>
      </c>
      <c r="F2472" s="4">
        <v>104600.29</v>
      </c>
      <c r="G2472" s="4">
        <v>137.67</v>
      </c>
      <c r="H2472" s="4">
        <v>130644.59</v>
      </c>
    </row>
    <row r="2473" s="1" customFormat="1" ht="14" spans="1:8">
      <c r="A2473" s="2">
        <v>9102612</v>
      </c>
      <c r="B2473" s="2" t="s">
        <v>3152</v>
      </c>
      <c r="C2473" s="3" t="s">
        <v>3038</v>
      </c>
      <c r="D2473" s="4">
        <v>573.33</v>
      </c>
      <c r="E2473" s="4">
        <v>95.24</v>
      </c>
      <c r="F2473" s="4">
        <v>54760.75</v>
      </c>
      <c r="G2473" s="4">
        <v>121.81</v>
      </c>
      <c r="H2473" s="4">
        <v>70053.65</v>
      </c>
    </row>
    <row r="2474" s="1" customFormat="1" ht="14" spans="1:8">
      <c r="A2474" s="2">
        <v>9102613</v>
      </c>
      <c r="B2474" s="2" t="s">
        <v>3153</v>
      </c>
      <c r="C2474" s="3" t="s">
        <v>3038</v>
      </c>
      <c r="D2474" s="4">
        <v>35074.85</v>
      </c>
      <c r="E2474" s="4">
        <v>104.23</v>
      </c>
      <c r="F2474" s="4">
        <v>3528777.92</v>
      </c>
      <c r="G2474" s="4">
        <v>136.46</v>
      </c>
      <c r="H2474" s="4">
        <v>4633844.17</v>
      </c>
    </row>
    <row r="2475" s="1" customFormat="1" ht="14" spans="1:8">
      <c r="A2475" s="2">
        <v>9102614</v>
      </c>
      <c r="B2475" s="2" t="s">
        <v>3154</v>
      </c>
      <c r="C2475" s="3" t="s">
        <v>3038</v>
      </c>
      <c r="D2475" s="4">
        <v>6924.53</v>
      </c>
      <c r="E2475" s="4">
        <v>112.96</v>
      </c>
      <c r="F2475" s="4">
        <v>798742.04</v>
      </c>
      <c r="G2475" s="4">
        <v>154.16</v>
      </c>
      <c r="H2475" s="4">
        <v>1093902.18</v>
      </c>
    </row>
    <row r="2476" s="1" customFormat="1" ht="14" spans="1:8">
      <c r="A2476" s="2">
        <v>9102621</v>
      </c>
      <c r="B2476" s="2" t="s">
        <v>3155</v>
      </c>
      <c r="C2476" s="3" t="s">
        <v>3038</v>
      </c>
      <c r="D2476" s="4">
        <v>13188.49</v>
      </c>
      <c r="E2476" s="4">
        <v>93.73</v>
      </c>
      <c r="F2476" s="4">
        <v>1242023.51</v>
      </c>
      <c r="G2476" s="4">
        <v>125</v>
      </c>
      <c r="H2476" s="4">
        <v>1660650.15</v>
      </c>
    </row>
    <row r="2477" s="1" customFormat="1" ht="14" spans="1:8">
      <c r="A2477" s="2">
        <v>9102622</v>
      </c>
      <c r="B2477" s="2" t="s">
        <v>3156</v>
      </c>
      <c r="C2477" s="3" t="s">
        <v>3038</v>
      </c>
      <c r="D2477" s="4">
        <v>8591.5</v>
      </c>
      <c r="E2477" s="4">
        <v>104.18</v>
      </c>
      <c r="F2477" s="4">
        <v>900959.64</v>
      </c>
      <c r="G2477" s="4">
        <v>145.37</v>
      </c>
      <c r="H2477" s="4">
        <v>1258390.05</v>
      </c>
    </row>
    <row r="2478" s="1" customFormat="1" ht="14" spans="1:8">
      <c r="A2478" s="2">
        <v>9102623</v>
      </c>
      <c r="B2478" s="2" t="s">
        <v>3157</v>
      </c>
      <c r="C2478" s="3" t="s">
        <v>3038</v>
      </c>
      <c r="D2478" s="4">
        <v>19.3</v>
      </c>
      <c r="E2478" s="4">
        <v>129.75</v>
      </c>
      <c r="F2478" s="4">
        <v>2503.66</v>
      </c>
      <c r="G2478" s="4">
        <v>193.13</v>
      </c>
      <c r="H2478" s="4">
        <v>3726.64</v>
      </c>
    </row>
    <row r="2479" s="1" customFormat="1" ht="14" spans="1:8">
      <c r="A2479" s="2">
        <v>9102632</v>
      </c>
      <c r="B2479" s="2" t="s">
        <v>3158</v>
      </c>
      <c r="C2479" s="3" t="s">
        <v>3038</v>
      </c>
      <c r="D2479" s="4">
        <v>51.6</v>
      </c>
      <c r="E2479" s="4">
        <v>127.79</v>
      </c>
      <c r="F2479" s="4">
        <v>6479.79</v>
      </c>
      <c r="G2479" s="4">
        <v>169.96</v>
      </c>
      <c r="H2479" s="4">
        <v>8653.69</v>
      </c>
    </row>
    <row r="2480" s="1" customFormat="1" ht="14" spans="1:8">
      <c r="A2480" s="2">
        <v>9102633</v>
      </c>
      <c r="B2480" s="2" t="s">
        <v>3159</v>
      </c>
      <c r="C2480" s="3" t="s">
        <v>3038</v>
      </c>
      <c r="D2480" s="4">
        <v>7.96</v>
      </c>
      <c r="E2480" s="4">
        <v>140.5</v>
      </c>
      <c r="F2480" s="4">
        <v>1118.39</v>
      </c>
      <c r="G2480" s="4">
        <v>193.05</v>
      </c>
      <c r="H2480" s="4">
        <v>1538.82</v>
      </c>
    </row>
    <row r="2481" s="1" customFormat="1" ht="14" spans="1:8">
      <c r="A2481" s="2">
        <v>9102646</v>
      </c>
      <c r="B2481" s="2" t="s">
        <v>3160</v>
      </c>
      <c r="C2481" s="3" t="s">
        <v>3038</v>
      </c>
      <c r="D2481" s="4">
        <v>13.44</v>
      </c>
      <c r="E2481" s="4">
        <v>614.08</v>
      </c>
      <c r="F2481" s="4">
        <v>8253.24</v>
      </c>
      <c r="G2481" s="4">
        <v>834.75</v>
      </c>
      <c r="H2481" s="4">
        <v>11219.04</v>
      </c>
    </row>
    <row r="2482" s="1" customFormat="1" ht="14" spans="1:8">
      <c r="A2482" s="2">
        <v>9102661</v>
      </c>
      <c r="B2482" s="2" t="s">
        <v>3161</v>
      </c>
      <c r="C2482" s="3" t="s">
        <v>3038</v>
      </c>
      <c r="D2482" s="4">
        <v>77.76</v>
      </c>
      <c r="E2482" s="4">
        <v>184.31</v>
      </c>
      <c r="F2482" s="4">
        <v>14331.96</v>
      </c>
      <c r="G2482" s="4">
        <v>207.47</v>
      </c>
      <c r="H2482" s="4">
        <v>16112.12</v>
      </c>
    </row>
    <row r="2483" s="1" customFormat="1" ht="14" spans="1:8">
      <c r="A2483" s="2">
        <v>9102671</v>
      </c>
      <c r="B2483" s="2" t="s">
        <v>3162</v>
      </c>
      <c r="C2483" s="3" t="s">
        <v>3038</v>
      </c>
      <c r="D2483" s="4">
        <v>5013.91</v>
      </c>
      <c r="E2483" s="4">
        <v>4.55</v>
      </c>
      <c r="F2483" s="4">
        <v>22813.28</v>
      </c>
      <c r="G2483" s="4">
        <v>4.55</v>
      </c>
      <c r="H2483" s="4">
        <v>22813.28</v>
      </c>
    </row>
    <row r="2484" s="1" customFormat="1" ht="14" spans="1:8">
      <c r="A2484" s="2">
        <v>9102674</v>
      </c>
      <c r="B2484" s="2" t="s">
        <v>3163</v>
      </c>
      <c r="C2484" s="3" t="s">
        <v>3038</v>
      </c>
      <c r="D2484" s="4">
        <v>2200</v>
      </c>
      <c r="E2484" s="4">
        <v>21.34</v>
      </c>
      <c r="F2484" s="4">
        <v>46948</v>
      </c>
      <c r="G2484" s="4">
        <v>21.36</v>
      </c>
      <c r="H2484" s="4">
        <v>46992</v>
      </c>
    </row>
    <row r="2485" s="1" customFormat="1" ht="14" spans="1:8">
      <c r="A2485" s="2">
        <v>9103001</v>
      </c>
      <c r="B2485" s="2" t="s">
        <v>3164</v>
      </c>
      <c r="C2485" s="3" t="s">
        <v>3038</v>
      </c>
      <c r="D2485" s="4">
        <v>210.94</v>
      </c>
      <c r="E2485" s="4">
        <v>261.69</v>
      </c>
      <c r="F2485" s="4">
        <v>55201.68</v>
      </c>
      <c r="G2485" s="4">
        <v>335.44</v>
      </c>
      <c r="H2485" s="4">
        <v>70758.72</v>
      </c>
    </row>
    <row r="2486" s="1" customFormat="1" ht="14" spans="1:8">
      <c r="A2486" s="2">
        <v>9103002</v>
      </c>
      <c r="B2486" s="2" t="s">
        <v>3165</v>
      </c>
      <c r="C2486" s="3" t="s">
        <v>3038</v>
      </c>
      <c r="D2486" s="4">
        <v>198.67</v>
      </c>
      <c r="E2486" s="4">
        <v>314.37</v>
      </c>
      <c r="F2486" s="4">
        <v>62454.63</v>
      </c>
      <c r="G2486" s="4">
        <v>387.57</v>
      </c>
      <c r="H2486" s="4">
        <v>77021.42</v>
      </c>
    </row>
    <row r="2487" s="1" customFormat="1" ht="14" spans="1:8">
      <c r="A2487" s="2">
        <v>9103003</v>
      </c>
      <c r="B2487" s="2" t="s">
        <v>3166</v>
      </c>
      <c r="C2487" s="3" t="s">
        <v>3038</v>
      </c>
      <c r="D2487" s="4">
        <v>2462.78</v>
      </c>
      <c r="E2487" s="4">
        <v>365.31</v>
      </c>
      <c r="F2487" s="4">
        <v>902141.42</v>
      </c>
      <c r="G2487" s="4">
        <v>456.13</v>
      </c>
      <c r="H2487" s="4">
        <v>1126493.6</v>
      </c>
    </row>
    <row r="2488" s="1" customFormat="1" ht="14" spans="1:8">
      <c r="A2488" s="2">
        <v>9103004</v>
      </c>
      <c r="B2488" s="2" t="s">
        <v>3167</v>
      </c>
      <c r="C2488" s="3" t="s">
        <v>3038</v>
      </c>
      <c r="D2488" s="4">
        <v>901.76</v>
      </c>
      <c r="E2488" s="4">
        <v>440.94</v>
      </c>
      <c r="F2488" s="4">
        <v>400173.31</v>
      </c>
      <c r="G2488" s="4">
        <v>557.03</v>
      </c>
      <c r="H2488" s="4">
        <v>505549.7</v>
      </c>
    </row>
    <row r="2489" s="1" customFormat="1" ht="14" spans="1:8">
      <c r="A2489" s="2">
        <v>9103005</v>
      </c>
      <c r="B2489" s="2" t="s">
        <v>3168</v>
      </c>
      <c r="C2489" s="3" t="s">
        <v>3038</v>
      </c>
      <c r="D2489" s="4">
        <v>3476.68</v>
      </c>
      <c r="E2489" s="4">
        <v>497.74</v>
      </c>
      <c r="F2489" s="4">
        <v>1719540.67</v>
      </c>
      <c r="G2489" s="4">
        <v>627.39</v>
      </c>
      <c r="H2489" s="4">
        <v>2168746.49</v>
      </c>
    </row>
    <row r="2490" s="1" customFormat="1" ht="14" spans="1:8">
      <c r="A2490" s="2">
        <v>9103007</v>
      </c>
      <c r="B2490" s="2" t="s">
        <v>3169</v>
      </c>
      <c r="C2490" s="3" t="s">
        <v>3038</v>
      </c>
      <c r="D2490" s="4">
        <v>236.82</v>
      </c>
      <c r="E2490" s="4">
        <v>616.21</v>
      </c>
      <c r="F2490" s="4">
        <v>145715.32</v>
      </c>
      <c r="G2490" s="4">
        <v>772.85</v>
      </c>
      <c r="H2490" s="4">
        <v>182801.6</v>
      </c>
    </row>
    <row r="2491" s="1" customFormat="1" ht="14" spans="1:8">
      <c r="A2491" s="2">
        <v>9103102</v>
      </c>
      <c r="B2491" s="2" t="s">
        <v>3170</v>
      </c>
      <c r="C2491" s="3" t="s">
        <v>3038</v>
      </c>
      <c r="D2491" s="4">
        <v>9589.78</v>
      </c>
      <c r="E2491" s="4">
        <v>355.29</v>
      </c>
      <c r="F2491" s="4">
        <v>3401169.55</v>
      </c>
      <c r="G2491" s="4">
        <v>456.1</v>
      </c>
      <c r="H2491" s="4">
        <v>4367257.93</v>
      </c>
    </row>
    <row r="2492" s="1" customFormat="1" ht="14" spans="1:8">
      <c r="A2492" s="2">
        <v>9103103</v>
      </c>
      <c r="B2492" s="2" t="s">
        <v>3171</v>
      </c>
      <c r="C2492" s="3" t="s">
        <v>3038</v>
      </c>
      <c r="D2492" s="4">
        <v>6723.07</v>
      </c>
      <c r="E2492" s="4">
        <v>407.66</v>
      </c>
      <c r="F2492" s="4">
        <v>2744561.71</v>
      </c>
      <c r="G2492" s="4">
        <v>523.69</v>
      </c>
      <c r="H2492" s="4">
        <v>3529935.64</v>
      </c>
    </row>
    <row r="2493" s="1" customFormat="1" ht="14" spans="1:8">
      <c r="A2493" s="2">
        <v>9103104</v>
      </c>
      <c r="B2493" s="2" t="s">
        <v>3172</v>
      </c>
      <c r="C2493" s="3" t="s">
        <v>3038</v>
      </c>
      <c r="D2493" s="4">
        <v>2130.91</v>
      </c>
      <c r="E2493" s="4">
        <v>488.7</v>
      </c>
      <c r="F2493" s="4">
        <v>1041172.36</v>
      </c>
      <c r="G2493" s="4">
        <v>637.09</v>
      </c>
      <c r="H2493" s="4">
        <v>1357127.2</v>
      </c>
    </row>
    <row r="2494" s="1" customFormat="1" ht="14" spans="1:8">
      <c r="A2494" s="2">
        <v>9103105</v>
      </c>
      <c r="B2494" s="2" t="s">
        <v>3173</v>
      </c>
      <c r="C2494" s="3" t="s">
        <v>3038</v>
      </c>
      <c r="D2494" s="4">
        <v>12634.15</v>
      </c>
      <c r="E2494" s="4">
        <v>550.1</v>
      </c>
      <c r="F2494" s="4">
        <v>6953962.63</v>
      </c>
      <c r="G2494" s="4">
        <v>696.77</v>
      </c>
      <c r="H2494" s="4">
        <v>8812411.47</v>
      </c>
    </row>
    <row r="2495" s="1" customFormat="1" ht="14" spans="1:8">
      <c r="A2495" s="2">
        <v>9103106</v>
      </c>
      <c r="B2495" s="2" t="s">
        <v>3174</v>
      </c>
      <c r="C2495" s="3" t="s">
        <v>3038</v>
      </c>
      <c r="D2495" s="4">
        <v>2819.26</v>
      </c>
      <c r="E2495" s="4">
        <v>640.97</v>
      </c>
      <c r="F2495" s="4">
        <v>1807064.28</v>
      </c>
      <c r="G2495" s="4">
        <v>809.28</v>
      </c>
      <c r="H2495" s="4">
        <v>2282676.6</v>
      </c>
    </row>
    <row r="2496" s="1" customFormat="1" ht="14" spans="1:8">
      <c r="A2496" s="2">
        <v>9103107</v>
      </c>
      <c r="B2496" s="2" t="s">
        <v>3175</v>
      </c>
      <c r="C2496" s="3" t="s">
        <v>3038</v>
      </c>
      <c r="D2496" s="4">
        <v>12850.49</v>
      </c>
      <c r="E2496" s="4">
        <v>689.88</v>
      </c>
      <c r="F2496" s="4">
        <v>8882286.15</v>
      </c>
      <c r="G2496" s="4">
        <v>871.62</v>
      </c>
      <c r="H2496" s="4">
        <v>11221412.17</v>
      </c>
    </row>
    <row r="2497" s="1" customFormat="1" ht="14" spans="1:8">
      <c r="A2497" s="2">
        <v>9103108</v>
      </c>
      <c r="B2497" s="2" t="s">
        <v>3176</v>
      </c>
      <c r="C2497" s="3" t="s">
        <v>3038</v>
      </c>
      <c r="D2497" s="4">
        <v>245732.21</v>
      </c>
      <c r="E2497" s="4">
        <v>795.84</v>
      </c>
      <c r="F2497" s="4">
        <v>195597896.01</v>
      </c>
      <c r="G2497" s="4">
        <v>1007.27</v>
      </c>
      <c r="H2497" s="4">
        <v>247633830.24</v>
      </c>
    </row>
    <row r="2498" s="1" customFormat="1" ht="14" spans="1:8">
      <c r="A2498" s="2">
        <v>9103109</v>
      </c>
      <c r="B2498" s="2" t="s">
        <v>3177</v>
      </c>
      <c r="C2498" s="3" t="s">
        <v>3038</v>
      </c>
      <c r="D2498" s="4">
        <v>34.4</v>
      </c>
      <c r="E2498" s="4">
        <v>576.33</v>
      </c>
      <c r="F2498" s="4">
        <v>19826.34</v>
      </c>
      <c r="G2498" s="4">
        <v>723.05</v>
      </c>
      <c r="H2498" s="4">
        <v>24876.61</v>
      </c>
    </row>
    <row r="2499" s="1" customFormat="1" ht="14" spans="1:8">
      <c r="A2499" s="2">
        <v>9103201</v>
      </c>
      <c r="B2499" s="2" t="s">
        <v>3178</v>
      </c>
      <c r="C2499" s="3" t="s">
        <v>3038</v>
      </c>
      <c r="D2499" s="4">
        <v>2021.68</v>
      </c>
      <c r="E2499" s="4">
        <v>377.82</v>
      </c>
      <c r="F2499" s="4">
        <v>765759.61</v>
      </c>
      <c r="G2499" s="4">
        <v>468.68</v>
      </c>
      <c r="H2499" s="4">
        <v>949992.83</v>
      </c>
    </row>
    <row r="2500" s="1" customFormat="1" ht="14" spans="1:8">
      <c r="A2500" s="2">
        <v>9103202</v>
      </c>
      <c r="B2500" s="2" t="s">
        <v>3179</v>
      </c>
      <c r="C2500" s="3" t="s">
        <v>3038</v>
      </c>
      <c r="D2500" s="4">
        <v>1962.76</v>
      </c>
      <c r="E2500" s="4">
        <v>436.31</v>
      </c>
      <c r="F2500" s="4">
        <v>856438.44</v>
      </c>
      <c r="G2500" s="4">
        <v>541.7</v>
      </c>
      <c r="H2500" s="4">
        <v>1063388.56</v>
      </c>
    </row>
    <row r="2501" s="1" customFormat="1" ht="14" spans="1:8">
      <c r="A2501" s="2">
        <v>9103211</v>
      </c>
      <c r="B2501" s="2" t="s">
        <v>3180</v>
      </c>
      <c r="C2501" s="3" t="s">
        <v>3038</v>
      </c>
      <c r="D2501" s="4">
        <v>108.09</v>
      </c>
      <c r="E2501" s="4">
        <v>712.44</v>
      </c>
      <c r="F2501" s="4">
        <v>76617.44</v>
      </c>
      <c r="G2501" s="4">
        <v>880.13</v>
      </c>
      <c r="H2501" s="4">
        <v>94688.54</v>
      </c>
    </row>
    <row r="2502" s="1" customFormat="1" ht="14" spans="1:8">
      <c r="A2502" s="2">
        <v>9103212</v>
      </c>
      <c r="B2502" s="2" t="s">
        <v>3181</v>
      </c>
      <c r="C2502" s="3" t="s">
        <v>3038</v>
      </c>
      <c r="D2502" s="4">
        <v>125.86</v>
      </c>
      <c r="E2502" s="4">
        <v>791.06</v>
      </c>
      <c r="F2502" s="4">
        <v>99809.36</v>
      </c>
      <c r="G2502" s="4">
        <v>973.02</v>
      </c>
      <c r="H2502" s="4">
        <v>122745.71</v>
      </c>
    </row>
    <row r="2503" s="1" customFormat="1" ht="14" spans="1:8">
      <c r="A2503" s="2">
        <v>9103221</v>
      </c>
      <c r="B2503" s="2" t="s">
        <v>3182</v>
      </c>
      <c r="C2503" s="3" t="s">
        <v>3038</v>
      </c>
      <c r="D2503" s="4">
        <v>2222.64</v>
      </c>
      <c r="E2503" s="4">
        <v>133.49</v>
      </c>
      <c r="F2503" s="4">
        <v>300719.81</v>
      </c>
      <c r="G2503" s="4">
        <v>159.71</v>
      </c>
      <c r="H2503" s="4">
        <v>359675.04</v>
      </c>
    </row>
    <row r="2504" s="1" customFormat="1" ht="14" spans="1:8">
      <c r="A2504" s="2">
        <v>9103302</v>
      </c>
      <c r="B2504" s="2" t="s">
        <v>3183</v>
      </c>
      <c r="C2504" s="3" t="s">
        <v>3038</v>
      </c>
      <c r="D2504" s="4">
        <v>7306.29</v>
      </c>
      <c r="E2504" s="4">
        <v>842.03</v>
      </c>
      <c r="F2504" s="4">
        <v>6211554.13</v>
      </c>
      <c r="G2504" s="4">
        <v>1049.86</v>
      </c>
      <c r="H2504" s="4">
        <v>7803077.87</v>
      </c>
    </row>
    <row r="2505" s="1" customFormat="1" ht="14" spans="1:8">
      <c r="A2505" s="2">
        <v>9103303</v>
      </c>
      <c r="B2505" s="2" t="s">
        <v>3184</v>
      </c>
      <c r="C2505" s="3" t="s">
        <v>3038</v>
      </c>
      <c r="D2505" s="4">
        <v>50.22</v>
      </c>
      <c r="E2505" s="4">
        <v>969.63</v>
      </c>
      <c r="F2505" s="4">
        <v>48690.93</v>
      </c>
      <c r="G2505" s="4">
        <v>1205.91</v>
      </c>
      <c r="H2505" s="4">
        <v>60555.98</v>
      </c>
    </row>
    <row r="2506" s="1" customFormat="1" ht="14" spans="1:8">
      <c r="A2506" s="2">
        <v>9103306</v>
      </c>
      <c r="B2506" s="2" t="s">
        <v>3185</v>
      </c>
      <c r="C2506" s="3" t="s">
        <v>3038</v>
      </c>
      <c r="D2506" s="4">
        <v>21466.37</v>
      </c>
      <c r="E2506" s="4">
        <v>1129.36</v>
      </c>
      <c r="F2506" s="4">
        <v>24272097.04</v>
      </c>
      <c r="G2506" s="4">
        <v>1397.56</v>
      </c>
      <c r="H2506" s="4">
        <v>30045156.81</v>
      </c>
    </row>
    <row r="2507" s="1" customFormat="1" ht="14" spans="1:8">
      <c r="A2507" s="2">
        <v>9103321</v>
      </c>
      <c r="B2507" s="2" t="s">
        <v>3186</v>
      </c>
      <c r="C2507" s="3" t="s">
        <v>3038</v>
      </c>
      <c r="D2507" s="4">
        <v>1820.62</v>
      </c>
      <c r="E2507" s="4">
        <v>371.85</v>
      </c>
      <c r="F2507" s="4">
        <v>676480.81</v>
      </c>
      <c r="G2507" s="4">
        <v>463.64</v>
      </c>
      <c r="H2507" s="4">
        <v>843475.66</v>
      </c>
    </row>
    <row r="2508" s="1" customFormat="1" ht="14" spans="1:8">
      <c r="A2508" s="2">
        <v>9103325</v>
      </c>
      <c r="B2508" s="2" t="s">
        <v>3187</v>
      </c>
      <c r="C2508" s="3" t="s">
        <v>3038</v>
      </c>
      <c r="D2508" s="4">
        <v>39.81</v>
      </c>
      <c r="E2508" s="4">
        <v>950.72</v>
      </c>
      <c r="F2508" s="4">
        <v>37848.16</v>
      </c>
      <c r="G2508" s="4">
        <v>1207.7</v>
      </c>
      <c r="H2508" s="4">
        <v>48084.99</v>
      </c>
    </row>
    <row r="2509" s="1" customFormat="1" ht="14" spans="1:8">
      <c r="A2509" s="2">
        <v>9103411</v>
      </c>
      <c r="B2509" s="2" t="s">
        <v>3188</v>
      </c>
      <c r="C2509" s="3" t="s">
        <v>3038</v>
      </c>
      <c r="D2509" s="4">
        <v>262.2</v>
      </c>
      <c r="E2509" s="4">
        <v>3745.84</v>
      </c>
      <c r="F2509" s="4">
        <v>980231.14</v>
      </c>
      <c r="G2509" s="4">
        <v>4645.37</v>
      </c>
      <c r="H2509" s="4">
        <v>1216214.37</v>
      </c>
    </row>
    <row r="2510" s="1" customFormat="1" ht="14" spans="1:8">
      <c r="A2510" s="2">
        <v>9103421</v>
      </c>
      <c r="B2510" s="2" t="s">
        <v>3189</v>
      </c>
      <c r="C2510" s="3" t="s">
        <v>3038</v>
      </c>
      <c r="D2510" s="4">
        <v>126.77</v>
      </c>
      <c r="E2510" s="4">
        <v>2643.65</v>
      </c>
      <c r="F2510" s="4">
        <v>335135.51</v>
      </c>
      <c r="G2510" s="4">
        <v>2670.36</v>
      </c>
      <c r="H2510" s="4">
        <v>338521.54</v>
      </c>
    </row>
    <row r="2511" s="1" customFormat="1" ht="14" spans="1:8">
      <c r="A2511" s="2">
        <v>9103505</v>
      </c>
      <c r="B2511" s="2" t="s">
        <v>3190</v>
      </c>
      <c r="C2511" s="3" t="s">
        <v>3038</v>
      </c>
      <c r="D2511" s="4">
        <v>2490.28</v>
      </c>
      <c r="E2511" s="4">
        <v>1381.15</v>
      </c>
      <c r="F2511" s="4">
        <v>3446963.19</v>
      </c>
      <c r="G2511" s="4">
        <v>1742.9</v>
      </c>
      <c r="H2511" s="4">
        <v>4350832.69</v>
      </c>
    </row>
    <row r="2512" s="1" customFormat="1" ht="14" spans="1:8">
      <c r="A2512" s="2">
        <v>9103511</v>
      </c>
      <c r="B2512" s="2" t="s">
        <v>3191</v>
      </c>
      <c r="C2512" s="3" t="s">
        <v>3038</v>
      </c>
      <c r="D2512" s="4">
        <v>3345.94</v>
      </c>
      <c r="E2512" s="4">
        <v>14.46</v>
      </c>
      <c r="F2512" s="4">
        <v>48382.33</v>
      </c>
      <c r="G2512" s="4">
        <v>14.49</v>
      </c>
      <c r="H2512" s="4">
        <v>48482.7</v>
      </c>
    </row>
    <row r="2513" s="1" customFormat="1" ht="14" spans="1:8">
      <c r="A2513" s="2">
        <v>9103512</v>
      </c>
      <c r="B2513" s="2" t="s">
        <v>3192</v>
      </c>
      <c r="C2513" s="3" t="s">
        <v>3038</v>
      </c>
      <c r="D2513" s="4">
        <v>167.67</v>
      </c>
      <c r="E2513" s="4">
        <v>39.16</v>
      </c>
      <c r="F2513" s="4">
        <v>6566.45</v>
      </c>
      <c r="G2513" s="4">
        <v>39.26</v>
      </c>
      <c r="H2513" s="4">
        <v>6582.8</v>
      </c>
    </row>
    <row r="2514" s="1" customFormat="1" ht="14" spans="1:8">
      <c r="A2514" s="2">
        <v>9103514</v>
      </c>
      <c r="B2514" s="2" t="s">
        <v>3193</v>
      </c>
      <c r="C2514" s="3" t="s">
        <v>3038</v>
      </c>
      <c r="D2514" s="4">
        <v>5181.96</v>
      </c>
      <c r="E2514" s="4">
        <v>141.77</v>
      </c>
      <c r="F2514" s="4">
        <v>734647.77</v>
      </c>
      <c r="G2514" s="4">
        <v>142.05</v>
      </c>
      <c r="H2514" s="4">
        <v>736098.77</v>
      </c>
    </row>
    <row r="2515" s="1" customFormat="1" ht="14" spans="1:8">
      <c r="A2515" s="2">
        <v>9103651</v>
      </c>
      <c r="B2515" s="2" t="s">
        <v>3194</v>
      </c>
      <c r="C2515" s="3" t="s">
        <v>3038</v>
      </c>
      <c r="D2515" s="4">
        <v>753.11</v>
      </c>
      <c r="E2515" s="4">
        <v>1757.1</v>
      </c>
      <c r="F2515" s="4">
        <v>1331123.89</v>
      </c>
      <c r="G2515" s="4">
        <v>1871.68</v>
      </c>
      <c r="H2515" s="4">
        <v>1419004.47</v>
      </c>
    </row>
    <row r="2516" s="1" customFormat="1" ht="14" spans="1:8">
      <c r="A2516" s="2">
        <v>9103701</v>
      </c>
      <c r="B2516" s="2" t="s">
        <v>3195</v>
      </c>
      <c r="C2516" s="3" t="s">
        <v>3038</v>
      </c>
      <c r="D2516" s="4">
        <v>852.77</v>
      </c>
      <c r="E2516" s="4">
        <v>112.9</v>
      </c>
      <c r="F2516" s="4">
        <v>96277.74</v>
      </c>
      <c r="G2516" s="4">
        <v>131.79</v>
      </c>
      <c r="H2516" s="4">
        <v>112386.55</v>
      </c>
    </row>
    <row r="2517" s="1" customFormat="1" ht="14" spans="1:8">
      <c r="A2517" s="2">
        <v>9103702</v>
      </c>
      <c r="B2517" s="2" t="s">
        <v>3196</v>
      </c>
      <c r="C2517" s="3" t="s">
        <v>3038</v>
      </c>
      <c r="D2517" s="4">
        <v>39.76</v>
      </c>
      <c r="E2517" s="4">
        <v>128.87</v>
      </c>
      <c r="F2517" s="4">
        <v>5158.84</v>
      </c>
      <c r="G2517" s="4">
        <v>154.52</v>
      </c>
      <c r="H2517" s="4">
        <v>6184.98</v>
      </c>
    </row>
    <row r="2518" s="1" customFormat="1" ht="14" spans="1:8">
      <c r="A2518" s="2">
        <v>9103703</v>
      </c>
      <c r="B2518" s="2" t="s">
        <v>3197</v>
      </c>
      <c r="C2518" s="3" t="s">
        <v>3038</v>
      </c>
      <c r="D2518" s="4">
        <v>1705.18</v>
      </c>
      <c r="E2518" s="4">
        <v>144.89</v>
      </c>
      <c r="F2518" s="4">
        <v>247063.38</v>
      </c>
      <c r="G2518" s="4">
        <v>177.02</v>
      </c>
      <c r="H2518" s="4">
        <v>301850.78</v>
      </c>
    </row>
    <row r="2519" s="1" customFormat="1" ht="14" spans="1:8">
      <c r="A2519" s="2">
        <v>9103802</v>
      </c>
      <c r="B2519" s="2" t="s">
        <v>3198</v>
      </c>
      <c r="C2519" s="3" t="s">
        <v>3038</v>
      </c>
      <c r="D2519" s="4">
        <v>7.48</v>
      </c>
      <c r="E2519" s="4">
        <v>1777.57</v>
      </c>
      <c r="F2519" s="4">
        <v>13299.79</v>
      </c>
      <c r="G2519" s="4">
        <v>2229.58</v>
      </c>
      <c r="H2519" s="4">
        <v>16681.72</v>
      </c>
    </row>
    <row r="2520" s="1" customFormat="1" ht="14" spans="1:8">
      <c r="A2520" s="2">
        <v>9103805</v>
      </c>
      <c r="B2520" s="2" t="s">
        <v>3199</v>
      </c>
      <c r="C2520" s="3" t="s">
        <v>3038</v>
      </c>
      <c r="D2520" s="4">
        <v>218.83</v>
      </c>
      <c r="E2520" s="4">
        <v>3400.44</v>
      </c>
      <c r="F2520" s="4">
        <v>744114.88</v>
      </c>
      <c r="G2520" s="4">
        <v>4028.75</v>
      </c>
      <c r="H2520" s="4">
        <v>881607.33</v>
      </c>
    </row>
    <row r="2521" s="1" customFormat="1" ht="14" spans="1:8">
      <c r="A2521" s="2">
        <v>9103822</v>
      </c>
      <c r="B2521" s="2" t="s">
        <v>3200</v>
      </c>
      <c r="C2521" s="3" t="s">
        <v>3038</v>
      </c>
      <c r="D2521" s="4">
        <v>17.64</v>
      </c>
      <c r="E2521" s="4">
        <v>295.17</v>
      </c>
      <c r="F2521" s="4">
        <v>5206.79</v>
      </c>
      <c r="G2521" s="4">
        <v>328.27</v>
      </c>
      <c r="H2521" s="4">
        <v>5790.68</v>
      </c>
    </row>
    <row r="2522" s="1" customFormat="1" ht="14" spans="1:8">
      <c r="A2522" s="2">
        <v>9103825</v>
      </c>
      <c r="B2522" s="2" t="s">
        <v>3201</v>
      </c>
      <c r="C2522" s="3" t="s">
        <v>3038</v>
      </c>
      <c r="D2522" s="4">
        <v>252.76</v>
      </c>
      <c r="E2522" s="4">
        <v>465.92</v>
      </c>
      <c r="F2522" s="4">
        <v>117767.33</v>
      </c>
      <c r="G2522" s="4">
        <v>499.3</v>
      </c>
      <c r="H2522" s="4">
        <v>126204.57</v>
      </c>
    </row>
    <row r="2523" s="1" customFormat="1" ht="14" spans="1:8">
      <c r="A2523" s="2">
        <v>9104001</v>
      </c>
      <c r="B2523" s="2" t="s">
        <v>3202</v>
      </c>
      <c r="C2523" s="3" t="s">
        <v>3038</v>
      </c>
      <c r="D2523" s="4">
        <v>1887.82</v>
      </c>
      <c r="E2523" s="4">
        <v>105.2</v>
      </c>
      <c r="F2523" s="4">
        <v>202180.82</v>
      </c>
      <c r="G2523" s="4">
        <v>123.93</v>
      </c>
      <c r="H2523" s="4">
        <v>238596.66</v>
      </c>
    </row>
    <row r="2524" s="1" customFormat="1" ht="14" spans="1:8">
      <c r="A2524" s="2">
        <v>9104002</v>
      </c>
      <c r="B2524" s="2" t="s">
        <v>3203</v>
      </c>
      <c r="C2524" s="3" t="s">
        <v>3038</v>
      </c>
      <c r="D2524" s="4">
        <v>5647.51</v>
      </c>
      <c r="E2524" s="4">
        <v>111.34</v>
      </c>
      <c r="F2524" s="4">
        <v>632852.84</v>
      </c>
      <c r="G2524" s="4">
        <v>133.33</v>
      </c>
      <c r="H2524" s="4">
        <v>758415.29</v>
      </c>
    </row>
    <row r="2525" s="1" customFormat="1" ht="14" spans="1:8">
      <c r="A2525" s="2">
        <v>9104003</v>
      </c>
      <c r="B2525" s="2" t="s">
        <v>3204</v>
      </c>
      <c r="C2525" s="3" t="s">
        <v>3038</v>
      </c>
      <c r="D2525" s="4">
        <v>255.29</v>
      </c>
      <c r="E2525" s="4">
        <v>149.72</v>
      </c>
      <c r="F2525" s="4">
        <v>37784.93</v>
      </c>
      <c r="G2525" s="4">
        <v>184.64</v>
      </c>
      <c r="H2525" s="4">
        <v>46680.96</v>
      </c>
    </row>
    <row r="2526" s="1" customFormat="1" ht="14" spans="1:8">
      <c r="A2526" s="2">
        <v>9104015</v>
      </c>
      <c r="B2526" s="2" t="s">
        <v>3205</v>
      </c>
      <c r="C2526" s="3" t="s">
        <v>3038</v>
      </c>
      <c r="D2526" s="4">
        <v>1.96</v>
      </c>
      <c r="E2526" s="4">
        <v>1149.88</v>
      </c>
      <c r="F2526" s="4">
        <v>2253.76</v>
      </c>
      <c r="G2526" s="4">
        <v>1448.54</v>
      </c>
      <c r="H2526" s="4">
        <v>2839.14</v>
      </c>
    </row>
    <row r="2527" s="1" customFormat="1" ht="14" spans="1:8">
      <c r="A2527" s="2">
        <v>9104016</v>
      </c>
      <c r="B2527" s="2" t="s">
        <v>3206</v>
      </c>
      <c r="C2527" s="3" t="s">
        <v>3038</v>
      </c>
      <c r="D2527" s="4">
        <v>611.08</v>
      </c>
      <c r="E2527" s="4">
        <v>1411.42</v>
      </c>
      <c r="F2527" s="4">
        <v>881277.34</v>
      </c>
      <c r="G2527" s="4">
        <v>1784.49</v>
      </c>
      <c r="H2527" s="4">
        <v>1139345.54</v>
      </c>
    </row>
    <row r="2528" s="1" customFormat="1" ht="14" spans="1:8">
      <c r="A2528" s="2">
        <v>9104019</v>
      </c>
      <c r="B2528" s="2" t="s">
        <v>3207</v>
      </c>
      <c r="C2528" s="3" t="s">
        <v>3038</v>
      </c>
      <c r="D2528" s="4">
        <v>0.01</v>
      </c>
      <c r="E2528" s="4">
        <v>1862.16</v>
      </c>
      <c r="F2528" s="4">
        <v>20.48</v>
      </c>
      <c r="G2528" s="4">
        <v>2409.31</v>
      </c>
      <c r="H2528" s="4">
        <v>26.52</v>
      </c>
    </row>
    <row r="2529" s="1" customFormat="1" ht="14" spans="1:8">
      <c r="A2529" s="2">
        <v>9104020</v>
      </c>
      <c r="B2529" s="2" t="s">
        <v>3208</v>
      </c>
      <c r="C2529" s="3" t="s">
        <v>3038</v>
      </c>
      <c r="D2529" s="4">
        <v>4732.79</v>
      </c>
      <c r="E2529" s="4">
        <v>2051.95</v>
      </c>
      <c r="F2529" s="4">
        <v>9738192.35</v>
      </c>
      <c r="G2529" s="4">
        <v>2651.41</v>
      </c>
      <c r="H2529" s="4">
        <v>12604184.83</v>
      </c>
    </row>
    <row r="2530" s="1" customFormat="1" ht="14" spans="1:8">
      <c r="A2530" s="2">
        <v>9104061</v>
      </c>
      <c r="B2530" s="2" t="s">
        <v>3209</v>
      </c>
      <c r="C2530" s="3" t="s">
        <v>3038</v>
      </c>
      <c r="D2530" s="4">
        <v>7584.85</v>
      </c>
      <c r="E2530" s="4">
        <v>8.45</v>
      </c>
      <c r="F2530" s="4">
        <v>64092.04</v>
      </c>
      <c r="G2530" s="4">
        <v>11.42</v>
      </c>
      <c r="H2530" s="4">
        <v>86777.63</v>
      </c>
    </row>
    <row r="2531" s="1" customFormat="1" ht="14" spans="1:8">
      <c r="A2531" s="2">
        <v>9104063</v>
      </c>
      <c r="B2531" s="2" t="s">
        <v>3210</v>
      </c>
      <c r="C2531" s="3" t="s">
        <v>3038</v>
      </c>
      <c r="D2531" s="4">
        <v>5223.64</v>
      </c>
      <c r="E2531" s="4">
        <v>5.31</v>
      </c>
      <c r="F2531" s="4">
        <v>27737.55</v>
      </c>
      <c r="G2531" s="4">
        <v>9.02</v>
      </c>
      <c r="H2531" s="4">
        <v>47222.16</v>
      </c>
    </row>
    <row r="2532" s="1" customFormat="1" ht="14" spans="1:8">
      <c r="A2532" s="2">
        <v>9104065</v>
      </c>
      <c r="B2532" s="2" t="s">
        <v>3211</v>
      </c>
      <c r="C2532" s="3" t="s">
        <v>3038</v>
      </c>
      <c r="D2532" s="4">
        <v>299.29</v>
      </c>
      <c r="E2532" s="4">
        <v>5.66</v>
      </c>
      <c r="F2532" s="4">
        <v>1693.99</v>
      </c>
      <c r="G2532" s="4">
        <v>9.38</v>
      </c>
      <c r="H2532" s="4">
        <v>2843.71</v>
      </c>
    </row>
    <row r="2533" s="1" customFormat="1" ht="14" spans="1:8">
      <c r="A2533" s="2">
        <v>9104067</v>
      </c>
      <c r="B2533" s="2" t="s">
        <v>3212</v>
      </c>
      <c r="C2533" s="3" t="s">
        <v>3038</v>
      </c>
      <c r="D2533" s="4">
        <v>1.64</v>
      </c>
      <c r="E2533" s="4">
        <v>5.43</v>
      </c>
      <c r="F2533" s="4">
        <v>8.83</v>
      </c>
      <c r="G2533" s="4">
        <v>9.29</v>
      </c>
      <c r="H2533" s="4">
        <v>14.89</v>
      </c>
    </row>
    <row r="2534" s="1" customFormat="1" ht="14" spans="1:8">
      <c r="A2534" s="2">
        <v>9104071</v>
      </c>
      <c r="B2534" s="2" t="s">
        <v>3213</v>
      </c>
      <c r="C2534" s="3" t="s">
        <v>3038</v>
      </c>
      <c r="D2534" s="4">
        <v>55.01</v>
      </c>
      <c r="E2534" s="4">
        <v>147.74</v>
      </c>
      <c r="F2534" s="4">
        <v>8124.23</v>
      </c>
      <c r="G2534" s="4">
        <v>217.04</v>
      </c>
      <c r="H2534" s="4">
        <v>11951.53</v>
      </c>
    </row>
    <row r="2535" s="1" customFormat="1" ht="14" spans="1:8">
      <c r="A2535" s="2">
        <v>9104112</v>
      </c>
      <c r="B2535" s="2" t="s">
        <v>3214</v>
      </c>
      <c r="C2535" s="3" t="s">
        <v>3038</v>
      </c>
      <c r="D2535" s="4">
        <v>419.32</v>
      </c>
      <c r="E2535" s="4">
        <v>4318.67</v>
      </c>
      <c r="F2535" s="4">
        <v>1810891.74</v>
      </c>
      <c r="G2535" s="4">
        <v>4812.33</v>
      </c>
      <c r="H2535" s="4">
        <v>2017891.78</v>
      </c>
    </row>
    <row r="2536" s="1" customFormat="1" ht="14" spans="1:8">
      <c r="A2536" s="2">
        <v>9104121</v>
      </c>
      <c r="B2536" s="2" t="s">
        <v>3215</v>
      </c>
      <c r="C2536" s="3" t="s">
        <v>3038</v>
      </c>
      <c r="D2536" s="4">
        <v>1593.69</v>
      </c>
      <c r="E2536" s="4">
        <v>170.5</v>
      </c>
      <c r="F2536" s="4">
        <v>266586.92</v>
      </c>
      <c r="G2536" s="4">
        <v>202.73</v>
      </c>
      <c r="H2536" s="4">
        <v>318002.94</v>
      </c>
    </row>
    <row r="2537" s="1" customFormat="1" ht="14" spans="1:8">
      <c r="A2537" s="2">
        <v>9104131</v>
      </c>
      <c r="B2537" s="2" t="s">
        <v>3216</v>
      </c>
      <c r="C2537" s="3" t="s">
        <v>3038</v>
      </c>
      <c r="D2537" s="4">
        <v>440.68</v>
      </c>
      <c r="E2537" s="4">
        <v>131.15</v>
      </c>
      <c r="F2537" s="4">
        <v>57794.66</v>
      </c>
      <c r="G2537" s="4">
        <v>175.3</v>
      </c>
      <c r="H2537" s="4">
        <v>77370.31</v>
      </c>
    </row>
    <row r="2538" s="1" customFormat="1" ht="14" spans="1:8">
      <c r="A2538" s="2">
        <v>9104141</v>
      </c>
      <c r="B2538" s="2" t="s">
        <v>3217</v>
      </c>
      <c r="C2538" s="3" t="s">
        <v>3038</v>
      </c>
      <c r="D2538" s="4">
        <v>235.91</v>
      </c>
      <c r="E2538" s="4">
        <v>322.23</v>
      </c>
      <c r="F2538" s="4">
        <v>76016.96</v>
      </c>
      <c r="G2538" s="4">
        <v>389.99</v>
      </c>
      <c r="H2538" s="4">
        <v>92204.61</v>
      </c>
    </row>
    <row r="2539" s="1" customFormat="1" ht="14" spans="1:8">
      <c r="A2539" s="2">
        <v>9104146</v>
      </c>
      <c r="B2539" s="2" t="s">
        <v>3218</v>
      </c>
      <c r="C2539" s="3" t="s">
        <v>3038</v>
      </c>
      <c r="D2539" s="4">
        <v>27.38</v>
      </c>
      <c r="E2539" s="4">
        <v>216.59</v>
      </c>
      <c r="F2539" s="4">
        <v>5930.24</v>
      </c>
      <c r="G2539" s="4">
        <v>290.69</v>
      </c>
      <c r="H2539" s="4">
        <v>7959.1</v>
      </c>
    </row>
    <row r="2540" s="1" customFormat="1" ht="14" spans="1:8">
      <c r="A2540" s="2">
        <v>9104151</v>
      </c>
      <c r="B2540" s="2" t="s">
        <v>3219</v>
      </c>
      <c r="C2540" s="3" t="s">
        <v>3038</v>
      </c>
      <c r="D2540" s="4">
        <v>85.9</v>
      </c>
      <c r="E2540" s="4">
        <v>77.62</v>
      </c>
      <c r="F2540" s="4">
        <v>7297.7</v>
      </c>
      <c r="G2540" s="4">
        <v>88.62</v>
      </c>
      <c r="H2540" s="4">
        <v>9304.08</v>
      </c>
    </row>
    <row r="2541" s="1" customFormat="1" ht="14" spans="1:8">
      <c r="A2541" s="2">
        <v>9104152</v>
      </c>
      <c r="B2541" s="2" t="s">
        <v>3220</v>
      </c>
      <c r="C2541" s="3" t="s">
        <v>3038</v>
      </c>
      <c r="D2541" s="4">
        <v>6499.5</v>
      </c>
      <c r="E2541" s="4">
        <v>87.66</v>
      </c>
      <c r="F2541" s="4">
        <v>576385.91</v>
      </c>
      <c r="G2541" s="4">
        <v>107.18</v>
      </c>
      <c r="H2541" s="4">
        <v>733777.8</v>
      </c>
    </row>
    <row r="2542" s="1" customFormat="1" ht="14" spans="1:8">
      <c r="A2542" s="2">
        <v>9104203</v>
      </c>
      <c r="B2542" s="2" t="s">
        <v>3221</v>
      </c>
      <c r="C2542" s="3" t="s">
        <v>3038</v>
      </c>
      <c r="D2542" s="4">
        <v>530.58</v>
      </c>
      <c r="E2542" s="4">
        <v>471.04</v>
      </c>
      <c r="F2542" s="4">
        <v>250067.56</v>
      </c>
      <c r="G2542" s="4">
        <v>593.03</v>
      </c>
      <c r="H2542" s="4">
        <v>316172.23</v>
      </c>
    </row>
    <row r="2543" s="1" customFormat="1" ht="14" spans="1:8">
      <c r="A2543" s="2">
        <v>9104207</v>
      </c>
      <c r="B2543" s="2" t="s">
        <v>3222</v>
      </c>
      <c r="C2543" s="3" t="s">
        <v>3038</v>
      </c>
      <c r="D2543" s="4">
        <v>665.7</v>
      </c>
      <c r="E2543" s="4">
        <v>832.73</v>
      </c>
      <c r="F2543" s="4">
        <v>557546.68</v>
      </c>
      <c r="G2543" s="4">
        <v>1117.04</v>
      </c>
      <c r="H2543" s="4">
        <v>755279.76</v>
      </c>
    </row>
    <row r="2544" s="1" customFormat="1" ht="14" spans="1:8">
      <c r="A2544" s="2">
        <v>9104208</v>
      </c>
      <c r="B2544" s="2" t="s">
        <v>3223</v>
      </c>
      <c r="C2544" s="3" t="s">
        <v>3038</v>
      </c>
      <c r="D2544" s="4">
        <v>2.09</v>
      </c>
      <c r="E2544" s="4">
        <v>931.75</v>
      </c>
      <c r="F2544" s="4">
        <v>1950.15</v>
      </c>
      <c r="G2544" s="4">
        <v>1270.67</v>
      </c>
      <c r="H2544" s="4">
        <v>2659.51</v>
      </c>
    </row>
    <row r="2545" s="1" customFormat="1" ht="14" spans="1:8">
      <c r="A2545" s="2">
        <v>9104213</v>
      </c>
      <c r="B2545" s="2" t="s">
        <v>3224</v>
      </c>
      <c r="C2545" s="3" t="s">
        <v>3038</v>
      </c>
      <c r="D2545" s="4">
        <v>2727.36</v>
      </c>
      <c r="E2545" s="4">
        <v>857.95</v>
      </c>
      <c r="F2545" s="4">
        <v>2336675.27</v>
      </c>
      <c r="G2545" s="4">
        <v>976.29</v>
      </c>
      <c r="H2545" s="4">
        <v>2659006.46</v>
      </c>
    </row>
    <row r="2546" s="1" customFormat="1" ht="14" spans="1:8">
      <c r="A2546" s="2">
        <v>9104215</v>
      </c>
      <c r="B2546" s="2" t="s">
        <v>3225</v>
      </c>
      <c r="C2546" s="3" t="s">
        <v>3038</v>
      </c>
      <c r="D2546" s="4">
        <v>41.64</v>
      </c>
      <c r="E2546" s="4">
        <v>969.35</v>
      </c>
      <c r="F2546" s="4">
        <v>40363.73</v>
      </c>
      <c r="G2546" s="4">
        <v>1099.5</v>
      </c>
      <c r="H2546" s="4">
        <v>45783.18</v>
      </c>
    </row>
    <row r="2547" s="1" customFormat="1" ht="14" spans="1:8">
      <c r="A2547" s="2">
        <v>9104217</v>
      </c>
      <c r="B2547" s="2" t="s">
        <v>3226</v>
      </c>
      <c r="C2547" s="3" t="s">
        <v>3038</v>
      </c>
      <c r="D2547" s="4">
        <v>9.92</v>
      </c>
      <c r="E2547" s="4">
        <v>1269.15</v>
      </c>
      <c r="F2547" s="4">
        <v>12623.33</v>
      </c>
      <c r="G2547" s="4">
        <v>1412.84</v>
      </c>
      <c r="H2547" s="4">
        <v>14042.43</v>
      </c>
    </row>
    <row r="2548" s="1" customFormat="1" ht="14" spans="1:8">
      <c r="A2548" s="2">
        <v>9104234</v>
      </c>
      <c r="B2548" s="2" t="s">
        <v>3227</v>
      </c>
      <c r="C2548" s="3" t="s">
        <v>3038</v>
      </c>
      <c r="D2548" s="4">
        <v>429.8</v>
      </c>
      <c r="E2548" s="4">
        <v>206.27</v>
      </c>
      <c r="F2548" s="4">
        <v>88646.22</v>
      </c>
      <c r="G2548" s="4">
        <v>229.66</v>
      </c>
      <c r="H2548" s="4">
        <v>98722.05</v>
      </c>
    </row>
    <row r="2549" s="1" customFormat="1" ht="14" spans="1:8">
      <c r="A2549" s="2">
        <v>9104301</v>
      </c>
      <c r="B2549" s="2" t="s">
        <v>3228</v>
      </c>
      <c r="C2549" s="3" t="s">
        <v>3038</v>
      </c>
      <c r="D2549" s="4">
        <v>4991.88</v>
      </c>
      <c r="E2549" s="4">
        <v>78.55</v>
      </c>
      <c r="F2549" s="4">
        <v>399561.07</v>
      </c>
      <c r="G2549" s="4">
        <v>96.02</v>
      </c>
      <c r="H2549" s="4">
        <v>488836.67</v>
      </c>
    </row>
    <row r="2550" s="1" customFormat="1" ht="14" spans="1:8">
      <c r="A2550" s="2">
        <v>9104302</v>
      </c>
      <c r="B2550" s="2" t="s">
        <v>3229</v>
      </c>
      <c r="C2550" s="3" t="s">
        <v>3038</v>
      </c>
      <c r="D2550" s="4">
        <v>11860.28</v>
      </c>
      <c r="E2550" s="4">
        <v>83.19</v>
      </c>
      <c r="F2550" s="4">
        <v>1019215.48</v>
      </c>
      <c r="G2550" s="4">
        <v>104.37</v>
      </c>
      <c r="H2550" s="4">
        <v>1308395.85</v>
      </c>
    </row>
    <row r="2551" s="1" customFormat="1" ht="14" spans="1:8">
      <c r="A2551" s="2">
        <v>9104321</v>
      </c>
      <c r="B2551" s="2" t="s">
        <v>3230</v>
      </c>
      <c r="C2551" s="3" t="s">
        <v>3038</v>
      </c>
      <c r="D2551" s="4">
        <v>2.21</v>
      </c>
      <c r="E2551" s="4">
        <v>107.35</v>
      </c>
      <c r="F2551" s="4">
        <v>236.62</v>
      </c>
      <c r="G2551" s="4">
        <v>127.31</v>
      </c>
      <c r="H2551" s="4">
        <v>280.7</v>
      </c>
    </row>
    <row r="2552" s="1" customFormat="1" ht="14" spans="1:8">
      <c r="A2552" s="2">
        <v>9104342</v>
      </c>
      <c r="B2552" s="2" t="s">
        <v>3231</v>
      </c>
      <c r="C2552" s="3" t="s">
        <v>3038</v>
      </c>
      <c r="D2552" s="4">
        <v>5.04</v>
      </c>
      <c r="E2552" s="4">
        <v>115.5</v>
      </c>
      <c r="F2552" s="4">
        <v>582.36</v>
      </c>
      <c r="G2552" s="4">
        <v>144.8</v>
      </c>
      <c r="H2552" s="4">
        <v>730.08</v>
      </c>
    </row>
    <row r="2553" s="1" customFormat="1" ht="14" spans="1:8">
      <c r="A2553" s="2">
        <v>9104403</v>
      </c>
      <c r="B2553" s="2" t="s">
        <v>3232</v>
      </c>
      <c r="C2553" s="3" t="s">
        <v>3038</v>
      </c>
      <c r="D2553" s="4">
        <v>995.33</v>
      </c>
      <c r="E2553" s="4">
        <v>167.19</v>
      </c>
      <c r="F2553" s="4">
        <v>166634.88</v>
      </c>
      <c r="G2553" s="4">
        <v>255.18</v>
      </c>
      <c r="H2553" s="4">
        <v>255050.23</v>
      </c>
    </row>
    <row r="2554" s="1" customFormat="1" ht="14" spans="1:8">
      <c r="A2554" s="2">
        <v>9104501</v>
      </c>
      <c r="B2554" s="2" t="s">
        <v>3233</v>
      </c>
      <c r="C2554" s="3" t="s">
        <v>3038</v>
      </c>
      <c r="D2554" s="4">
        <v>199.89</v>
      </c>
      <c r="E2554" s="4">
        <v>14.43</v>
      </c>
      <c r="F2554" s="4">
        <v>2884.43</v>
      </c>
      <c r="G2554" s="4">
        <v>22.94</v>
      </c>
      <c r="H2554" s="4">
        <v>4591.44</v>
      </c>
    </row>
    <row r="2555" s="1" customFormat="1" ht="14" spans="1:8">
      <c r="A2555" s="2">
        <v>9104502</v>
      </c>
      <c r="B2555" s="2" t="s">
        <v>3234</v>
      </c>
      <c r="C2555" s="3" t="s">
        <v>3038</v>
      </c>
      <c r="D2555" s="4">
        <v>60.36</v>
      </c>
      <c r="E2555" s="4">
        <v>23.38</v>
      </c>
      <c r="F2555" s="4">
        <v>1411.29</v>
      </c>
      <c r="G2555" s="4">
        <v>38.98</v>
      </c>
      <c r="H2555" s="4">
        <v>2352.96</v>
      </c>
    </row>
    <row r="2556" s="1" customFormat="1" ht="14" spans="1:8">
      <c r="A2556" s="2">
        <v>9104503</v>
      </c>
      <c r="B2556" s="2" t="s">
        <v>3235</v>
      </c>
      <c r="C2556" s="3" t="s">
        <v>3038</v>
      </c>
      <c r="D2556" s="4">
        <v>728.15</v>
      </c>
      <c r="E2556" s="4">
        <v>33.73</v>
      </c>
      <c r="F2556" s="4">
        <v>24560.78</v>
      </c>
      <c r="G2556" s="4">
        <v>55</v>
      </c>
      <c r="H2556" s="4">
        <v>40129.46</v>
      </c>
    </row>
    <row r="2557" s="1" customFormat="1" ht="14" spans="1:8">
      <c r="A2557" s="2">
        <v>9104504</v>
      </c>
      <c r="B2557" s="2" t="s">
        <v>3236</v>
      </c>
      <c r="C2557" s="3" t="s">
        <v>3038</v>
      </c>
      <c r="D2557" s="4">
        <v>9.99</v>
      </c>
      <c r="E2557" s="4">
        <v>49.15</v>
      </c>
      <c r="F2557" s="4">
        <v>491.35</v>
      </c>
      <c r="G2557" s="4">
        <v>80.36</v>
      </c>
      <c r="H2557" s="4">
        <v>803.35</v>
      </c>
    </row>
    <row r="2558" s="1" customFormat="1" ht="14" spans="1:8">
      <c r="A2558" s="2">
        <v>9104506</v>
      </c>
      <c r="B2558" s="2" t="s">
        <v>3237</v>
      </c>
      <c r="C2558" s="3" t="s">
        <v>3038</v>
      </c>
      <c r="D2558" s="4">
        <v>117.41</v>
      </c>
      <c r="E2558" s="4">
        <v>83.45</v>
      </c>
      <c r="F2558" s="4">
        <v>9798.37</v>
      </c>
      <c r="G2558" s="4">
        <v>131.7</v>
      </c>
      <c r="H2558" s="4">
        <v>15479.58</v>
      </c>
    </row>
    <row r="2559" s="1" customFormat="1" ht="14" spans="1:8">
      <c r="A2559" s="2">
        <v>9104603</v>
      </c>
      <c r="B2559" s="2" t="s">
        <v>3238</v>
      </c>
      <c r="C2559" s="3" t="s">
        <v>3038</v>
      </c>
      <c r="D2559" s="4">
        <v>1108.8</v>
      </c>
      <c r="E2559" s="4">
        <v>216.47</v>
      </c>
      <c r="F2559" s="4">
        <v>240021.94</v>
      </c>
      <c r="G2559" s="4">
        <v>332.36</v>
      </c>
      <c r="H2559" s="4">
        <v>368520.77</v>
      </c>
    </row>
    <row r="2560" s="1" customFormat="1" ht="14" spans="1:8">
      <c r="A2560" s="2">
        <v>9104612</v>
      </c>
      <c r="B2560" s="2" t="s">
        <v>3239</v>
      </c>
      <c r="C2560" s="3" t="s">
        <v>3038</v>
      </c>
      <c r="D2560" s="4">
        <v>2.93</v>
      </c>
      <c r="E2560" s="4">
        <v>75.92</v>
      </c>
      <c r="F2560" s="4">
        <v>222.66</v>
      </c>
      <c r="G2560" s="4">
        <v>93.74</v>
      </c>
      <c r="H2560" s="4">
        <v>274.94</v>
      </c>
    </row>
    <row r="2561" s="1" customFormat="1" ht="14" spans="1:8">
      <c r="A2561" s="2">
        <v>9104621</v>
      </c>
      <c r="B2561" s="2" t="s">
        <v>3240</v>
      </c>
      <c r="C2561" s="3" t="s">
        <v>3038</v>
      </c>
      <c r="D2561" s="4">
        <v>2321.59</v>
      </c>
      <c r="E2561" s="4">
        <v>92.17</v>
      </c>
      <c r="F2561" s="4">
        <v>205007.08</v>
      </c>
      <c r="G2561" s="4">
        <v>113.8</v>
      </c>
      <c r="H2561" s="4">
        <v>253338.57</v>
      </c>
    </row>
    <row r="2562" s="1" customFormat="1" ht="14" spans="1:8">
      <c r="A2562" s="2">
        <v>9105002</v>
      </c>
      <c r="B2562" s="2" t="s">
        <v>3241</v>
      </c>
      <c r="C2562" s="3" t="s">
        <v>3038</v>
      </c>
      <c r="D2562" s="4">
        <v>114.44</v>
      </c>
      <c r="E2562" s="4">
        <v>745.02</v>
      </c>
      <c r="F2562" s="4">
        <v>85233.22</v>
      </c>
      <c r="G2562" s="4">
        <v>921.69</v>
      </c>
      <c r="H2562" s="4">
        <v>105530.59</v>
      </c>
    </row>
    <row r="2563" s="1" customFormat="1" ht="14" spans="1:8">
      <c r="A2563" s="2">
        <v>9105003</v>
      </c>
      <c r="B2563" s="2" t="s">
        <v>3242</v>
      </c>
      <c r="C2563" s="3" t="s">
        <v>3038</v>
      </c>
      <c r="D2563" s="4">
        <v>1014.37</v>
      </c>
      <c r="E2563" s="4">
        <v>1039.66</v>
      </c>
      <c r="F2563" s="4">
        <v>1054594.74</v>
      </c>
      <c r="G2563" s="4">
        <v>1265.69</v>
      </c>
      <c r="H2563" s="4">
        <v>1284959.77</v>
      </c>
    </row>
    <row r="2564" s="1" customFormat="1" ht="14" spans="1:8">
      <c r="A2564" s="2">
        <v>9105012</v>
      </c>
      <c r="B2564" s="2" t="s">
        <v>3243</v>
      </c>
      <c r="C2564" s="3" t="s">
        <v>3038</v>
      </c>
      <c r="D2564" s="4">
        <v>843.75</v>
      </c>
      <c r="E2564" s="4">
        <v>653.99</v>
      </c>
      <c r="F2564" s="4">
        <v>551931.57</v>
      </c>
      <c r="G2564" s="4">
        <v>860.67</v>
      </c>
      <c r="H2564" s="4">
        <v>727966.53</v>
      </c>
    </row>
    <row r="2565" s="1" customFormat="1" ht="14" spans="1:8">
      <c r="A2565" s="2">
        <v>9105013</v>
      </c>
      <c r="B2565" s="2" t="s">
        <v>3244</v>
      </c>
      <c r="C2565" s="3" t="s">
        <v>3038</v>
      </c>
      <c r="D2565" s="4">
        <v>3107.55</v>
      </c>
      <c r="E2565" s="4">
        <v>821.34</v>
      </c>
      <c r="F2565" s="4">
        <v>2553933.53</v>
      </c>
      <c r="G2565" s="4">
        <v>1116.53</v>
      </c>
      <c r="H2565" s="4">
        <v>3477627.36</v>
      </c>
    </row>
    <row r="2566" s="1" customFormat="1" ht="14" spans="1:8">
      <c r="A2566" s="2">
        <v>9105115</v>
      </c>
      <c r="B2566" s="2" t="s">
        <v>3245</v>
      </c>
      <c r="C2566" s="3" t="s">
        <v>3038</v>
      </c>
      <c r="D2566" s="4">
        <v>20203.11</v>
      </c>
      <c r="E2566" s="4">
        <v>811.11</v>
      </c>
      <c r="F2566" s="4">
        <v>16362091.42</v>
      </c>
      <c r="G2566" s="4">
        <v>1008.48</v>
      </c>
      <c r="H2566" s="4">
        <v>20360291.32</v>
      </c>
    </row>
    <row r="2567" s="1" customFormat="1" ht="14" spans="1:8">
      <c r="A2567" s="2">
        <v>9105117</v>
      </c>
      <c r="B2567" s="2" t="s">
        <v>3246</v>
      </c>
      <c r="C2567" s="3" t="s">
        <v>3038</v>
      </c>
      <c r="D2567" s="4">
        <v>1518.94</v>
      </c>
      <c r="E2567" s="4">
        <v>2160.47</v>
      </c>
      <c r="F2567" s="4">
        <v>3281624.31</v>
      </c>
      <c r="G2567" s="4">
        <v>2604.71</v>
      </c>
      <c r="H2567" s="4">
        <v>3956398.21</v>
      </c>
    </row>
    <row r="2568" s="1" customFormat="1" ht="14" spans="1:8">
      <c r="A2568" s="2">
        <v>9105131</v>
      </c>
      <c r="B2568" s="2" t="s">
        <v>3247</v>
      </c>
      <c r="C2568" s="3" t="s">
        <v>3038</v>
      </c>
      <c r="D2568" s="4">
        <v>78.88</v>
      </c>
      <c r="E2568" s="4">
        <v>521.68</v>
      </c>
      <c r="F2568" s="4">
        <v>41150.12</v>
      </c>
      <c r="G2568" s="4">
        <v>648.52</v>
      </c>
      <c r="H2568" s="4">
        <v>51164.39</v>
      </c>
    </row>
    <row r="2569" s="1" customFormat="1" ht="14" spans="1:8">
      <c r="A2569" s="2">
        <v>9105132</v>
      </c>
      <c r="B2569" s="2" t="s">
        <v>3248</v>
      </c>
      <c r="C2569" s="3" t="s">
        <v>3038</v>
      </c>
      <c r="D2569" s="4">
        <v>223.11</v>
      </c>
      <c r="E2569" s="4">
        <v>666.13</v>
      </c>
      <c r="F2569" s="4">
        <v>148620.27</v>
      </c>
      <c r="G2569" s="4">
        <v>821.66</v>
      </c>
      <c r="H2569" s="4">
        <v>183197.11</v>
      </c>
    </row>
    <row r="2570" s="1" customFormat="1" ht="14" spans="1:8">
      <c r="A2570" s="2">
        <v>9105133</v>
      </c>
      <c r="B2570" s="2" t="s">
        <v>3249</v>
      </c>
      <c r="C2570" s="3" t="s">
        <v>3038</v>
      </c>
      <c r="D2570" s="4">
        <v>221.13</v>
      </c>
      <c r="E2570" s="4">
        <v>807.54</v>
      </c>
      <c r="F2570" s="4">
        <v>177010.6</v>
      </c>
      <c r="G2570" s="4">
        <v>1007.17</v>
      </c>
      <c r="H2570" s="4">
        <v>220816.17</v>
      </c>
    </row>
    <row r="2571" s="1" customFormat="1" ht="14" spans="1:8">
      <c r="A2571" s="2">
        <v>9105141</v>
      </c>
      <c r="B2571" s="2" t="s">
        <v>3250</v>
      </c>
      <c r="C2571" s="3" t="s">
        <v>3038</v>
      </c>
      <c r="D2571" s="4">
        <v>487.37</v>
      </c>
      <c r="E2571" s="4">
        <v>775.34</v>
      </c>
      <c r="F2571" s="4">
        <v>378143.52</v>
      </c>
      <c r="G2571" s="4">
        <v>972.31</v>
      </c>
      <c r="H2571" s="4">
        <v>474528.85</v>
      </c>
    </row>
    <row r="2572" s="1" customFormat="1" ht="14" spans="1:8">
      <c r="A2572" s="2">
        <v>9105151</v>
      </c>
      <c r="B2572" s="2" t="s">
        <v>3251</v>
      </c>
      <c r="C2572" s="3" t="s">
        <v>3038</v>
      </c>
      <c r="D2572" s="4">
        <v>38.56</v>
      </c>
      <c r="E2572" s="4">
        <v>340.11</v>
      </c>
      <c r="F2572" s="4">
        <v>13113.28</v>
      </c>
      <c r="G2572" s="4">
        <v>448.63</v>
      </c>
      <c r="H2572" s="4">
        <v>17297.38</v>
      </c>
    </row>
    <row r="2573" s="1" customFormat="1" ht="14" spans="1:8">
      <c r="A2573" s="2">
        <v>9105153</v>
      </c>
      <c r="B2573" s="2" t="s">
        <v>3252</v>
      </c>
      <c r="C2573" s="3" t="s">
        <v>3038</v>
      </c>
      <c r="D2573" s="4">
        <v>127.68</v>
      </c>
      <c r="E2573" s="4">
        <v>459.61</v>
      </c>
      <c r="F2573" s="4">
        <v>58681.16</v>
      </c>
      <c r="G2573" s="4">
        <v>582.15</v>
      </c>
      <c r="H2573" s="4">
        <v>74326.58</v>
      </c>
    </row>
    <row r="2574" s="1" customFormat="1" ht="14" spans="1:8">
      <c r="A2574" s="2">
        <v>9105241</v>
      </c>
      <c r="B2574" s="2" t="s">
        <v>3253</v>
      </c>
      <c r="C2574" s="3" t="s">
        <v>3038</v>
      </c>
      <c r="D2574" s="4">
        <v>41.73</v>
      </c>
      <c r="E2574" s="4">
        <v>708.8</v>
      </c>
      <c r="F2574" s="4">
        <v>29575.39</v>
      </c>
      <c r="G2574" s="4">
        <v>885.86</v>
      </c>
      <c r="H2574" s="4">
        <v>36963.4</v>
      </c>
    </row>
    <row r="2575" s="1" customFormat="1" ht="14" spans="1:8">
      <c r="A2575" s="2">
        <v>9105242</v>
      </c>
      <c r="B2575" s="2" t="s">
        <v>3254</v>
      </c>
      <c r="C2575" s="3" t="s">
        <v>3038</v>
      </c>
      <c r="D2575" s="4">
        <v>753.27</v>
      </c>
      <c r="E2575" s="4">
        <v>1015.28</v>
      </c>
      <c r="F2575" s="4">
        <v>764779.97</v>
      </c>
      <c r="G2575" s="4">
        <v>1253.72</v>
      </c>
      <c r="H2575" s="4">
        <v>944389.66</v>
      </c>
    </row>
    <row r="2576" s="1" customFormat="1" ht="14" spans="1:8">
      <c r="A2576" s="2">
        <v>9105247</v>
      </c>
      <c r="B2576" s="2" t="s">
        <v>3255</v>
      </c>
      <c r="C2576" s="3" t="s">
        <v>3038</v>
      </c>
      <c r="D2576" s="4">
        <v>210.33</v>
      </c>
      <c r="E2576" s="4">
        <v>654.28</v>
      </c>
      <c r="F2576" s="4">
        <v>137617.33</v>
      </c>
      <c r="G2576" s="4">
        <v>852.81</v>
      </c>
      <c r="H2576" s="4">
        <v>179374.94</v>
      </c>
    </row>
    <row r="2577" s="1" customFormat="1" ht="14" spans="1:8">
      <c r="A2577" s="2">
        <v>9105251</v>
      </c>
      <c r="B2577" s="2" t="s">
        <v>3256</v>
      </c>
      <c r="C2577" s="3" t="s">
        <v>3038</v>
      </c>
      <c r="D2577" s="4">
        <v>204.77</v>
      </c>
      <c r="E2577" s="4">
        <v>888.87</v>
      </c>
      <c r="F2577" s="4">
        <v>182011.24</v>
      </c>
      <c r="G2577" s="4">
        <v>1204.41</v>
      </c>
      <c r="H2577" s="4">
        <v>246623.42</v>
      </c>
    </row>
    <row r="2578" s="1" customFormat="1" ht="14" spans="1:8">
      <c r="A2578" s="2">
        <v>9105281</v>
      </c>
      <c r="B2578" s="2" t="s">
        <v>3257</v>
      </c>
      <c r="C2578" s="3" t="s">
        <v>3038</v>
      </c>
      <c r="D2578" s="4">
        <v>328.52</v>
      </c>
      <c r="E2578" s="4">
        <v>2188.48</v>
      </c>
      <c r="F2578" s="4">
        <v>717505.34</v>
      </c>
      <c r="G2578" s="4">
        <v>2511.29</v>
      </c>
      <c r="H2578" s="4">
        <v>823451.7</v>
      </c>
    </row>
    <row r="2579" s="1" customFormat="1" ht="14" spans="1:8">
      <c r="A2579" s="2">
        <v>9105284</v>
      </c>
      <c r="B2579" s="2" t="s">
        <v>3258</v>
      </c>
      <c r="C2579" s="3" t="s">
        <v>3038</v>
      </c>
      <c r="D2579" s="4">
        <v>554.74</v>
      </c>
      <c r="E2579" s="4">
        <v>3818.45</v>
      </c>
      <c r="F2579" s="4">
        <v>2118231.68</v>
      </c>
      <c r="G2579" s="4">
        <v>4386.27</v>
      </c>
      <c r="H2579" s="4">
        <v>2433320.6</v>
      </c>
    </row>
    <row r="2580" s="1" customFormat="1" ht="14" spans="1:8">
      <c r="A2580" s="2">
        <v>9105286</v>
      </c>
      <c r="B2580" s="2" t="s">
        <v>3259</v>
      </c>
      <c r="C2580" s="3" t="s">
        <v>3038</v>
      </c>
      <c r="D2580" s="4">
        <v>1030.05</v>
      </c>
      <c r="E2580" s="4">
        <v>4484.4</v>
      </c>
      <c r="F2580" s="4">
        <v>4618076.73</v>
      </c>
      <c r="G2580" s="4">
        <v>5098</v>
      </c>
      <c r="H2580" s="4">
        <v>5250366.26</v>
      </c>
    </row>
    <row r="2581" s="1" customFormat="1" ht="14" spans="1:8">
      <c r="A2581" s="2">
        <v>9105288</v>
      </c>
      <c r="B2581" s="2" t="s">
        <v>3260</v>
      </c>
      <c r="C2581" s="3" t="s">
        <v>3038</v>
      </c>
      <c r="D2581" s="4">
        <v>224.78</v>
      </c>
      <c r="E2581" s="4">
        <v>5295.77</v>
      </c>
      <c r="F2581" s="4">
        <v>1190388.48</v>
      </c>
      <c r="G2581" s="4">
        <v>5993.72</v>
      </c>
      <c r="H2581" s="4">
        <v>1347274.35</v>
      </c>
    </row>
    <row r="2582" s="1" customFormat="1" ht="14" spans="1:8">
      <c r="A2582" s="2">
        <v>9105301</v>
      </c>
      <c r="B2582" s="2" t="s">
        <v>3261</v>
      </c>
      <c r="C2582" s="3" t="s">
        <v>3038</v>
      </c>
      <c r="D2582" s="4">
        <v>3412.78</v>
      </c>
      <c r="E2582" s="4">
        <v>72.76</v>
      </c>
      <c r="F2582" s="4">
        <v>257630.51</v>
      </c>
      <c r="G2582" s="4">
        <v>87.76</v>
      </c>
      <c r="H2582" s="4">
        <v>311220.91</v>
      </c>
    </row>
    <row r="2583" s="1" customFormat="1" ht="14" spans="1:8">
      <c r="A2583" s="2">
        <v>9105302</v>
      </c>
      <c r="B2583" s="2" t="s">
        <v>3262</v>
      </c>
      <c r="C2583" s="3" t="s">
        <v>3038</v>
      </c>
      <c r="D2583" s="4">
        <v>4762.72</v>
      </c>
      <c r="E2583" s="4">
        <v>78.65</v>
      </c>
      <c r="F2583" s="4">
        <v>362256.17</v>
      </c>
      <c r="G2583" s="4">
        <v>96.41</v>
      </c>
      <c r="H2583" s="4">
        <v>444016.37</v>
      </c>
    </row>
    <row r="2584" s="1" customFormat="1" ht="14" spans="1:8">
      <c r="A2584" s="2">
        <v>9105303</v>
      </c>
      <c r="B2584" s="2" t="s">
        <v>3263</v>
      </c>
      <c r="C2584" s="3" t="s">
        <v>3038</v>
      </c>
      <c r="D2584" s="4">
        <v>761.34</v>
      </c>
      <c r="E2584" s="4">
        <v>79.77</v>
      </c>
      <c r="F2584" s="4">
        <v>60764.38</v>
      </c>
      <c r="G2584" s="4">
        <v>102.21</v>
      </c>
      <c r="H2584" s="4">
        <v>77894.1</v>
      </c>
    </row>
    <row r="2585" s="1" customFormat="1" ht="14" spans="1:8">
      <c r="A2585" s="2">
        <v>9105304</v>
      </c>
      <c r="B2585" s="2" t="s">
        <v>3264</v>
      </c>
      <c r="C2585" s="3" t="s">
        <v>3038</v>
      </c>
      <c r="D2585" s="4">
        <v>192.99</v>
      </c>
      <c r="E2585" s="4">
        <v>90.44</v>
      </c>
      <c r="F2585" s="4">
        <v>17428.1</v>
      </c>
      <c r="G2585" s="4">
        <v>126.5</v>
      </c>
      <c r="H2585" s="4">
        <v>24348.19</v>
      </c>
    </row>
    <row r="2586" s="1" customFormat="1" ht="14" spans="1:8">
      <c r="A2586" s="2">
        <v>9105305</v>
      </c>
      <c r="B2586" s="2" t="s">
        <v>3265</v>
      </c>
      <c r="C2586" s="3" t="s">
        <v>3038</v>
      </c>
      <c r="D2586" s="4">
        <v>3982.9</v>
      </c>
      <c r="E2586" s="4">
        <v>76.51</v>
      </c>
      <c r="F2586" s="4">
        <v>319982.44</v>
      </c>
      <c r="G2586" s="4">
        <v>95.57</v>
      </c>
      <c r="H2586" s="4">
        <v>399685.13</v>
      </c>
    </row>
    <row r="2587" s="1" customFormat="1" ht="14" spans="1:8">
      <c r="A2587" s="2">
        <v>9105306</v>
      </c>
      <c r="B2587" s="2" t="s">
        <v>3266</v>
      </c>
      <c r="C2587" s="3" t="s">
        <v>3038</v>
      </c>
      <c r="D2587" s="4">
        <v>1114.34</v>
      </c>
      <c r="E2587" s="4">
        <v>83.48</v>
      </c>
      <c r="F2587" s="4">
        <v>96929.31</v>
      </c>
      <c r="G2587" s="4">
        <v>110.43</v>
      </c>
      <c r="H2587" s="4">
        <v>128133.74</v>
      </c>
    </row>
    <row r="2588" s="1" customFormat="1" ht="14" spans="1:8">
      <c r="A2588" s="2">
        <v>9105307</v>
      </c>
      <c r="B2588" s="2" t="s">
        <v>3267</v>
      </c>
      <c r="C2588" s="3" t="s">
        <v>3038</v>
      </c>
      <c r="D2588" s="4">
        <v>9881.17</v>
      </c>
      <c r="E2588" s="4">
        <v>94.85</v>
      </c>
      <c r="F2588" s="4">
        <v>917367.49</v>
      </c>
      <c r="G2588" s="4">
        <v>130.66</v>
      </c>
      <c r="H2588" s="4">
        <v>1284420.28</v>
      </c>
    </row>
    <row r="2589" s="1" customFormat="1" ht="14" spans="1:8">
      <c r="A2589" s="2">
        <v>9105308</v>
      </c>
      <c r="B2589" s="2" t="s">
        <v>3268</v>
      </c>
      <c r="C2589" s="3" t="s">
        <v>3038</v>
      </c>
      <c r="D2589" s="4">
        <v>1956.84</v>
      </c>
      <c r="E2589" s="4">
        <v>102.83</v>
      </c>
      <c r="F2589" s="4">
        <v>201221.22</v>
      </c>
      <c r="G2589" s="4">
        <v>151.23</v>
      </c>
      <c r="H2589" s="4">
        <v>296785.89</v>
      </c>
    </row>
    <row r="2590" s="1" customFormat="1" ht="14" spans="1:8">
      <c r="A2590" s="2">
        <v>9105310</v>
      </c>
      <c r="B2590" s="2" t="s">
        <v>3269</v>
      </c>
      <c r="C2590" s="3" t="s">
        <v>3038</v>
      </c>
      <c r="D2590" s="4">
        <v>115387.34</v>
      </c>
      <c r="E2590" s="4">
        <v>118.92</v>
      </c>
      <c r="F2590" s="4">
        <v>13330265.54</v>
      </c>
      <c r="G2590" s="4">
        <v>179.55</v>
      </c>
      <c r="H2590" s="4">
        <v>20243762.65</v>
      </c>
    </row>
    <row r="2591" s="1" customFormat="1" ht="14" spans="1:8">
      <c r="A2591" s="2">
        <v>9105312</v>
      </c>
      <c r="B2591" s="2" t="s">
        <v>3270</v>
      </c>
      <c r="C2591" s="3" t="s">
        <v>3038</v>
      </c>
      <c r="D2591" s="4">
        <v>10792.35</v>
      </c>
      <c r="E2591" s="4">
        <v>157.49</v>
      </c>
      <c r="F2591" s="4">
        <v>1699687.21</v>
      </c>
      <c r="G2591" s="4">
        <v>258.74</v>
      </c>
      <c r="H2591" s="4">
        <v>2797518.54</v>
      </c>
    </row>
    <row r="2592" s="1" customFormat="1" ht="14" spans="1:8">
      <c r="A2592" s="2">
        <v>9105322</v>
      </c>
      <c r="B2592" s="2" t="s">
        <v>3271</v>
      </c>
      <c r="C2592" s="3" t="s">
        <v>3038</v>
      </c>
      <c r="D2592" s="4">
        <v>1441.6</v>
      </c>
      <c r="E2592" s="4">
        <v>110.19</v>
      </c>
      <c r="F2592" s="4">
        <v>158760.76</v>
      </c>
      <c r="G2592" s="4">
        <v>159.55</v>
      </c>
      <c r="H2592" s="4">
        <v>230139.71</v>
      </c>
    </row>
    <row r="2593" s="1" customFormat="1" ht="14" spans="1:8">
      <c r="A2593" s="2">
        <v>9105351</v>
      </c>
      <c r="B2593" s="2" t="s">
        <v>3272</v>
      </c>
      <c r="C2593" s="3" t="s">
        <v>3038</v>
      </c>
      <c r="D2593" s="4">
        <v>523.57</v>
      </c>
      <c r="E2593" s="4">
        <v>96.14</v>
      </c>
      <c r="F2593" s="4">
        <v>50257.07</v>
      </c>
      <c r="G2593" s="4">
        <v>131.96</v>
      </c>
      <c r="H2593" s="4">
        <v>69064.83</v>
      </c>
    </row>
    <row r="2594" s="1" customFormat="1" ht="14" spans="1:8">
      <c r="A2594" s="2">
        <v>9105353</v>
      </c>
      <c r="B2594" s="2" t="s">
        <v>3273</v>
      </c>
      <c r="C2594" s="3" t="s">
        <v>3038</v>
      </c>
      <c r="D2594" s="4">
        <v>185.89</v>
      </c>
      <c r="E2594" s="4">
        <v>118.35</v>
      </c>
      <c r="F2594" s="4">
        <v>21347.8</v>
      </c>
      <c r="G2594" s="4">
        <v>178.98</v>
      </c>
      <c r="H2594" s="4">
        <v>32489.82</v>
      </c>
    </row>
    <row r="2595" s="1" customFormat="1" ht="14" spans="1:8">
      <c r="A2595" s="2">
        <v>9105355</v>
      </c>
      <c r="B2595" s="2" t="s">
        <v>3274</v>
      </c>
      <c r="C2595" s="3" t="s">
        <v>3038</v>
      </c>
      <c r="D2595" s="4">
        <v>41855.01</v>
      </c>
      <c r="E2595" s="4">
        <v>194.52</v>
      </c>
      <c r="F2595" s="4">
        <v>8115294.87</v>
      </c>
      <c r="G2595" s="4">
        <v>329.64</v>
      </c>
      <c r="H2595" s="4">
        <v>13789244.76</v>
      </c>
    </row>
    <row r="2596" s="1" customFormat="1" ht="14" spans="1:8">
      <c r="A2596" s="2">
        <v>9105357</v>
      </c>
      <c r="B2596" s="2" t="s">
        <v>3275</v>
      </c>
      <c r="C2596" s="3" t="s">
        <v>3038</v>
      </c>
      <c r="D2596" s="4">
        <v>4789.04</v>
      </c>
      <c r="E2596" s="4">
        <v>233.05</v>
      </c>
      <c r="F2596" s="4">
        <v>1116085.76</v>
      </c>
      <c r="G2596" s="4">
        <v>413.3</v>
      </c>
      <c r="H2596" s="4">
        <v>1979310.22</v>
      </c>
    </row>
    <row r="2597" s="1" customFormat="1" ht="14" spans="1:8">
      <c r="A2597" s="2">
        <v>9105361</v>
      </c>
      <c r="B2597" s="2" t="s">
        <v>3276</v>
      </c>
      <c r="C2597" s="3" t="s">
        <v>3038</v>
      </c>
      <c r="D2597" s="4">
        <v>41.54</v>
      </c>
      <c r="E2597" s="4">
        <v>121.28</v>
      </c>
      <c r="F2597" s="4">
        <v>4944.24</v>
      </c>
      <c r="G2597" s="4">
        <v>170.69</v>
      </c>
      <c r="H2597" s="4">
        <v>6993.3</v>
      </c>
    </row>
    <row r="2598" s="1" customFormat="1" ht="14" spans="1:8">
      <c r="A2598" s="2">
        <v>9105371</v>
      </c>
      <c r="B2598" s="2" t="s">
        <v>3277</v>
      </c>
      <c r="C2598" s="3" t="s">
        <v>3038</v>
      </c>
      <c r="D2598" s="4">
        <v>7093.44</v>
      </c>
      <c r="E2598" s="4">
        <v>105</v>
      </c>
      <c r="F2598" s="4">
        <v>744811.2</v>
      </c>
      <c r="G2598" s="4">
        <v>153.4</v>
      </c>
      <c r="H2598" s="4">
        <v>1088133.7</v>
      </c>
    </row>
    <row r="2599" s="1" customFormat="1" ht="14" spans="1:8">
      <c r="A2599" s="2">
        <v>9105401</v>
      </c>
      <c r="B2599" s="2" t="s">
        <v>3278</v>
      </c>
      <c r="C2599" s="3" t="s">
        <v>3038</v>
      </c>
      <c r="D2599" s="4">
        <v>17896.4</v>
      </c>
      <c r="E2599" s="4">
        <v>80.33</v>
      </c>
      <c r="F2599" s="4">
        <v>1424182.67</v>
      </c>
      <c r="G2599" s="4">
        <v>96.97</v>
      </c>
      <c r="H2599" s="4">
        <v>1719193.25</v>
      </c>
    </row>
    <row r="2600" s="1" customFormat="1" ht="14" spans="1:8">
      <c r="A2600" s="2">
        <v>9105404</v>
      </c>
      <c r="B2600" s="2" t="s">
        <v>3279</v>
      </c>
      <c r="C2600" s="3" t="s">
        <v>3038</v>
      </c>
      <c r="D2600" s="4">
        <v>1201.95</v>
      </c>
      <c r="E2600" s="4">
        <v>126.81</v>
      </c>
      <c r="F2600" s="4">
        <v>152419.28</v>
      </c>
      <c r="G2600" s="4">
        <v>194.22</v>
      </c>
      <c r="H2600" s="4">
        <v>233442.73</v>
      </c>
    </row>
    <row r="2601" s="1" customFormat="1" ht="14" spans="1:8">
      <c r="A2601" s="2">
        <v>9105521</v>
      </c>
      <c r="B2601" s="2" t="s">
        <v>3280</v>
      </c>
      <c r="C2601" s="3" t="s">
        <v>3038</v>
      </c>
      <c r="D2601" s="4">
        <v>1701</v>
      </c>
      <c r="E2601" s="4">
        <v>126.41</v>
      </c>
      <c r="F2601" s="4">
        <v>221958.81</v>
      </c>
      <c r="G2601" s="4">
        <v>187.05</v>
      </c>
      <c r="H2601" s="4">
        <v>326739.38</v>
      </c>
    </row>
    <row r="2602" s="1" customFormat="1" ht="14" spans="1:8">
      <c r="A2602" s="2">
        <v>9105531</v>
      </c>
      <c r="B2602" s="2" t="s">
        <v>3281</v>
      </c>
      <c r="C2602" s="3" t="s">
        <v>3038</v>
      </c>
      <c r="D2602" s="4">
        <v>62.64</v>
      </c>
      <c r="E2602" s="4">
        <v>75.1</v>
      </c>
      <c r="F2602" s="4">
        <v>4808.18</v>
      </c>
      <c r="G2602" s="4">
        <v>88.04</v>
      </c>
      <c r="H2602" s="4">
        <v>5686.97</v>
      </c>
    </row>
    <row r="2603" s="1" customFormat="1" ht="14" spans="1:8">
      <c r="A2603" s="2">
        <v>9105541</v>
      </c>
      <c r="B2603" s="2" t="s">
        <v>3282</v>
      </c>
      <c r="C2603" s="3" t="s">
        <v>3038</v>
      </c>
      <c r="D2603" s="4">
        <v>5729.98</v>
      </c>
      <c r="E2603" s="4">
        <v>100.69</v>
      </c>
      <c r="F2603" s="4">
        <v>575510.24</v>
      </c>
      <c r="G2603" s="4">
        <v>134.26</v>
      </c>
      <c r="H2603" s="4">
        <v>768519.9</v>
      </c>
    </row>
    <row r="2604" s="1" customFormat="1" ht="14" spans="1:8">
      <c r="A2604" s="2">
        <v>9105543</v>
      </c>
      <c r="B2604" s="2" t="s">
        <v>3283</v>
      </c>
      <c r="C2604" s="3" t="s">
        <v>3038</v>
      </c>
      <c r="D2604" s="4">
        <v>1116.38</v>
      </c>
      <c r="E2604" s="4">
        <v>114.88</v>
      </c>
      <c r="F2604" s="4">
        <v>130670.05</v>
      </c>
      <c r="G2604" s="4">
        <v>158.8</v>
      </c>
      <c r="H2604" s="4">
        <v>180438.87</v>
      </c>
    </row>
    <row r="2605" s="1" customFormat="1" ht="14" spans="1:8">
      <c r="A2605" s="2">
        <v>9105602</v>
      </c>
      <c r="B2605" s="2" t="s">
        <v>3284</v>
      </c>
      <c r="C2605" s="3" t="s">
        <v>3038</v>
      </c>
      <c r="D2605" s="4">
        <v>19.24</v>
      </c>
      <c r="E2605" s="4">
        <v>168.81</v>
      </c>
      <c r="F2605" s="4">
        <v>3247.23</v>
      </c>
      <c r="G2605" s="4">
        <v>204.21</v>
      </c>
      <c r="H2605" s="4">
        <v>3928.18</v>
      </c>
    </row>
    <row r="2606" s="1" customFormat="1" ht="14" spans="1:8">
      <c r="A2606" s="2">
        <v>9105604</v>
      </c>
      <c r="B2606" s="2" t="s">
        <v>3285</v>
      </c>
      <c r="C2606" s="3" t="s">
        <v>3038</v>
      </c>
      <c r="D2606" s="4">
        <v>153.22</v>
      </c>
      <c r="E2606" s="4">
        <v>262.68</v>
      </c>
      <c r="F2606" s="4">
        <v>40248.88</v>
      </c>
      <c r="G2606" s="4">
        <v>334.57</v>
      </c>
      <c r="H2606" s="4">
        <v>51264.16</v>
      </c>
    </row>
    <row r="2607" s="1" customFormat="1" ht="14" spans="1:8">
      <c r="A2607" s="2">
        <v>9105606</v>
      </c>
      <c r="B2607" s="2" t="s">
        <v>3286</v>
      </c>
      <c r="C2607" s="3" t="s">
        <v>3038</v>
      </c>
      <c r="D2607" s="4">
        <v>161.54</v>
      </c>
      <c r="E2607" s="4">
        <v>316.62</v>
      </c>
      <c r="F2607" s="4">
        <v>51146.48</v>
      </c>
      <c r="G2607" s="4">
        <v>386.4</v>
      </c>
      <c r="H2607" s="4">
        <v>62418.67</v>
      </c>
    </row>
    <row r="2608" s="1" customFormat="1" ht="14" spans="1:8">
      <c r="A2608" s="2">
        <v>9105607</v>
      </c>
      <c r="B2608" s="2" t="s">
        <v>3287</v>
      </c>
      <c r="C2608" s="3" t="s">
        <v>3038</v>
      </c>
      <c r="D2608" s="4">
        <v>38.41</v>
      </c>
      <c r="E2608" s="4">
        <v>455.47</v>
      </c>
      <c r="F2608" s="4">
        <v>17492.78</v>
      </c>
      <c r="G2608" s="4">
        <v>540.47</v>
      </c>
      <c r="H2608" s="4">
        <v>20757.29</v>
      </c>
    </row>
    <row r="2609" s="1" customFormat="1" ht="14" spans="1:8">
      <c r="A2609" s="2">
        <v>9105617</v>
      </c>
      <c r="B2609" s="2" t="s">
        <v>3288</v>
      </c>
      <c r="C2609" s="3" t="s">
        <v>3038</v>
      </c>
      <c r="D2609" s="4">
        <v>163.06</v>
      </c>
      <c r="E2609" s="4">
        <v>189.84</v>
      </c>
      <c r="F2609" s="4">
        <v>31195.86</v>
      </c>
      <c r="G2609" s="4">
        <v>285.84</v>
      </c>
      <c r="H2609" s="4">
        <v>46910.45</v>
      </c>
    </row>
    <row r="2610" s="1" customFormat="1" ht="14" spans="1:8">
      <c r="A2610" s="2">
        <v>9105621</v>
      </c>
      <c r="B2610" s="2" t="s">
        <v>3289</v>
      </c>
      <c r="C2610" s="3" t="s">
        <v>3038</v>
      </c>
      <c r="D2610" s="4">
        <v>2256.81</v>
      </c>
      <c r="E2610" s="4">
        <v>184.5</v>
      </c>
      <c r="F2610" s="4">
        <v>423925.57</v>
      </c>
      <c r="G2610" s="4">
        <v>293.78</v>
      </c>
      <c r="H2610" s="4">
        <v>667292.63</v>
      </c>
    </row>
    <row r="2611" s="1" customFormat="1" ht="14" spans="1:8">
      <c r="A2611" s="2">
        <v>9105818</v>
      </c>
      <c r="B2611" s="2" t="s">
        <v>3290</v>
      </c>
      <c r="C2611" s="3" t="s">
        <v>3038</v>
      </c>
      <c r="D2611" s="4">
        <v>2591.59</v>
      </c>
      <c r="E2611" s="4">
        <v>444.86</v>
      </c>
      <c r="F2611" s="4">
        <v>1152894.73</v>
      </c>
      <c r="G2611" s="4">
        <v>467.27</v>
      </c>
      <c r="H2611" s="4">
        <v>1210972.25</v>
      </c>
    </row>
    <row r="2612" s="1" customFormat="1" ht="14" spans="1:8">
      <c r="A2612" s="2">
        <v>9106001</v>
      </c>
      <c r="B2612" s="2" t="s">
        <v>3291</v>
      </c>
      <c r="C2612" s="3" t="s">
        <v>3038</v>
      </c>
      <c r="D2612" s="4">
        <v>1533.51</v>
      </c>
      <c r="E2612" s="4">
        <v>104.35</v>
      </c>
      <c r="F2612" s="4">
        <v>167871.36</v>
      </c>
      <c r="G2612" s="4">
        <v>155.09</v>
      </c>
      <c r="H2612" s="4">
        <v>247766.94</v>
      </c>
    </row>
    <row r="2613" s="1" customFormat="1" ht="14" spans="1:8">
      <c r="A2613" s="2">
        <v>9106002</v>
      </c>
      <c r="B2613" s="2" t="s">
        <v>3292</v>
      </c>
      <c r="C2613" s="3" t="s">
        <v>3038</v>
      </c>
      <c r="D2613" s="4">
        <v>29924.58</v>
      </c>
      <c r="E2613" s="4">
        <v>121.92</v>
      </c>
      <c r="F2613" s="4">
        <v>3755962.38</v>
      </c>
      <c r="G2613" s="4">
        <v>192.12</v>
      </c>
      <c r="H2613" s="4">
        <v>5933528.69</v>
      </c>
    </row>
    <row r="2614" s="1" customFormat="1" ht="14" spans="1:8">
      <c r="A2614" s="2">
        <v>9106003</v>
      </c>
      <c r="B2614" s="2" t="s">
        <v>3293</v>
      </c>
      <c r="C2614" s="3" t="s">
        <v>3038</v>
      </c>
      <c r="D2614" s="4">
        <v>67066.74</v>
      </c>
      <c r="E2614" s="4">
        <v>139.15</v>
      </c>
      <c r="F2614" s="4">
        <v>9453906.83</v>
      </c>
      <c r="G2614" s="4">
        <v>228.82</v>
      </c>
      <c r="H2614" s="4">
        <v>15533030.38</v>
      </c>
    </row>
    <row r="2615" s="1" customFormat="1" ht="14" spans="1:8">
      <c r="A2615" s="2">
        <v>9106011</v>
      </c>
      <c r="B2615" s="2" t="s">
        <v>3294</v>
      </c>
      <c r="C2615" s="3" t="s">
        <v>3038</v>
      </c>
      <c r="D2615" s="4">
        <v>781.9</v>
      </c>
      <c r="E2615" s="4">
        <v>85.95</v>
      </c>
      <c r="F2615" s="4">
        <v>75575.11</v>
      </c>
      <c r="G2615" s="4">
        <v>114.36</v>
      </c>
      <c r="H2615" s="4">
        <v>98930.82</v>
      </c>
    </row>
    <row r="2616" s="1" customFormat="1" ht="14" spans="1:8">
      <c r="A2616" s="2">
        <v>9106012</v>
      </c>
      <c r="B2616" s="2" t="s">
        <v>3295</v>
      </c>
      <c r="C2616" s="3" t="s">
        <v>3038</v>
      </c>
      <c r="D2616" s="4">
        <v>235.23</v>
      </c>
      <c r="E2616" s="4">
        <v>104.33</v>
      </c>
      <c r="F2616" s="4">
        <v>26600.76</v>
      </c>
      <c r="G2616" s="4">
        <v>149.76</v>
      </c>
      <c r="H2616" s="4">
        <v>39700.04</v>
      </c>
    </row>
    <row r="2617" s="1" customFormat="1" ht="14" spans="1:8">
      <c r="A2617" s="2">
        <v>9106013</v>
      </c>
      <c r="B2617" s="2" t="s">
        <v>3296</v>
      </c>
      <c r="C2617" s="3" t="s">
        <v>3038</v>
      </c>
      <c r="D2617" s="4">
        <v>5585.44</v>
      </c>
      <c r="E2617" s="4">
        <v>125.02</v>
      </c>
      <c r="F2617" s="4">
        <v>705147.58</v>
      </c>
      <c r="G2617" s="4">
        <v>191.7</v>
      </c>
      <c r="H2617" s="4">
        <v>1082410</v>
      </c>
    </row>
    <row r="2618" s="1" customFormat="1" ht="14" spans="1:8">
      <c r="A2618" s="2">
        <v>9106023</v>
      </c>
      <c r="B2618" s="2" t="s">
        <v>3297</v>
      </c>
      <c r="C2618" s="3" t="s">
        <v>3038</v>
      </c>
      <c r="D2618" s="4">
        <v>1422.26</v>
      </c>
      <c r="E2618" s="4">
        <v>147.48</v>
      </c>
      <c r="F2618" s="4">
        <v>209755.2</v>
      </c>
      <c r="G2618" s="4">
        <v>245.41</v>
      </c>
      <c r="H2618" s="4">
        <v>349037.31</v>
      </c>
    </row>
    <row r="2619" s="1" customFormat="1" ht="14" spans="1:8">
      <c r="A2619" s="2">
        <v>9106041</v>
      </c>
      <c r="B2619" s="2" t="s">
        <v>3298</v>
      </c>
      <c r="C2619" s="3" t="s">
        <v>3038</v>
      </c>
      <c r="D2619" s="4">
        <v>10157.16</v>
      </c>
      <c r="E2619" s="4">
        <v>125.57</v>
      </c>
      <c r="F2619" s="4">
        <v>1310645.17</v>
      </c>
      <c r="G2619" s="4">
        <v>202.86</v>
      </c>
      <c r="H2619" s="4">
        <v>2115425.37</v>
      </c>
    </row>
    <row r="2620" s="1" customFormat="1" ht="14" spans="1:8">
      <c r="A2620" s="2">
        <v>9106051</v>
      </c>
      <c r="B2620" s="2" t="s">
        <v>3299</v>
      </c>
      <c r="C2620" s="3" t="s">
        <v>3038</v>
      </c>
      <c r="D2620" s="4">
        <v>181.58</v>
      </c>
      <c r="E2620" s="4">
        <v>144.59</v>
      </c>
      <c r="F2620" s="4">
        <v>26254.66</v>
      </c>
      <c r="G2620" s="4">
        <v>224.59</v>
      </c>
      <c r="H2620" s="4">
        <v>40479.63</v>
      </c>
    </row>
    <row r="2621" s="1" customFormat="1" ht="14" spans="1:8">
      <c r="A2621" s="2">
        <v>9106101</v>
      </c>
      <c r="B2621" s="2" t="s">
        <v>3300</v>
      </c>
      <c r="C2621" s="3" t="s">
        <v>3038</v>
      </c>
      <c r="D2621" s="4">
        <v>580.35</v>
      </c>
      <c r="E2621" s="4">
        <v>17.04</v>
      </c>
      <c r="F2621" s="4">
        <v>9888.86</v>
      </c>
      <c r="G2621" s="4">
        <v>30.99</v>
      </c>
      <c r="H2621" s="4">
        <v>17994.29</v>
      </c>
    </row>
    <row r="2622" s="1" customFormat="1" ht="14" spans="1:8">
      <c r="A2622" s="2">
        <v>9106201</v>
      </c>
      <c r="B2622" s="2" t="s">
        <v>3301</v>
      </c>
      <c r="C2622" s="3" t="s">
        <v>3038</v>
      </c>
      <c r="D2622" s="4">
        <v>41.83</v>
      </c>
      <c r="E2622" s="4">
        <v>190.84</v>
      </c>
      <c r="F2622" s="4">
        <v>7982.83</v>
      </c>
      <c r="G2622" s="4">
        <v>333.62</v>
      </c>
      <c r="H2622" s="4">
        <v>13991.21</v>
      </c>
    </row>
    <row r="2623" s="1" customFormat="1" ht="14" spans="1:8">
      <c r="A2623" s="2">
        <v>9106211</v>
      </c>
      <c r="B2623" s="2" t="s">
        <v>3302</v>
      </c>
      <c r="C2623" s="3" t="s">
        <v>3038</v>
      </c>
      <c r="D2623" s="4">
        <v>4642.6</v>
      </c>
      <c r="E2623" s="4">
        <v>155.79</v>
      </c>
      <c r="F2623" s="4">
        <v>735573.03</v>
      </c>
      <c r="G2623" s="4">
        <v>263.17</v>
      </c>
      <c r="H2623" s="4">
        <v>1240488.08</v>
      </c>
    </row>
    <row r="2624" s="1" customFormat="1" ht="14" spans="1:8">
      <c r="A2624" s="2">
        <v>9106212</v>
      </c>
      <c r="B2624" s="2" t="s">
        <v>3303</v>
      </c>
      <c r="C2624" s="3" t="s">
        <v>3038</v>
      </c>
      <c r="D2624" s="4">
        <v>532.16</v>
      </c>
      <c r="E2624" s="4">
        <v>213.51</v>
      </c>
      <c r="F2624" s="4">
        <v>113694.23</v>
      </c>
      <c r="G2624" s="4">
        <v>383.78</v>
      </c>
      <c r="H2624" s="4">
        <v>204740.47</v>
      </c>
    </row>
    <row r="2625" s="1" customFormat="1" ht="14" spans="1:8">
      <c r="A2625" s="2">
        <v>9106301</v>
      </c>
      <c r="B2625" s="2" t="s">
        <v>3304</v>
      </c>
      <c r="C2625" s="3" t="s">
        <v>3038</v>
      </c>
      <c r="D2625" s="4">
        <v>3127.16</v>
      </c>
      <c r="E2625" s="4">
        <v>158.32</v>
      </c>
      <c r="F2625" s="4">
        <v>495091.99</v>
      </c>
      <c r="G2625" s="4">
        <v>158.73</v>
      </c>
      <c r="H2625" s="4">
        <v>496374.15</v>
      </c>
    </row>
    <row r="2626" s="1" customFormat="1" ht="14" spans="1:8">
      <c r="A2626" s="2">
        <v>9106512</v>
      </c>
      <c r="B2626" s="2" t="s">
        <v>3305</v>
      </c>
      <c r="C2626" s="3" t="s">
        <v>3038</v>
      </c>
      <c r="D2626" s="4">
        <v>83.56</v>
      </c>
      <c r="E2626" s="4">
        <v>17.27</v>
      </c>
      <c r="F2626" s="4">
        <v>1442.93</v>
      </c>
      <c r="G2626" s="4">
        <v>20.48</v>
      </c>
      <c r="H2626" s="4">
        <v>1713.72</v>
      </c>
    </row>
    <row r="2627" s="1" customFormat="1" ht="14" spans="1:8">
      <c r="A2627" s="2">
        <v>9106513</v>
      </c>
      <c r="B2627" s="2" t="s">
        <v>3306</v>
      </c>
      <c r="C2627" s="3" t="s">
        <v>3038</v>
      </c>
      <c r="D2627" s="4">
        <v>160.63</v>
      </c>
      <c r="E2627" s="4">
        <v>31.45</v>
      </c>
      <c r="F2627" s="4">
        <v>5051.59</v>
      </c>
      <c r="G2627" s="4">
        <v>40</v>
      </c>
      <c r="H2627" s="4">
        <v>6440.81</v>
      </c>
    </row>
    <row r="2628" s="1" customFormat="1" ht="14" spans="1:8">
      <c r="A2628" s="2">
        <v>9106514</v>
      </c>
      <c r="B2628" s="2" t="s">
        <v>3307</v>
      </c>
      <c r="C2628" s="3" t="s">
        <v>3038</v>
      </c>
      <c r="D2628" s="4">
        <v>263.56</v>
      </c>
      <c r="E2628" s="4">
        <v>80.91</v>
      </c>
      <c r="F2628" s="4">
        <v>21324.48</v>
      </c>
      <c r="G2628" s="4">
        <v>96.5</v>
      </c>
      <c r="H2628" s="4">
        <v>25344.26</v>
      </c>
    </row>
    <row r="2629" s="1" customFormat="1" ht="14" spans="1:8">
      <c r="A2629" s="2">
        <v>9106521</v>
      </c>
      <c r="B2629" s="2" t="s">
        <v>3308</v>
      </c>
      <c r="C2629" s="3" t="s">
        <v>3038</v>
      </c>
      <c r="D2629" s="4">
        <v>4.08</v>
      </c>
      <c r="E2629" s="4">
        <v>14.61</v>
      </c>
      <c r="F2629" s="4">
        <v>59.67</v>
      </c>
      <c r="G2629" s="4">
        <v>17.82</v>
      </c>
      <c r="H2629" s="4">
        <v>73.14</v>
      </c>
    </row>
    <row r="2630" s="1" customFormat="1" ht="14" spans="1:8">
      <c r="A2630" s="2">
        <v>9107001</v>
      </c>
      <c r="B2630" s="2" t="s">
        <v>3309</v>
      </c>
      <c r="C2630" s="3" t="s">
        <v>3038</v>
      </c>
      <c r="D2630" s="4">
        <v>19.84</v>
      </c>
      <c r="E2630" s="4">
        <v>4397.14</v>
      </c>
      <c r="F2630" s="4">
        <v>87256.85</v>
      </c>
      <c r="G2630" s="4">
        <v>4882.41</v>
      </c>
      <c r="H2630" s="4">
        <v>96886.55</v>
      </c>
    </row>
    <row r="2631" s="1" customFormat="1" ht="14" spans="1:8">
      <c r="A2631" s="2">
        <v>9107021</v>
      </c>
      <c r="B2631" s="2" t="s">
        <v>3310</v>
      </c>
      <c r="C2631" s="3" t="s">
        <v>3038</v>
      </c>
      <c r="D2631" s="4">
        <v>863.4</v>
      </c>
      <c r="E2631" s="4">
        <v>25.88</v>
      </c>
      <c r="F2631" s="4">
        <v>22344.73</v>
      </c>
      <c r="G2631" s="4">
        <v>25.93</v>
      </c>
      <c r="H2631" s="4">
        <v>22387.87</v>
      </c>
    </row>
    <row r="2632" s="1" customFormat="1" ht="14" spans="1:8">
      <c r="A2632" s="2">
        <v>9107022</v>
      </c>
      <c r="B2632" s="2" t="s">
        <v>3311</v>
      </c>
      <c r="C2632" s="3" t="s">
        <v>3038</v>
      </c>
      <c r="D2632" s="4">
        <v>311.52</v>
      </c>
      <c r="E2632" s="4">
        <v>68.62</v>
      </c>
      <c r="F2632" s="4">
        <v>21376.36</v>
      </c>
      <c r="G2632" s="4">
        <v>68.76</v>
      </c>
      <c r="H2632" s="4">
        <v>21419.97</v>
      </c>
    </row>
    <row r="2633" s="1" customFormat="1" ht="14" spans="1:8">
      <c r="A2633" s="2">
        <v>9107031</v>
      </c>
      <c r="B2633" s="2" t="s">
        <v>3312</v>
      </c>
      <c r="C2633" s="3" t="s">
        <v>3038</v>
      </c>
      <c r="D2633" s="4">
        <v>35.42</v>
      </c>
      <c r="E2633" s="4">
        <v>737.48</v>
      </c>
      <c r="F2633" s="4">
        <v>26122.28</v>
      </c>
      <c r="G2633" s="4">
        <v>876.88</v>
      </c>
      <c r="H2633" s="4">
        <v>31059.96</v>
      </c>
    </row>
    <row r="2634" s="1" customFormat="1" ht="14" spans="1:8">
      <c r="A2634" s="2">
        <v>9107101</v>
      </c>
      <c r="B2634" s="2" t="s">
        <v>3313</v>
      </c>
      <c r="C2634" s="3" t="s">
        <v>3038</v>
      </c>
      <c r="D2634" s="4">
        <v>3018.51</v>
      </c>
      <c r="E2634" s="4">
        <v>277.03</v>
      </c>
      <c r="F2634" s="4">
        <v>853204.81</v>
      </c>
      <c r="G2634" s="4">
        <v>327.8</v>
      </c>
      <c r="H2634" s="4">
        <v>1010927.53</v>
      </c>
    </row>
    <row r="2635" s="1" customFormat="1" ht="14" spans="1:8">
      <c r="A2635" s="2">
        <v>9107103</v>
      </c>
      <c r="B2635" s="2" t="s">
        <v>3314</v>
      </c>
      <c r="C2635" s="3" t="s">
        <v>3038</v>
      </c>
      <c r="D2635" s="4">
        <v>684.18</v>
      </c>
      <c r="E2635" s="4">
        <v>200.98</v>
      </c>
      <c r="F2635" s="4">
        <v>136969.61</v>
      </c>
      <c r="G2635" s="4">
        <v>239.03</v>
      </c>
      <c r="H2635" s="4">
        <v>162968.51</v>
      </c>
    </row>
    <row r="2636" s="1" customFormat="1" ht="14" spans="1:8">
      <c r="A2636" s="2">
        <v>9107121</v>
      </c>
      <c r="B2636" s="2" t="s">
        <v>3315</v>
      </c>
      <c r="C2636" s="3" t="s">
        <v>3038</v>
      </c>
      <c r="D2636" s="4">
        <v>694.63</v>
      </c>
      <c r="E2636" s="4">
        <v>7468.1</v>
      </c>
      <c r="F2636" s="4">
        <v>5200185.69</v>
      </c>
      <c r="G2636" s="4">
        <v>7978.83</v>
      </c>
      <c r="H2636" s="4">
        <v>5556225.24</v>
      </c>
    </row>
    <row r="2637" s="1" customFormat="1" ht="14" spans="1:8">
      <c r="A2637" s="2">
        <v>9107125</v>
      </c>
      <c r="B2637" s="2" t="s">
        <v>3316</v>
      </c>
      <c r="C2637" s="3" t="s">
        <v>3038</v>
      </c>
      <c r="D2637" s="4">
        <v>152.01</v>
      </c>
      <c r="E2637" s="4">
        <v>15418.15</v>
      </c>
      <c r="F2637" s="4">
        <v>2346882.23</v>
      </c>
      <c r="G2637" s="4">
        <v>16165.66</v>
      </c>
      <c r="H2637" s="4">
        <v>2461582.7</v>
      </c>
    </row>
    <row r="2638" s="1" customFormat="1" ht="14" spans="1:8">
      <c r="A2638" s="2">
        <v>9107131</v>
      </c>
      <c r="B2638" s="2" t="s">
        <v>3317</v>
      </c>
      <c r="C2638" s="3" t="s">
        <v>3038</v>
      </c>
      <c r="D2638" s="4">
        <v>311.7</v>
      </c>
      <c r="E2638" s="4">
        <v>2942.86</v>
      </c>
      <c r="F2638" s="4">
        <v>920723.21</v>
      </c>
      <c r="G2638" s="4">
        <v>3378.63</v>
      </c>
      <c r="H2638" s="4">
        <v>1056987.8</v>
      </c>
    </row>
    <row r="2639" s="1" customFormat="1" ht="14" spans="1:8">
      <c r="A2639" s="2">
        <v>9107135</v>
      </c>
      <c r="B2639" s="2" t="s">
        <v>3318</v>
      </c>
      <c r="C2639" s="3" t="s">
        <v>3038</v>
      </c>
      <c r="D2639" s="4">
        <v>5.17</v>
      </c>
      <c r="E2639" s="4">
        <v>3788.07</v>
      </c>
      <c r="F2639" s="4">
        <v>19537.02</v>
      </c>
      <c r="G2639" s="4">
        <v>4222.21</v>
      </c>
      <c r="H2639" s="4">
        <v>21777.25</v>
      </c>
    </row>
    <row r="2640" s="1" customFormat="1" ht="14" spans="1:8">
      <c r="A2640" s="2">
        <v>9107201</v>
      </c>
      <c r="B2640" s="2" t="s">
        <v>3319</v>
      </c>
      <c r="C2640" s="3" t="s">
        <v>3038</v>
      </c>
      <c r="D2640" s="4">
        <v>755.57</v>
      </c>
      <c r="E2640" s="4">
        <v>131.45</v>
      </c>
      <c r="F2640" s="4">
        <v>99319.68</v>
      </c>
      <c r="G2640" s="4">
        <v>131.73</v>
      </c>
      <c r="H2640" s="4">
        <v>99531.23</v>
      </c>
    </row>
    <row r="2641" s="1" customFormat="1" ht="14" spans="1:8">
      <c r="A2641" s="2">
        <v>9107211</v>
      </c>
      <c r="B2641" s="2" t="s">
        <v>3320</v>
      </c>
      <c r="C2641" s="3" t="s">
        <v>3038</v>
      </c>
      <c r="D2641" s="4">
        <v>386.48</v>
      </c>
      <c r="E2641" s="4">
        <v>6227.98</v>
      </c>
      <c r="F2641" s="4">
        <v>2407070.64</v>
      </c>
      <c r="G2641" s="4">
        <v>6752.22</v>
      </c>
      <c r="H2641" s="4">
        <v>2610040.91</v>
      </c>
    </row>
    <row r="2642" s="1" customFormat="1" ht="14" spans="1:8">
      <c r="A2642" s="2">
        <v>9107221</v>
      </c>
      <c r="B2642" s="2" t="s">
        <v>3321</v>
      </c>
      <c r="C2642" s="3" t="s">
        <v>3038</v>
      </c>
      <c r="D2642" s="4">
        <v>31.73</v>
      </c>
      <c r="E2642" s="4">
        <v>325.37</v>
      </c>
      <c r="F2642" s="4">
        <v>10321.71</v>
      </c>
      <c r="G2642" s="4">
        <v>349.9</v>
      </c>
      <c r="H2642" s="4">
        <v>11099.88</v>
      </c>
    </row>
    <row r="2643" s="1" customFormat="1" ht="14" spans="1:8">
      <c r="A2643" s="2">
        <v>9107251</v>
      </c>
      <c r="B2643" s="2" t="s">
        <v>3322</v>
      </c>
      <c r="C2643" s="3" t="s">
        <v>3038</v>
      </c>
      <c r="D2643" s="4">
        <v>2632.48</v>
      </c>
      <c r="E2643" s="4">
        <v>24.91</v>
      </c>
      <c r="F2643" s="4">
        <v>65575.06</v>
      </c>
      <c r="G2643" s="4">
        <v>24.98</v>
      </c>
      <c r="H2643" s="4">
        <v>65759.3</v>
      </c>
    </row>
    <row r="2644" s="1" customFormat="1" ht="14" spans="1:8">
      <c r="A2644" s="2">
        <v>9107253</v>
      </c>
      <c r="B2644" s="2" t="s">
        <v>3323</v>
      </c>
      <c r="C2644" s="3" t="s">
        <v>3038</v>
      </c>
      <c r="D2644" s="4">
        <v>908.18</v>
      </c>
      <c r="E2644" s="4">
        <v>27.03</v>
      </c>
      <c r="F2644" s="4">
        <v>24548.45</v>
      </c>
      <c r="G2644" s="4">
        <v>27.11</v>
      </c>
      <c r="H2644" s="4">
        <v>24621.11</v>
      </c>
    </row>
    <row r="2645" s="1" customFormat="1" ht="14" spans="1:8">
      <c r="A2645" s="2">
        <v>9107301</v>
      </c>
      <c r="B2645" s="2" t="s">
        <v>3324</v>
      </c>
      <c r="C2645" s="3" t="s">
        <v>3038</v>
      </c>
      <c r="D2645" s="4">
        <v>448.35</v>
      </c>
      <c r="E2645" s="4">
        <v>7539.12</v>
      </c>
      <c r="F2645" s="4">
        <v>3385068.95</v>
      </c>
      <c r="G2645" s="4">
        <v>8243.42</v>
      </c>
      <c r="H2645" s="4">
        <v>3701679.51</v>
      </c>
    </row>
    <row r="2646" s="1" customFormat="1" ht="14" spans="1:8">
      <c r="A2646" s="2">
        <v>9107311</v>
      </c>
      <c r="B2646" s="2" t="s">
        <v>3325</v>
      </c>
      <c r="C2646" s="3" t="s">
        <v>3038</v>
      </c>
      <c r="D2646" s="4">
        <v>13.51</v>
      </c>
      <c r="E2646" s="4">
        <v>25753.29</v>
      </c>
      <c r="F2646" s="4">
        <v>347720.92</v>
      </c>
      <c r="G2646" s="4">
        <v>27643.13</v>
      </c>
      <c r="H2646" s="4">
        <v>373273.04</v>
      </c>
    </row>
    <row r="2647" s="1" customFormat="1" ht="14" spans="1:8">
      <c r="A2647" s="2">
        <v>9107402</v>
      </c>
      <c r="B2647" s="2" t="s">
        <v>3326</v>
      </c>
      <c r="C2647" s="3" t="s">
        <v>3038</v>
      </c>
      <c r="D2647" s="4">
        <v>4.4</v>
      </c>
      <c r="E2647" s="4">
        <v>5643.96</v>
      </c>
      <c r="F2647" s="4">
        <v>24833.43</v>
      </c>
      <c r="G2647" s="4">
        <v>6158.24</v>
      </c>
      <c r="H2647" s="4">
        <v>27096.26</v>
      </c>
    </row>
    <row r="2648" s="1" customFormat="1" ht="14" spans="1:8">
      <c r="A2648" s="2">
        <v>9107404</v>
      </c>
      <c r="B2648" s="2" t="s">
        <v>3327</v>
      </c>
      <c r="C2648" s="3" t="s">
        <v>3038</v>
      </c>
      <c r="D2648" s="4">
        <v>235.5</v>
      </c>
      <c r="E2648" s="4">
        <v>6728.57</v>
      </c>
      <c r="F2648" s="4">
        <v>1584578.26</v>
      </c>
      <c r="G2648" s="4">
        <v>7305.6</v>
      </c>
      <c r="H2648" s="4">
        <v>1720509.44</v>
      </c>
    </row>
    <row r="2649" s="1" customFormat="1" ht="14" spans="1:8">
      <c r="A2649" s="2">
        <v>9107420</v>
      </c>
      <c r="B2649" s="2" t="s">
        <v>3328</v>
      </c>
      <c r="C2649" s="3" t="s">
        <v>3038</v>
      </c>
      <c r="D2649" s="4">
        <v>1008.83</v>
      </c>
      <c r="E2649" s="4">
        <v>939.81</v>
      </c>
      <c r="F2649" s="4">
        <v>948108.51</v>
      </c>
      <c r="G2649" s="4">
        <v>1185.87</v>
      </c>
      <c r="H2649" s="4">
        <v>1196493.26</v>
      </c>
    </row>
    <row r="2650" s="1" customFormat="1" ht="14" spans="1:8">
      <c r="A2650" s="2">
        <v>9107463</v>
      </c>
      <c r="B2650" s="2" t="s">
        <v>3329</v>
      </c>
      <c r="C2650" s="3" t="s">
        <v>3038</v>
      </c>
      <c r="D2650" s="4">
        <v>169.92</v>
      </c>
      <c r="E2650" s="4">
        <v>7159.64</v>
      </c>
      <c r="F2650" s="4">
        <v>1216566.03</v>
      </c>
      <c r="G2650" s="4">
        <v>7827.07</v>
      </c>
      <c r="H2650" s="4">
        <v>1329382.15</v>
      </c>
    </row>
    <row r="2651" s="1" customFormat="1" ht="14" spans="1:8">
      <c r="A2651" s="2">
        <v>9107501</v>
      </c>
      <c r="B2651" s="2" t="s">
        <v>3330</v>
      </c>
      <c r="C2651" s="3" t="s">
        <v>3038</v>
      </c>
      <c r="D2651" s="4">
        <v>455.85</v>
      </c>
      <c r="E2651" s="4">
        <v>1570</v>
      </c>
      <c r="F2651" s="4">
        <v>715684.5</v>
      </c>
      <c r="G2651" s="4">
        <v>1721.68</v>
      </c>
      <c r="H2651" s="4">
        <v>784594.94</v>
      </c>
    </row>
    <row r="2652" s="1" customFormat="1" ht="14" spans="1:8">
      <c r="A2652" s="2">
        <v>9107521</v>
      </c>
      <c r="B2652" s="2" t="s">
        <v>3331</v>
      </c>
      <c r="C2652" s="3" t="s">
        <v>3038</v>
      </c>
      <c r="D2652" s="4">
        <v>3358.64</v>
      </c>
      <c r="E2652" s="4">
        <v>1810.11</v>
      </c>
      <c r="F2652" s="4">
        <v>6079551.11</v>
      </c>
      <c r="G2652" s="4">
        <v>2118.35</v>
      </c>
      <c r="H2652" s="4">
        <v>7111078.53</v>
      </c>
    </row>
    <row r="2653" s="1" customFormat="1" ht="14" spans="1:8">
      <c r="A2653" s="2">
        <v>9107531</v>
      </c>
      <c r="B2653" s="2" t="s">
        <v>3332</v>
      </c>
      <c r="C2653" s="3" t="s">
        <v>3038</v>
      </c>
      <c r="D2653" s="4">
        <v>207.12</v>
      </c>
      <c r="E2653" s="4">
        <v>1811.39</v>
      </c>
      <c r="F2653" s="4">
        <v>375173.28</v>
      </c>
      <c r="G2653" s="4">
        <v>2119.68</v>
      </c>
      <c r="H2653" s="4">
        <v>438797.95</v>
      </c>
    </row>
    <row r="2654" s="1" customFormat="1" ht="14" spans="1:8">
      <c r="A2654" s="2">
        <v>9107533</v>
      </c>
      <c r="B2654" s="2" t="s">
        <v>3333</v>
      </c>
      <c r="C2654" s="3" t="s">
        <v>3038</v>
      </c>
      <c r="D2654" s="4">
        <v>207.12</v>
      </c>
      <c r="E2654" s="4">
        <v>253.04</v>
      </c>
      <c r="F2654" s="4">
        <v>52409.4</v>
      </c>
      <c r="G2654" s="4">
        <v>253.64</v>
      </c>
      <c r="H2654" s="4">
        <v>52533.65</v>
      </c>
    </row>
    <row r="2655" s="1" customFormat="1" ht="14" spans="1:8">
      <c r="A2655" s="2">
        <v>9107534</v>
      </c>
      <c r="B2655" s="2" t="s">
        <v>3334</v>
      </c>
      <c r="C2655" s="3" t="s">
        <v>3038</v>
      </c>
      <c r="D2655" s="4">
        <v>210.39</v>
      </c>
      <c r="E2655" s="4">
        <v>6290.32</v>
      </c>
      <c r="F2655" s="4">
        <v>1323414.14</v>
      </c>
      <c r="G2655" s="4">
        <v>6850.97</v>
      </c>
      <c r="H2655" s="4">
        <v>1440954.51</v>
      </c>
    </row>
    <row r="2656" s="1" customFormat="1" ht="14" spans="1:8">
      <c r="A2656" s="2">
        <v>9107551</v>
      </c>
      <c r="B2656" s="2" t="s">
        <v>3335</v>
      </c>
      <c r="C2656" s="3" t="s">
        <v>3038</v>
      </c>
      <c r="D2656" s="4">
        <v>5.04</v>
      </c>
      <c r="E2656" s="4">
        <v>27.02</v>
      </c>
      <c r="F2656" s="4">
        <v>136.18</v>
      </c>
      <c r="G2656" s="4">
        <v>27.05</v>
      </c>
      <c r="H2656" s="4">
        <v>136.33</v>
      </c>
    </row>
    <row r="2657" s="1" customFormat="1" ht="14" spans="1:8">
      <c r="A2657" s="2">
        <v>9107561</v>
      </c>
      <c r="B2657" s="2" t="s">
        <v>3336</v>
      </c>
      <c r="C2657" s="3" t="s">
        <v>3038</v>
      </c>
      <c r="D2657" s="4">
        <v>51.84</v>
      </c>
      <c r="E2657" s="4">
        <v>186.59</v>
      </c>
      <c r="F2657" s="4">
        <v>9672.84</v>
      </c>
      <c r="G2657" s="4">
        <v>214.56</v>
      </c>
      <c r="H2657" s="4">
        <v>11102.74</v>
      </c>
    </row>
    <row r="2658" s="1" customFormat="1" ht="14" spans="1:8">
      <c r="A2658" s="2">
        <v>9108005</v>
      </c>
      <c r="B2658" s="2" t="s">
        <v>3337</v>
      </c>
      <c r="C2658" s="3" t="s">
        <v>3038</v>
      </c>
      <c r="D2658" s="4">
        <v>852.77</v>
      </c>
      <c r="E2658" s="4">
        <v>641.05</v>
      </c>
      <c r="F2658" s="4">
        <v>546668.21</v>
      </c>
      <c r="G2658" s="4">
        <v>994.96</v>
      </c>
      <c r="H2658" s="4">
        <v>848472.04</v>
      </c>
    </row>
    <row r="2659" s="1" customFormat="1" ht="14" spans="1:8">
      <c r="A2659" s="2">
        <v>9108031</v>
      </c>
      <c r="B2659" s="2" t="s">
        <v>3338</v>
      </c>
      <c r="C2659" s="3" t="s">
        <v>3038</v>
      </c>
      <c r="D2659" s="4">
        <v>852.77</v>
      </c>
      <c r="E2659" s="4">
        <v>98.8</v>
      </c>
      <c r="F2659" s="4">
        <v>84253.66</v>
      </c>
      <c r="G2659" s="4">
        <v>132.26</v>
      </c>
      <c r="H2659" s="4">
        <v>112787.34</v>
      </c>
    </row>
    <row r="2660" s="1" customFormat="1" ht="14" spans="1:8">
      <c r="A2660" s="2">
        <v>9108101</v>
      </c>
      <c r="B2660" s="2" t="s">
        <v>3339</v>
      </c>
      <c r="C2660" s="3" t="s">
        <v>3038</v>
      </c>
      <c r="D2660" s="4">
        <v>71.43</v>
      </c>
      <c r="E2660" s="4">
        <v>114.34</v>
      </c>
      <c r="F2660" s="4">
        <v>8231.67</v>
      </c>
      <c r="G2660" s="4">
        <v>141.37</v>
      </c>
      <c r="H2660" s="4">
        <v>10190.56</v>
      </c>
    </row>
    <row r="2661" s="1" customFormat="1" ht="14" spans="1:8">
      <c r="A2661" s="2">
        <v>9108102</v>
      </c>
      <c r="B2661" s="2" t="s">
        <v>3340</v>
      </c>
      <c r="C2661" s="3" t="s">
        <v>3038</v>
      </c>
      <c r="D2661" s="4">
        <v>69.31</v>
      </c>
      <c r="E2661" s="4">
        <v>128.08</v>
      </c>
      <c r="F2661" s="4">
        <v>9007.33</v>
      </c>
      <c r="G2661" s="4">
        <v>163.02</v>
      </c>
      <c r="H2661" s="4">
        <v>11473.12</v>
      </c>
    </row>
    <row r="2662" s="1" customFormat="1" ht="14" spans="1:8">
      <c r="A2662" s="2">
        <v>9108111</v>
      </c>
      <c r="B2662" s="2" t="s">
        <v>3341</v>
      </c>
      <c r="C2662" s="3" t="s">
        <v>3038</v>
      </c>
      <c r="D2662" s="4">
        <v>9.2</v>
      </c>
      <c r="E2662" s="4">
        <v>94.05</v>
      </c>
      <c r="F2662" s="4">
        <v>889.46</v>
      </c>
      <c r="G2662" s="4">
        <v>110.9</v>
      </c>
      <c r="H2662" s="4">
        <v>1049.7</v>
      </c>
    </row>
    <row r="2663" s="1" customFormat="1" ht="14" spans="1:8">
      <c r="A2663" s="2">
        <v>9108131</v>
      </c>
      <c r="B2663" s="2" t="s">
        <v>3342</v>
      </c>
      <c r="C2663" s="3" t="s">
        <v>3038</v>
      </c>
      <c r="D2663" s="4">
        <v>1134.02</v>
      </c>
      <c r="E2663" s="4">
        <v>74.54</v>
      </c>
      <c r="F2663" s="4">
        <v>87121.93</v>
      </c>
      <c r="G2663" s="4">
        <v>89.55</v>
      </c>
      <c r="H2663" s="4">
        <v>104771.64</v>
      </c>
    </row>
    <row r="2664" s="1" customFormat="1" ht="14" spans="1:8">
      <c r="A2664" s="2">
        <v>9108132</v>
      </c>
      <c r="B2664" s="2" t="s">
        <v>3343</v>
      </c>
      <c r="C2664" s="3" t="s">
        <v>3038</v>
      </c>
      <c r="D2664" s="4">
        <v>1211.29</v>
      </c>
      <c r="E2664" s="4">
        <v>85.9</v>
      </c>
      <c r="F2664" s="4">
        <v>105480.21</v>
      </c>
      <c r="G2664" s="4">
        <v>102.74</v>
      </c>
      <c r="H2664" s="4">
        <v>126149.25</v>
      </c>
    </row>
    <row r="2665" s="1" customFormat="1" ht="14" spans="1:8">
      <c r="A2665" s="2">
        <v>9108134</v>
      </c>
      <c r="B2665" s="2" t="s">
        <v>3344</v>
      </c>
      <c r="C2665" s="3" t="s">
        <v>3038</v>
      </c>
      <c r="D2665" s="4">
        <v>631.23</v>
      </c>
      <c r="E2665" s="4">
        <v>110.05</v>
      </c>
      <c r="F2665" s="4">
        <v>75787.19</v>
      </c>
      <c r="G2665" s="4">
        <v>138.19</v>
      </c>
      <c r="H2665" s="4">
        <v>101104.23</v>
      </c>
    </row>
    <row r="2666" s="1" customFormat="1" ht="14" spans="1:8">
      <c r="A2666" s="2">
        <v>9108136</v>
      </c>
      <c r="B2666" s="2" t="s">
        <v>3345</v>
      </c>
      <c r="C2666" s="3" t="s">
        <v>3038</v>
      </c>
      <c r="D2666" s="4">
        <v>564.59</v>
      </c>
      <c r="E2666" s="4">
        <v>68.79</v>
      </c>
      <c r="F2666" s="4">
        <v>41214.93</v>
      </c>
      <c r="G2666" s="4">
        <v>80.62</v>
      </c>
      <c r="H2666" s="4">
        <v>48404.04</v>
      </c>
    </row>
    <row r="2667" s="1" customFormat="1" ht="14" spans="1:8">
      <c r="A2667" s="2">
        <v>9108141</v>
      </c>
      <c r="B2667" s="2" t="s">
        <v>3346</v>
      </c>
      <c r="C2667" s="3" t="s">
        <v>3038</v>
      </c>
      <c r="D2667" s="4">
        <v>47.69</v>
      </c>
      <c r="E2667" s="4">
        <v>87.35</v>
      </c>
      <c r="F2667" s="4">
        <v>4484.29</v>
      </c>
      <c r="G2667" s="4">
        <v>107.56</v>
      </c>
      <c r="H2667" s="4">
        <v>5507.69</v>
      </c>
    </row>
    <row r="2668" s="1" customFormat="1" ht="14" spans="1:8">
      <c r="A2668" s="2">
        <v>9108164</v>
      </c>
      <c r="B2668" s="2" t="s">
        <v>3347</v>
      </c>
      <c r="C2668" s="3" t="s">
        <v>3038</v>
      </c>
      <c r="D2668" s="4">
        <v>1868.42</v>
      </c>
      <c r="E2668" s="4">
        <v>89.9</v>
      </c>
      <c r="F2668" s="4">
        <v>169143.4</v>
      </c>
      <c r="G2668" s="4">
        <v>108.45</v>
      </c>
      <c r="H2668" s="4">
        <v>208405.25</v>
      </c>
    </row>
    <row r="2669" s="1" customFormat="1" ht="14" spans="1:8">
      <c r="A2669" s="2">
        <v>9108166</v>
      </c>
      <c r="B2669" s="2" t="s">
        <v>3348</v>
      </c>
      <c r="C2669" s="3" t="s">
        <v>3038</v>
      </c>
      <c r="D2669" s="4">
        <v>146.09</v>
      </c>
      <c r="E2669" s="4">
        <v>72.71</v>
      </c>
      <c r="F2669" s="4">
        <v>11217.07</v>
      </c>
      <c r="G2669" s="4">
        <v>83.96</v>
      </c>
      <c r="H2669" s="4">
        <v>12979.84</v>
      </c>
    </row>
    <row r="2670" s="1" customFormat="1" ht="14" spans="1:8">
      <c r="A2670" s="2">
        <v>9108168</v>
      </c>
      <c r="B2670" s="2" t="s">
        <v>3349</v>
      </c>
      <c r="C2670" s="3" t="s">
        <v>3038</v>
      </c>
      <c r="D2670" s="4">
        <v>43.15</v>
      </c>
      <c r="E2670" s="4">
        <v>147.83</v>
      </c>
      <c r="F2670" s="4">
        <v>6379.02</v>
      </c>
      <c r="G2670" s="4">
        <v>192.09</v>
      </c>
      <c r="H2670" s="4">
        <v>8288.88</v>
      </c>
    </row>
    <row r="2671" s="1" customFormat="1" ht="14" spans="1:8">
      <c r="A2671" s="2">
        <v>9108171</v>
      </c>
      <c r="B2671" s="2" t="s">
        <v>3350</v>
      </c>
      <c r="C2671" s="3" t="s">
        <v>3038</v>
      </c>
      <c r="D2671" s="4">
        <v>392.49</v>
      </c>
      <c r="E2671" s="4">
        <v>6.45</v>
      </c>
      <c r="F2671" s="4">
        <v>2531.56</v>
      </c>
      <c r="G2671" s="4">
        <v>8.79</v>
      </c>
      <c r="H2671" s="4">
        <v>3458.82</v>
      </c>
    </row>
    <row r="2672" s="1" customFormat="1" ht="14" spans="1:8">
      <c r="A2672" s="2">
        <v>9108173</v>
      </c>
      <c r="B2672" s="2" t="s">
        <v>3351</v>
      </c>
      <c r="C2672" s="3" t="s">
        <v>3038</v>
      </c>
      <c r="D2672" s="4">
        <v>257.1</v>
      </c>
      <c r="E2672" s="4">
        <v>12.03</v>
      </c>
      <c r="F2672" s="4">
        <v>3092.93</v>
      </c>
      <c r="G2672" s="4">
        <v>22.89</v>
      </c>
      <c r="H2672" s="4">
        <v>5884.62</v>
      </c>
    </row>
    <row r="2673" s="1" customFormat="1" ht="14" spans="1:8">
      <c r="A2673" s="2">
        <v>9108175</v>
      </c>
      <c r="B2673" s="2" t="s">
        <v>3352</v>
      </c>
      <c r="C2673" s="3" t="s">
        <v>3038</v>
      </c>
      <c r="D2673" s="4">
        <v>361.43</v>
      </c>
      <c r="E2673" s="4">
        <v>5.33</v>
      </c>
      <c r="F2673" s="4">
        <v>1926.4</v>
      </c>
      <c r="G2673" s="4">
        <v>8.23</v>
      </c>
      <c r="H2673" s="4">
        <v>2947.87</v>
      </c>
    </row>
    <row r="2674" s="1" customFormat="1" ht="14" spans="1:8">
      <c r="A2674" s="2">
        <v>9108201</v>
      </c>
      <c r="B2674" s="2" t="s">
        <v>3353</v>
      </c>
      <c r="C2674" s="3" t="s">
        <v>3038</v>
      </c>
      <c r="D2674" s="4">
        <v>1.52</v>
      </c>
      <c r="E2674" s="4">
        <v>112.53</v>
      </c>
      <c r="F2674" s="4">
        <v>170.82</v>
      </c>
      <c r="G2674" s="4">
        <v>132.2</v>
      </c>
      <c r="H2674" s="4">
        <v>200.68</v>
      </c>
    </row>
    <row r="2675" s="1" customFormat="1" ht="14" spans="1:8">
      <c r="A2675" s="2">
        <v>9108204</v>
      </c>
      <c r="B2675" s="2" t="s">
        <v>3354</v>
      </c>
      <c r="C2675" s="3" t="s">
        <v>3038</v>
      </c>
      <c r="D2675" s="4">
        <v>240.85</v>
      </c>
      <c r="E2675" s="4">
        <v>171.91</v>
      </c>
      <c r="F2675" s="4">
        <v>41565.14</v>
      </c>
      <c r="G2675" s="4">
        <v>215.21</v>
      </c>
      <c r="H2675" s="4">
        <v>52049.26</v>
      </c>
    </row>
    <row r="2676" s="1" customFormat="1" ht="14" spans="1:8">
      <c r="A2676" s="2">
        <v>9108206</v>
      </c>
      <c r="B2676" s="2" t="s">
        <v>3355</v>
      </c>
      <c r="C2676" s="3" t="s">
        <v>3038</v>
      </c>
      <c r="D2676" s="4">
        <v>49.7</v>
      </c>
      <c r="E2676" s="4">
        <v>438.61</v>
      </c>
      <c r="F2676" s="4">
        <v>21792.09</v>
      </c>
      <c r="G2676" s="4">
        <v>494.78</v>
      </c>
      <c r="H2676" s="4">
        <v>24583.95</v>
      </c>
    </row>
    <row r="2677" s="1" customFormat="1" ht="14" spans="1:8">
      <c r="A2677" s="2">
        <v>9108211</v>
      </c>
      <c r="B2677" s="2" t="s">
        <v>3356</v>
      </c>
      <c r="C2677" s="3" t="s">
        <v>3038</v>
      </c>
      <c r="D2677" s="4">
        <v>21.16</v>
      </c>
      <c r="E2677" s="4">
        <v>143.32</v>
      </c>
      <c r="F2677" s="4">
        <v>3103.44</v>
      </c>
      <c r="G2677" s="4">
        <v>173.1</v>
      </c>
      <c r="H2677" s="4">
        <v>3753.09</v>
      </c>
    </row>
    <row r="2678" s="1" customFormat="1" ht="14" spans="1:8">
      <c r="A2678" s="2">
        <v>9108215</v>
      </c>
      <c r="B2678" s="2" t="s">
        <v>3357</v>
      </c>
      <c r="C2678" s="3" t="s">
        <v>3038</v>
      </c>
      <c r="D2678" s="4">
        <v>99.66</v>
      </c>
      <c r="E2678" s="4">
        <v>222.78</v>
      </c>
      <c r="F2678" s="4">
        <v>22218.92</v>
      </c>
      <c r="G2678" s="4">
        <v>266.33</v>
      </c>
      <c r="H2678" s="4">
        <v>26566.19</v>
      </c>
    </row>
    <row r="2679" s="1" customFormat="1" ht="14" spans="1:8">
      <c r="A2679" s="2">
        <v>9108221</v>
      </c>
      <c r="B2679" s="2" t="s">
        <v>3358</v>
      </c>
      <c r="C2679" s="3" t="s">
        <v>3038</v>
      </c>
      <c r="D2679" s="4">
        <v>182.39</v>
      </c>
      <c r="E2679" s="4">
        <v>101.6</v>
      </c>
      <c r="F2679" s="4">
        <v>19260.47</v>
      </c>
      <c r="G2679" s="4">
        <v>128.25</v>
      </c>
      <c r="H2679" s="4">
        <v>24297.21</v>
      </c>
    </row>
    <row r="2680" s="1" customFormat="1" ht="14" spans="1:8">
      <c r="A2680" s="2">
        <v>9108224</v>
      </c>
      <c r="B2680" s="2" t="s">
        <v>3359</v>
      </c>
      <c r="C2680" s="3" t="s">
        <v>3038</v>
      </c>
      <c r="D2680" s="4">
        <v>0.08</v>
      </c>
      <c r="E2680" s="4">
        <v>161.86</v>
      </c>
      <c r="F2680" s="4">
        <v>11.66</v>
      </c>
      <c r="G2680" s="4">
        <v>206.47</v>
      </c>
      <c r="H2680" s="4">
        <v>14.86</v>
      </c>
    </row>
    <row r="2681" s="1" customFormat="1" ht="14" spans="1:8">
      <c r="A2681" s="2">
        <v>9108241</v>
      </c>
      <c r="B2681" s="2" t="s">
        <v>3360</v>
      </c>
      <c r="C2681" s="3" t="s">
        <v>3038</v>
      </c>
      <c r="D2681" s="4">
        <v>4.6</v>
      </c>
      <c r="E2681" s="4">
        <v>131.38</v>
      </c>
      <c r="F2681" s="4">
        <v>616.47</v>
      </c>
      <c r="G2681" s="4">
        <v>161.06</v>
      </c>
      <c r="H2681" s="4">
        <v>756.97</v>
      </c>
    </row>
    <row r="2682" s="1" customFormat="1" ht="14" spans="1:8">
      <c r="A2682" s="2">
        <v>9108251</v>
      </c>
      <c r="B2682" s="2" t="s">
        <v>3361</v>
      </c>
      <c r="C2682" s="3" t="s">
        <v>3038</v>
      </c>
      <c r="D2682" s="4">
        <v>50.42</v>
      </c>
      <c r="E2682" s="4">
        <v>590.04</v>
      </c>
      <c r="F2682" s="4">
        <v>29803.77</v>
      </c>
      <c r="G2682" s="4">
        <v>646.94</v>
      </c>
      <c r="H2682" s="4">
        <v>32681.42</v>
      </c>
    </row>
    <row r="2683" s="1" customFormat="1" ht="14" spans="1:8">
      <c r="A2683" s="2">
        <v>9108256</v>
      </c>
      <c r="B2683" s="2" t="s">
        <v>3362</v>
      </c>
      <c r="C2683" s="3" t="s">
        <v>3038</v>
      </c>
      <c r="D2683" s="4">
        <v>14.72</v>
      </c>
      <c r="E2683" s="4">
        <v>158.48</v>
      </c>
      <c r="F2683" s="4">
        <v>2337.8</v>
      </c>
      <c r="G2683" s="4">
        <v>188.27</v>
      </c>
      <c r="H2683" s="4">
        <v>2778.56</v>
      </c>
    </row>
    <row r="2684" s="1" customFormat="1" ht="14" spans="1:8">
      <c r="A2684" s="2">
        <v>9108263</v>
      </c>
      <c r="B2684" s="2" t="s">
        <v>3363</v>
      </c>
      <c r="C2684" s="3" t="s">
        <v>3038</v>
      </c>
      <c r="D2684" s="4">
        <v>353.52</v>
      </c>
      <c r="E2684" s="4">
        <v>43.68</v>
      </c>
      <c r="F2684" s="4">
        <v>15442.8</v>
      </c>
      <c r="G2684" s="4">
        <v>66.33</v>
      </c>
      <c r="H2684" s="4">
        <v>23499.04</v>
      </c>
    </row>
    <row r="2685" s="1" customFormat="1" ht="14" spans="1:8">
      <c r="A2685" s="2">
        <v>9108266</v>
      </c>
      <c r="B2685" s="2" t="s">
        <v>3364</v>
      </c>
      <c r="C2685" s="3" t="s">
        <v>3038</v>
      </c>
      <c r="D2685" s="4">
        <v>0.68</v>
      </c>
      <c r="E2685" s="4">
        <v>9.58</v>
      </c>
      <c r="F2685" s="4">
        <v>6.52</v>
      </c>
      <c r="G2685" s="4">
        <v>13.82</v>
      </c>
      <c r="H2685" s="4">
        <v>9.4</v>
      </c>
    </row>
    <row r="2686" s="1" customFormat="1" ht="14" spans="1:8">
      <c r="A2686" s="2">
        <v>9108267</v>
      </c>
      <c r="B2686" s="2" t="s">
        <v>3365</v>
      </c>
      <c r="C2686" s="3" t="s">
        <v>3038</v>
      </c>
      <c r="D2686" s="4">
        <v>185.25</v>
      </c>
      <c r="E2686" s="4">
        <v>67.09</v>
      </c>
      <c r="F2686" s="4">
        <v>12428.43</v>
      </c>
      <c r="G2686" s="4">
        <v>101.55</v>
      </c>
      <c r="H2686" s="4">
        <v>18660.27</v>
      </c>
    </row>
    <row r="2687" s="1" customFormat="1" ht="14" spans="1:8">
      <c r="A2687" s="2">
        <v>9108271</v>
      </c>
      <c r="B2687" s="2" t="s">
        <v>3366</v>
      </c>
      <c r="C2687" s="3" t="s">
        <v>3038</v>
      </c>
      <c r="D2687" s="4">
        <v>7.82</v>
      </c>
      <c r="E2687" s="4">
        <v>9.21</v>
      </c>
      <c r="F2687" s="4">
        <v>71.99</v>
      </c>
      <c r="G2687" s="4">
        <v>13.45</v>
      </c>
      <c r="H2687" s="4">
        <v>105.74</v>
      </c>
    </row>
    <row r="2688" s="1" customFormat="1" ht="14" spans="1:8">
      <c r="A2688" s="2">
        <v>9108274</v>
      </c>
      <c r="B2688" s="2" t="s">
        <v>3367</v>
      </c>
      <c r="C2688" s="3" t="s">
        <v>3038</v>
      </c>
      <c r="D2688" s="4">
        <v>7.75</v>
      </c>
      <c r="E2688" s="4">
        <v>17.01</v>
      </c>
      <c r="F2688" s="4">
        <v>132.12</v>
      </c>
      <c r="G2688" s="4">
        <v>21.26</v>
      </c>
      <c r="H2688" s="4">
        <v>165.75</v>
      </c>
    </row>
    <row r="2689" s="1" customFormat="1" ht="14" spans="1:8">
      <c r="A2689" s="2">
        <v>9108281</v>
      </c>
      <c r="B2689" s="2" t="s">
        <v>3368</v>
      </c>
      <c r="C2689" s="3" t="s">
        <v>3038</v>
      </c>
      <c r="D2689" s="4">
        <v>3.81</v>
      </c>
      <c r="E2689" s="4">
        <v>4.47</v>
      </c>
      <c r="F2689" s="4">
        <v>17.03</v>
      </c>
      <c r="G2689" s="4">
        <v>7.49</v>
      </c>
      <c r="H2689" s="4">
        <v>28.85</v>
      </c>
    </row>
    <row r="2690" s="1" customFormat="1" ht="14" spans="1:8">
      <c r="A2690" s="2">
        <v>9108301</v>
      </c>
      <c r="B2690" s="2" t="s">
        <v>3369</v>
      </c>
      <c r="C2690" s="3" t="s">
        <v>3038</v>
      </c>
      <c r="D2690" s="4">
        <v>418.21</v>
      </c>
      <c r="E2690" s="4">
        <v>88.51</v>
      </c>
      <c r="F2690" s="4">
        <v>37016.3</v>
      </c>
      <c r="G2690" s="4">
        <v>102.05</v>
      </c>
      <c r="H2690" s="4">
        <v>42686.27</v>
      </c>
    </row>
    <row r="2691" s="1" customFormat="1" ht="14" spans="1:8">
      <c r="A2691" s="2">
        <v>9108333</v>
      </c>
      <c r="B2691" s="2" t="s">
        <v>3370</v>
      </c>
      <c r="C2691" s="3" t="s">
        <v>3038</v>
      </c>
      <c r="D2691" s="4">
        <v>274.95</v>
      </c>
      <c r="E2691" s="4">
        <v>15.53</v>
      </c>
      <c r="F2691" s="4">
        <v>4269.97</v>
      </c>
      <c r="G2691" s="4">
        <v>30.59</v>
      </c>
      <c r="H2691" s="4">
        <v>8564.36</v>
      </c>
    </row>
    <row r="2692" s="1" customFormat="1" ht="14" spans="1:8">
      <c r="A2692" s="2">
        <v>9108341</v>
      </c>
      <c r="B2692" s="2" t="s">
        <v>3371</v>
      </c>
      <c r="C2692" s="3" t="s">
        <v>3038</v>
      </c>
      <c r="D2692" s="4">
        <v>37.41</v>
      </c>
      <c r="E2692" s="4">
        <v>203.41</v>
      </c>
      <c r="F2692" s="4">
        <v>7610.59</v>
      </c>
      <c r="G2692" s="4">
        <v>237.03</v>
      </c>
      <c r="H2692" s="4">
        <v>8868.48</v>
      </c>
    </row>
    <row r="2693" s="1" customFormat="1" ht="14" spans="1:8">
      <c r="A2693" s="2">
        <v>9108401</v>
      </c>
      <c r="B2693" s="2" t="s">
        <v>3372</v>
      </c>
      <c r="C2693" s="3" t="s">
        <v>3038</v>
      </c>
      <c r="D2693" s="4">
        <v>2588.99</v>
      </c>
      <c r="E2693" s="4">
        <v>20.66</v>
      </c>
      <c r="F2693" s="4">
        <v>53488.64</v>
      </c>
      <c r="G2693" s="4">
        <v>31.03</v>
      </c>
      <c r="H2693" s="4">
        <v>80475.92</v>
      </c>
    </row>
    <row r="2694" s="1" customFormat="1" ht="14" spans="1:8">
      <c r="A2694" s="2">
        <v>9108411</v>
      </c>
      <c r="B2694" s="2" t="s">
        <v>3373</v>
      </c>
      <c r="C2694" s="3" t="s">
        <v>3038</v>
      </c>
      <c r="D2694" s="4">
        <v>15197.42</v>
      </c>
      <c r="E2694" s="4">
        <v>22.51</v>
      </c>
      <c r="F2694" s="4">
        <v>342093.98</v>
      </c>
      <c r="G2694" s="4">
        <v>40.95</v>
      </c>
      <c r="H2694" s="4">
        <v>624768.04</v>
      </c>
    </row>
    <row r="2695" s="1" customFormat="1" ht="14" spans="1:8">
      <c r="A2695" s="2">
        <v>9108421</v>
      </c>
      <c r="B2695" s="2" t="s">
        <v>3374</v>
      </c>
      <c r="C2695" s="3" t="s">
        <v>3038</v>
      </c>
      <c r="D2695" s="4">
        <v>29820.15</v>
      </c>
      <c r="E2695" s="4">
        <v>10.86</v>
      </c>
      <c r="F2695" s="4">
        <v>323847.01</v>
      </c>
      <c r="G2695" s="4">
        <v>18.77</v>
      </c>
      <c r="H2695" s="4">
        <v>561843.32</v>
      </c>
    </row>
    <row r="2696" s="1" customFormat="1" ht="14" spans="1:8">
      <c r="A2696" s="2">
        <v>9108441</v>
      </c>
      <c r="B2696" s="2" t="s">
        <v>3375</v>
      </c>
      <c r="C2696" s="3" t="s">
        <v>3038</v>
      </c>
      <c r="D2696" s="4">
        <v>3016.86</v>
      </c>
      <c r="E2696" s="4">
        <v>40.11</v>
      </c>
      <c r="F2696" s="4">
        <v>121006.84</v>
      </c>
      <c r="G2696" s="4">
        <v>74.37</v>
      </c>
      <c r="H2696" s="4">
        <v>226145.11</v>
      </c>
    </row>
    <row r="2697" s="1" customFormat="1" ht="14" spans="1:8">
      <c r="A2697" s="2">
        <v>9108511</v>
      </c>
      <c r="B2697" s="2" t="s">
        <v>3376</v>
      </c>
      <c r="C2697" s="3" t="s">
        <v>3038</v>
      </c>
      <c r="D2697" s="4">
        <v>14192.26</v>
      </c>
      <c r="E2697" s="4">
        <v>9.98</v>
      </c>
      <c r="F2697" s="4">
        <v>141639.08</v>
      </c>
      <c r="G2697" s="4">
        <v>19.02</v>
      </c>
      <c r="H2697" s="4">
        <v>271152.72</v>
      </c>
    </row>
    <row r="2698" s="1" customFormat="1" ht="14" spans="1:8">
      <c r="A2698" s="2">
        <v>9108512</v>
      </c>
      <c r="B2698" s="2" t="s">
        <v>3377</v>
      </c>
      <c r="C2698" s="3" t="s">
        <v>3038</v>
      </c>
      <c r="D2698" s="4">
        <v>67.58</v>
      </c>
      <c r="E2698" s="4">
        <v>19.8</v>
      </c>
      <c r="F2698" s="4">
        <v>1338.14</v>
      </c>
      <c r="G2698" s="4">
        <v>36.73</v>
      </c>
      <c r="H2698" s="4">
        <v>2493</v>
      </c>
    </row>
    <row r="2699" s="1" customFormat="1" ht="14" spans="1:8">
      <c r="A2699" s="2">
        <v>9108521</v>
      </c>
      <c r="B2699" s="2" t="s">
        <v>3378</v>
      </c>
      <c r="C2699" s="3" t="s">
        <v>3038</v>
      </c>
      <c r="D2699" s="4">
        <v>552.94</v>
      </c>
      <c r="E2699" s="4">
        <v>20.95</v>
      </c>
      <c r="F2699" s="4">
        <v>11583.95</v>
      </c>
      <c r="G2699" s="4">
        <v>33.39</v>
      </c>
      <c r="H2699" s="4">
        <v>18527.68</v>
      </c>
    </row>
    <row r="2700" s="1" customFormat="1" ht="14" spans="1:8">
      <c r="A2700" s="2">
        <v>9108601</v>
      </c>
      <c r="B2700" s="2" t="s">
        <v>3379</v>
      </c>
      <c r="C2700" s="3" t="s">
        <v>3038</v>
      </c>
      <c r="D2700" s="4">
        <v>1.59</v>
      </c>
      <c r="E2700" s="4">
        <v>10.91</v>
      </c>
      <c r="F2700" s="4">
        <v>17.31</v>
      </c>
      <c r="G2700" s="4">
        <v>10.94</v>
      </c>
      <c r="H2700" s="4">
        <v>17.36</v>
      </c>
    </row>
    <row r="2701" s="1" customFormat="1" ht="14" spans="1:8">
      <c r="A2701" s="2">
        <v>9108621</v>
      </c>
      <c r="B2701" s="2" t="s">
        <v>3380</v>
      </c>
      <c r="C2701" s="3" t="s">
        <v>3038</v>
      </c>
      <c r="D2701" s="4">
        <v>667.24</v>
      </c>
      <c r="E2701" s="4">
        <v>82.94</v>
      </c>
      <c r="F2701" s="4">
        <v>55331.15</v>
      </c>
      <c r="G2701" s="4">
        <v>96.52</v>
      </c>
      <c r="H2701" s="4">
        <v>64364.25</v>
      </c>
    </row>
    <row r="2702" s="1" customFormat="1" ht="14" spans="1:8">
      <c r="A2702" s="2">
        <v>9108631</v>
      </c>
      <c r="B2702" s="2" t="s">
        <v>3381</v>
      </c>
      <c r="C2702" s="3" t="s">
        <v>3038</v>
      </c>
      <c r="D2702" s="4">
        <v>68.55</v>
      </c>
      <c r="E2702" s="4">
        <v>26</v>
      </c>
      <c r="F2702" s="4">
        <v>1782.34</v>
      </c>
      <c r="G2702" s="4">
        <v>42.59</v>
      </c>
      <c r="H2702" s="4">
        <v>2932.3</v>
      </c>
    </row>
    <row r="2703" s="1" customFormat="1" ht="14" spans="1:8">
      <c r="A2703" s="2">
        <v>9108634</v>
      </c>
      <c r="B2703" s="2" t="s">
        <v>3382</v>
      </c>
      <c r="C2703" s="3" t="s">
        <v>3038</v>
      </c>
      <c r="D2703" s="4">
        <v>13525.18</v>
      </c>
      <c r="E2703" s="4">
        <v>8.56</v>
      </c>
      <c r="F2703" s="4">
        <v>115775.26</v>
      </c>
      <c r="G2703" s="4">
        <v>15.19</v>
      </c>
      <c r="H2703" s="4">
        <v>205715.83</v>
      </c>
    </row>
    <row r="2704" s="1" customFormat="1" ht="14" spans="1:8">
      <c r="A2704" s="2">
        <v>9108641</v>
      </c>
      <c r="B2704" s="2" t="s">
        <v>3383</v>
      </c>
      <c r="C2704" s="3" t="s">
        <v>3038</v>
      </c>
      <c r="D2704" s="4">
        <v>306.43</v>
      </c>
      <c r="E2704" s="4">
        <v>13.17</v>
      </c>
      <c r="F2704" s="4">
        <v>4035.65</v>
      </c>
      <c r="G2704" s="4">
        <v>22.22</v>
      </c>
      <c r="H2704" s="4">
        <v>6829.34</v>
      </c>
    </row>
    <row r="2705" s="1" customFormat="1" ht="14" spans="1:8">
      <c r="A2705" s="2">
        <v>9108653</v>
      </c>
      <c r="B2705" s="2" t="s">
        <v>3384</v>
      </c>
      <c r="C2705" s="3" t="s">
        <v>3038</v>
      </c>
      <c r="D2705" s="4">
        <v>1336.62</v>
      </c>
      <c r="E2705" s="4">
        <v>13.28</v>
      </c>
      <c r="F2705" s="4">
        <v>17750.29</v>
      </c>
      <c r="G2705" s="4">
        <v>13.47</v>
      </c>
      <c r="H2705" s="4">
        <v>18004.23</v>
      </c>
    </row>
    <row r="2706" s="1" customFormat="1" ht="14" spans="1:8">
      <c r="A2706" s="2">
        <v>9108665</v>
      </c>
      <c r="B2706" s="2" t="s">
        <v>3385</v>
      </c>
      <c r="C2706" s="3" t="s">
        <v>3038</v>
      </c>
      <c r="D2706" s="4">
        <v>77.33</v>
      </c>
      <c r="E2706" s="4">
        <v>8.28</v>
      </c>
      <c r="F2706" s="4">
        <v>640.35</v>
      </c>
      <c r="G2706" s="4">
        <v>14.15</v>
      </c>
      <c r="H2706" s="4">
        <v>1078.85</v>
      </c>
    </row>
    <row r="2707" s="1" customFormat="1" ht="14" spans="1:8">
      <c r="A2707" s="2">
        <v>9108715</v>
      </c>
      <c r="B2707" s="2" t="s">
        <v>3386</v>
      </c>
      <c r="C2707" s="3" t="s">
        <v>3038</v>
      </c>
      <c r="D2707" s="4">
        <v>16.2</v>
      </c>
      <c r="E2707" s="4">
        <v>6.14</v>
      </c>
      <c r="F2707" s="4">
        <v>99.47</v>
      </c>
      <c r="G2707" s="4">
        <v>9.53</v>
      </c>
      <c r="H2707" s="4">
        <v>154.39</v>
      </c>
    </row>
    <row r="2708" s="1" customFormat="1" ht="14" spans="1:8">
      <c r="A2708" s="2">
        <v>9109001</v>
      </c>
      <c r="B2708" s="2" t="s">
        <v>3387</v>
      </c>
      <c r="C2708" s="3" t="s">
        <v>3038</v>
      </c>
      <c r="D2708" s="4">
        <v>219.88</v>
      </c>
      <c r="E2708" s="4">
        <v>35.43</v>
      </c>
      <c r="F2708" s="4">
        <v>7790.34</v>
      </c>
      <c r="G2708" s="4">
        <v>35.91</v>
      </c>
      <c r="H2708" s="4">
        <v>7893.25</v>
      </c>
    </row>
    <row r="2709" s="1" customFormat="1" ht="14" spans="1:8">
      <c r="A2709" s="2">
        <v>9109005</v>
      </c>
      <c r="B2709" s="2" t="s">
        <v>3388</v>
      </c>
      <c r="C2709" s="3" t="s">
        <v>3038</v>
      </c>
      <c r="D2709" s="4">
        <v>61.15</v>
      </c>
      <c r="E2709" s="4">
        <v>17.16</v>
      </c>
      <c r="F2709" s="4">
        <v>1049.34</v>
      </c>
      <c r="G2709" s="4">
        <v>17.58</v>
      </c>
      <c r="H2709" s="4">
        <v>1074.18</v>
      </c>
    </row>
    <row r="2710" s="1" customFormat="1" ht="14" spans="1:8">
      <c r="A2710" s="2">
        <v>9109011</v>
      </c>
      <c r="B2710" s="2" t="s">
        <v>3389</v>
      </c>
      <c r="C2710" s="3" t="s">
        <v>3038</v>
      </c>
      <c r="D2710" s="4">
        <v>14.2</v>
      </c>
      <c r="E2710" s="4">
        <v>38.38</v>
      </c>
      <c r="F2710" s="4">
        <v>544.99</v>
      </c>
      <c r="G2710" s="4">
        <v>38.87</v>
      </c>
      <c r="H2710" s="4">
        <v>551.8</v>
      </c>
    </row>
    <row r="2711" s="1" customFormat="1" ht="14" spans="1:8">
      <c r="A2711" s="2">
        <v>9109021</v>
      </c>
      <c r="B2711" s="2" t="s">
        <v>3390</v>
      </c>
      <c r="C2711" s="3" t="s">
        <v>3038</v>
      </c>
      <c r="D2711" s="4">
        <v>87.44</v>
      </c>
      <c r="E2711" s="4">
        <v>7.71</v>
      </c>
      <c r="F2711" s="4">
        <v>674.15</v>
      </c>
      <c r="G2711" s="4">
        <v>8.1</v>
      </c>
      <c r="H2711" s="4">
        <v>706.85</v>
      </c>
    </row>
    <row r="2712" s="1" customFormat="1" ht="14" spans="1:8">
      <c r="A2712" s="2">
        <v>9109023</v>
      </c>
      <c r="B2712" s="2" t="s">
        <v>3391</v>
      </c>
      <c r="C2712" s="3" t="s">
        <v>3038</v>
      </c>
      <c r="D2712" s="4">
        <v>21.99</v>
      </c>
      <c r="E2712" s="4">
        <v>57.57</v>
      </c>
      <c r="F2712" s="4">
        <v>1266.14</v>
      </c>
      <c r="G2712" s="4">
        <v>58.12</v>
      </c>
      <c r="H2712" s="4">
        <v>1277.96</v>
      </c>
    </row>
    <row r="2713" s="1" customFormat="1" ht="14" spans="1:8">
      <c r="A2713" s="2">
        <v>9109103</v>
      </c>
      <c r="B2713" s="2" t="s">
        <v>3392</v>
      </c>
      <c r="C2713" s="3" t="s">
        <v>3038</v>
      </c>
      <c r="D2713" s="4">
        <v>3.83</v>
      </c>
      <c r="E2713" s="4">
        <v>43.01</v>
      </c>
      <c r="F2713" s="4">
        <v>164.71</v>
      </c>
      <c r="G2713" s="4">
        <v>45</v>
      </c>
      <c r="H2713" s="4">
        <v>172.45</v>
      </c>
    </row>
    <row r="2714" s="1" customFormat="1" ht="14" spans="1:8">
      <c r="A2714" s="2">
        <v>9109121</v>
      </c>
      <c r="B2714" s="2" t="s">
        <v>3393</v>
      </c>
      <c r="C2714" s="3" t="s">
        <v>3038</v>
      </c>
      <c r="D2714" s="4">
        <v>7.8</v>
      </c>
      <c r="E2714" s="4">
        <v>10.98</v>
      </c>
      <c r="F2714" s="4">
        <v>85.64</v>
      </c>
      <c r="G2714" s="4">
        <v>11.11</v>
      </c>
      <c r="H2714" s="4">
        <v>86.66</v>
      </c>
    </row>
    <row r="2715" s="1" customFormat="1" ht="14" spans="1:8">
      <c r="A2715" s="2">
        <v>9109131</v>
      </c>
      <c r="B2715" s="2" t="s">
        <v>3394</v>
      </c>
      <c r="C2715" s="3" t="s">
        <v>3038</v>
      </c>
      <c r="D2715" s="4">
        <v>812.84</v>
      </c>
      <c r="E2715" s="4">
        <v>4.25</v>
      </c>
      <c r="F2715" s="4">
        <v>3454.59</v>
      </c>
      <c r="G2715" s="4">
        <v>4.35</v>
      </c>
      <c r="H2715" s="4">
        <v>3538.47</v>
      </c>
    </row>
    <row r="2716" s="1" customFormat="1" ht="28" spans="1:8">
      <c r="A2716" s="2">
        <v>9109143</v>
      </c>
      <c r="B2716" s="2" t="s">
        <v>3395</v>
      </c>
      <c r="C2716" s="3" t="s">
        <v>3038</v>
      </c>
      <c r="D2716" s="4">
        <v>5153.89</v>
      </c>
      <c r="E2716" s="4">
        <v>12.19</v>
      </c>
      <c r="F2716" s="4">
        <v>62825.91</v>
      </c>
      <c r="G2716" s="4">
        <v>12.32</v>
      </c>
      <c r="H2716" s="4">
        <v>63511.98</v>
      </c>
    </row>
    <row r="2717" s="1" customFormat="1" ht="28" spans="1:8">
      <c r="A2717" s="2">
        <v>9109151</v>
      </c>
      <c r="B2717" s="2" t="s">
        <v>3396</v>
      </c>
      <c r="C2717" s="3" t="s">
        <v>3038</v>
      </c>
      <c r="D2717" s="4">
        <v>28.59</v>
      </c>
      <c r="E2717" s="4">
        <v>1.95</v>
      </c>
      <c r="F2717" s="4">
        <v>55.74</v>
      </c>
      <c r="G2717" s="4">
        <v>2.05</v>
      </c>
      <c r="H2717" s="4">
        <v>58.65</v>
      </c>
    </row>
    <row r="2718" s="1" customFormat="1" ht="14" spans="1:8">
      <c r="A2718" s="2">
        <v>9109153</v>
      </c>
      <c r="B2718" s="2" t="s">
        <v>3397</v>
      </c>
      <c r="C2718" s="3" t="s">
        <v>3038</v>
      </c>
      <c r="D2718" s="4">
        <v>744.99</v>
      </c>
      <c r="E2718" s="4">
        <v>1.91</v>
      </c>
      <c r="F2718" s="4">
        <v>1422.95</v>
      </c>
      <c r="G2718" s="4">
        <v>2.11</v>
      </c>
      <c r="H2718" s="4">
        <v>1571.94</v>
      </c>
    </row>
    <row r="2719" s="1" customFormat="1" ht="14" spans="1:8">
      <c r="A2719" s="2">
        <v>9109161</v>
      </c>
      <c r="B2719" s="2" t="s">
        <v>3398</v>
      </c>
      <c r="C2719" s="3" t="s">
        <v>3038</v>
      </c>
      <c r="D2719" s="4">
        <v>7.11</v>
      </c>
      <c r="E2719" s="4">
        <v>12.64</v>
      </c>
      <c r="F2719" s="4">
        <v>89.87</v>
      </c>
      <c r="G2719" s="4">
        <v>12.99</v>
      </c>
      <c r="H2719" s="4">
        <v>92.4</v>
      </c>
    </row>
    <row r="2720" s="1" customFormat="1" ht="28" spans="1:8">
      <c r="A2720" s="2">
        <v>9109203</v>
      </c>
      <c r="B2720" s="2" t="s">
        <v>3399</v>
      </c>
      <c r="C2720" s="3" t="s">
        <v>3038</v>
      </c>
      <c r="D2720" s="4">
        <v>344.49</v>
      </c>
      <c r="E2720" s="4">
        <v>11.36</v>
      </c>
      <c r="F2720" s="4">
        <v>3913.48</v>
      </c>
      <c r="G2720" s="4">
        <v>11.63</v>
      </c>
      <c r="H2720" s="4">
        <v>4004.41</v>
      </c>
    </row>
    <row r="2721" s="1" customFormat="1" ht="14" spans="1:8">
      <c r="A2721" s="2">
        <v>9109241</v>
      </c>
      <c r="B2721" s="2" t="s">
        <v>3400</v>
      </c>
      <c r="C2721" s="3" t="s">
        <v>3038</v>
      </c>
      <c r="D2721" s="4">
        <v>27.12</v>
      </c>
      <c r="E2721" s="4">
        <v>105.32</v>
      </c>
      <c r="F2721" s="4">
        <v>2856.28</v>
      </c>
      <c r="G2721" s="4">
        <v>105.96</v>
      </c>
      <c r="H2721" s="4">
        <v>2873.46</v>
      </c>
    </row>
    <row r="2722" s="1" customFormat="1" ht="14" spans="1:8">
      <c r="A2722" s="2">
        <v>9109253</v>
      </c>
      <c r="B2722" s="2" t="s">
        <v>3401</v>
      </c>
      <c r="C2722" s="3" t="s">
        <v>3038</v>
      </c>
      <c r="D2722" s="4">
        <v>21.99</v>
      </c>
      <c r="E2722" s="4">
        <v>466.96</v>
      </c>
      <c r="F2722" s="4">
        <v>10269.85</v>
      </c>
      <c r="G2722" s="4">
        <v>468.7</v>
      </c>
      <c r="H2722" s="4">
        <v>10307.99</v>
      </c>
    </row>
    <row r="2723" s="1" customFormat="1" ht="14" spans="1:8">
      <c r="A2723" s="2">
        <v>9109265</v>
      </c>
      <c r="B2723" s="2" t="s">
        <v>3402</v>
      </c>
      <c r="C2723" s="3" t="s">
        <v>3038</v>
      </c>
      <c r="D2723" s="4">
        <v>43.98</v>
      </c>
      <c r="E2723" s="4">
        <v>63.87</v>
      </c>
      <c r="F2723" s="4">
        <v>2808.76</v>
      </c>
      <c r="G2723" s="4">
        <v>64.55</v>
      </c>
      <c r="H2723" s="4">
        <v>2838.12</v>
      </c>
    </row>
    <row r="2724" s="1" customFormat="1" ht="14" spans="1:8">
      <c r="A2724" s="2">
        <v>9109271</v>
      </c>
      <c r="B2724" s="2" t="s">
        <v>3403</v>
      </c>
      <c r="C2724" s="3" t="s">
        <v>3038</v>
      </c>
      <c r="D2724" s="4">
        <v>10.55</v>
      </c>
      <c r="E2724" s="4">
        <v>7.06</v>
      </c>
      <c r="F2724" s="4">
        <v>74.51</v>
      </c>
      <c r="G2724" s="4">
        <v>7.31</v>
      </c>
      <c r="H2724" s="4">
        <v>77.1</v>
      </c>
    </row>
    <row r="2725" s="1" customFormat="1" ht="14" spans="1:8">
      <c r="A2725" s="2">
        <v>9109273</v>
      </c>
      <c r="B2725" s="2" t="s">
        <v>3404</v>
      </c>
      <c r="C2725" s="3" t="s">
        <v>3038</v>
      </c>
      <c r="D2725" s="4">
        <v>90.9</v>
      </c>
      <c r="E2725" s="4">
        <v>5.57</v>
      </c>
      <c r="F2725" s="4">
        <v>506.31</v>
      </c>
      <c r="G2725" s="4">
        <v>5.81</v>
      </c>
      <c r="H2725" s="4">
        <v>528.13</v>
      </c>
    </row>
    <row r="2726" s="1" customFormat="1" ht="28" spans="1:8">
      <c r="A2726" s="2">
        <v>9109275</v>
      </c>
      <c r="B2726" s="2" t="s">
        <v>3405</v>
      </c>
      <c r="C2726" s="3" t="s">
        <v>3038</v>
      </c>
      <c r="D2726" s="4">
        <v>270.4</v>
      </c>
      <c r="E2726" s="4">
        <v>7.67</v>
      </c>
      <c r="F2726" s="4">
        <v>2073.97</v>
      </c>
      <c r="G2726" s="4">
        <v>8</v>
      </c>
      <c r="H2726" s="4">
        <v>2163.2</v>
      </c>
    </row>
    <row r="2727" s="1" customFormat="1" ht="28" spans="1:8">
      <c r="A2727" s="2">
        <v>9109277</v>
      </c>
      <c r="B2727" s="2" t="s">
        <v>3406</v>
      </c>
      <c r="C2727" s="3" t="s">
        <v>3038</v>
      </c>
      <c r="D2727" s="4">
        <v>90.9</v>
      </c>
      <c r="E2727" s="4">
        <v>9.33</v>
      </c>
      <c r="F2727" s="4">
        <v>848.1</v>
      </c>
      <c r="G2727" s="4">
        <v>9.58</v>
      </c>
      <c r="H2727" s="4">
        <v>870.82</v>
      </c>
    </row>
    <row r="2728" s="1" customFormat="1" ht="14" spans="1:8">
      <c r="A2728" s="2">
        <v>9109311</v>
      </c>
      <c r="B2728" s="2" t="s">
        <v>3407</v>
      </c>
      <c r="C2728" s="3" t="s">
        <v>3038</v>
      </c>
      <c r="D2728" s="4">
        <v>3</v>
      </c>
      <c r="E2728" s="4">
        <v>0.37</v>
      </c>
      <c r="F2728" s="4">
        <v>1.11</v>
      </c>
      <c r="G2728" s="4">
        <v>0.62</v>
      </c>
      <c r="H2728" s="4">
        <v>1.86</v>
      </c>
    </row>
    <row r="2729" s="1" customFormat="1" ht="14" spans="1:8">
      <c r="A2729" s="2">
        <v>9109315</v>
      </c>
      <c r="B2729" s="2" t="s">
        <v>3408</v>
      </c>
      <c r="C2729" s="3" t="s">
        <v>3038</v>
      </c>
      <c r="D2729" s="4">
        <v>24.18</v>
      </c>
      <c r="E2729" s="4">
        <v>15.53</v>
      </c>
      <c r="F2729" s="4">
        <v>375.52</v>
      </c>
      <c r="G2729" s="4">
        <v>15.84</v>
      </c>
      <c r="H2729" s="4">
        <v>382.86</v>
      </c>
    </row>
    <row r="2730" s="1" customFormat="1" ht="14" spans="1:8">
      <c r="A2730" s="2">
        <v>9109319</v>
      </c>
      <c r="B2730" s="2" t="s">
        <v>3409</v>
      </c>
      <c r="C2730" s="3" t="s">
        <v>3038</v>
      </c>
      <c r="D2730" s="4">
        <v>526.94</v>
      </c>
      <c r="E2730" s="4">
        <v>59.99</v>
      </c>
      <c r="F2730" s="4">
        <v>31611.13</v>
      </c>
      <c r="G2730" s="4">
        <v>60.45</v>
      </c>
      <c r="H2730" s="4">
        <v>31850.13</v>
      </c>
    </row>
    <row r="2731" s="1" customFormat="1" ht="14" spans="1:8">
      <c r="A2731" s="2">
        <v>9109331</v>
      </c>
      <c r="B2731" s="2" t="s">
        <v>3410</v>
      </c>
      <c r="C2731" s="3" t="s">
        <v>3038</v>
      </c>
      <c r="D2731" s="4">
        <v>4.5</v>
      </c>
      <c r="E2731" s="4">
        <v>6.21</v>
      </c>
      <c r="F2731" s="4">
        <v>27.96</v>
      </c>
      <c r="G2731" s="4">
        <v>6.55</v>
      </c>
      <c r="H2731" s="4">
        <v>29.45</v>
      </c>
    </row>
    <row r="2732" s="1" customFormat="1" ht="14" spans="1:8">
      <c r="A2732" s="2">
        <v>9109341</v>
      </c>
      <c r="B2732" s="2" t="s">
        <v>3411</v>
      </c>
      <c r="C2732" s="3" t="s">
        <v>3038</v>
      </c>
      <c r="D2732" s="4">
        <v>25</v>
      </c>
      <c r="E2732" s="4">
        <v>1.48</v>
      </c>
      <c r="F2732" s="4">
        <v>37</v>
      </c>
      <c r="G2732" s="4">
        <v>1.73</v>
      </c>
      <c r="H2732" s="4">
        <v>43.25</v>
      </c>
    </row>
    <row r="2733" s="1" customFormat="1" ht="14" spans="1:8">
      <c r="A2733" s="2">
        <v>9109401</v>
      </c>
      <c r="B2733" s="2" t="s">
        <v>3412</v>
      </c>
      <c r="C2733" s="3" t="s">
        <v>3038</v>
      </c>
      <c r="D2733" s="4">
        <v>61.15</v>
      </c>
      <c r="E2733" s="4">
        <v>3.52</v>
      </c>
      <c r="F2733" s="4">
        <v>215.25</v>
      </c>
      <c r="G2733" s="4">
        <v>3.85</v>
      </c>
      <c r="H2733" s="4">
        <v>235.01</v>
      </c>
    </row>
    <row r="2734" s="1" customFormat="1" ht="14" spans="1:8">
      <c r="A2734" s="2">
        <v>9109407</v>
      </c>
      <c r="B2734" s="2" t="s">
        <v>3413</v>
      </c>
      <c r="C2734" s="3" t="s">
        <v>3038</v>
      </c>
      <c r="D2734" s="4">
        <v>242.5</v>
      </c>
      <c r="E2734" s="4">
        <v>7.67</v>
      </c>
      <c r="F2734" s="4">
        <v>1859.98</v>
      </c>
      <c r="G2734" s="4">
        <v>8.01</v>
      </c>
      <c r="H2734" s="4">
        <v>1940.45</v>
      </c>
    </row>
    <row r="2735" s="1" customFormat="1" ht="28" spans="1:8">
      <c r="A2735" s="2">
        <v>9109411</v>
      </c>
      <c r="B2735" s="2" t="s">
        <v>3414</v>
      </c>
      <c r="C2735" s="3" t="s">
        <v>3038</v>
      </c>
      <c r="D2735" s="4">
        <v>774.92</v>
      </c>
      <c r="E2735" s="4">
        <v>2308.01</v>
      </c>
      <c r="F2735" s="4">
        <v>1788534.65</v>
      </c>
      <c r="G2735" s="4">
        <v>2315.79</v>
      </c>
      <c r="H2735" s="4">
        <v>1794558.48</v>
      </c>
    </row>
    <row r="2736" s="1" customFormat="1" ht="14" spans="1:8">
      <c r="A2736" s="2">
        <v>9109423</v>
      </c>
      <c r="B2736" s="2" t="s">
        <v>3415</v>
      </c>
      <c r="C2736" s="3" t="s">
        <v>3038</v>
      </c>
      <c r="D2736" s="4">
        <v>493.3</v>
      </c>
      <c r="E2736" s="4">
        <v>1.38</v>
      </c>
      <c r="F2736" s="4">
        <v>680.76</v>
      </c>
      <c r="G2736" s="4">
        <v>1.75</v>
      </c>
      <c r="H2736" s="4">
        <v>855.63</v>
      </c>
    </row>
    <row r="2737" s="1" customFormat="1" ht="14" spans="1:8">
      <c r="A2737" s="2">
        <v>9109521</v>
      </c>
      <c r="B2737" s="2" t="s">
        <v>3416</v>
      </c>
      <c r="C2737" s="3" t="s">
        <v>3038</v>
      </c>
      <c r="D2737" s="4">
        <v>882.57</v>
      </c>
      <c r="E2737" s="4">
        <v>21.5</v>
      </c>
      <c r="F2737" s="4">
        <v>18975.27</v>
      </c>
      <c r="G2737" s="4">
        <v>21.67</v>
      </c>
      <c r="H2737" s="4">
        <v>19119.59</v>
      </c>
    </row>
    <row r="2738" s="1" customFormat="1" ht="14" spans="1:8">
      <c r="A2738" s="2">
        <v>9109523</v>
      </c>
      <c r="B2738" s="2" t="s">
        <v>3417</v>
      </c>
      <c r="C2738" s="3" t="s">
        <v>3038</v>
      </c>
      <c r="D2738" s="4">
        <v>1916.27</v>
      </c>
      <c r="E2738" s="4">
        <v>10.58</v>
      </c>
      <c r="F2738" s="4">
        <v>20274.11</v>
      </c>
      <c r="G2738" s="4">
        <v>10.71</v>
      </c>
      <c r="H2738" s="4">
        <v>20510.37</v>
      </c>
    </row>
    <row r="2739" s="1" customFormat="1" ht="14" spans="1:8">
      <c r="A2739" s="2">
        <v>9109531</v>
      </c>
      <c r="B2739" s="2" t="s">
        <v>3418</v>
      </c>
      <c r="C2739" s="3" t="s">
        <v>3038</v>
      </c>
      <c r="D2739" s="4">
        <v>3980.43</v>
      </c>
      <c r="E2739" s="4">
        <v>104.98</v>
      </c>
      <c r="F2739" s="4">
        <v>417865.85</v>
      </c>
      <c r="G2739" s="4">
        <v>105.63</v>
      </c>
      <c r="H2739" s="4">
        <v>420468.11</v>
      </c>
    </row>
    <row r="2740" s="1" customFormat="1" ht="28" spans="1:8">
      <c r="A2740" s="2">
        <v>9109533</v>
      </c>
      <c r="B2740" s="2" t="s">
        <v>3419</v>
      </c>
      <c r="C2740" s="3" t="s">
        <v>3038</v>
      </c>
      <c r="D2740" s="4">
        <v>870.48</v>
      </c>
      <c r="E2740" s="4">
        <v>18.38</v>
      </c>
      <c r="F2740" s="4">
        <v>15999.41</v>
      </c>
      <c r="G2740" s="4">
        <v>18.76</v>
      </c>
      <c r="H2740" s="4">
        <v>16324.59</v>
      </c>
    </row>
    <row r="2741" s="1" customFormat="1" ht="28" spans="1:8">
      <c r="A2741" s="2">
        <v>9109541</v>
      </c>
      <c r="B2741" s="2" t="s">
        <v>3420</v>
      </c>
      <c r="C2741" s="3" t="s">
        <v>3038</v>
      </c>
      <c r="D2741" s="4">
        <v>504.46</v>
      </c>
      <c r="E2741" s="4">
        <v>292.65</v>
      </c>
      <c r="F2741" s="4">
        <v>147630.23</v>
      </c>
      <c r="G2741" s="4">
        <v>293.85</v>
      </c>
      <c r="H2741" s="4">
        <v>148232.4</v>
      </c>
    </row>
    <row r="2742" s="1" customFormat="1" ht="14" spans="1:8">
      <c r="A2742" s="2">
        <v>9109601</v>
      </c>
      <c r="B2742" s="2" t="s">
        <v>3421</v>
      </c>
      <c r="C2742" s="3" t="s">
        <v>3038</v>
      </c>
      <c r="D2742" s="4">
        <v>4.5</v>
      </c>
      <c r="E2742" s="4">
        <v>7.62</v>
      </c>
      <c r="F2742" s="4">
        <v>34.29</v>
      </c>
      <c r="G2742" s="4">
        <v>7.9</v>
      </c>
      <c r="H2742" s="4">
        <v>35.53</v>
      </c>
    </row>
    <row r="2743" s="1" customFormat="1" ht="28" spans="1:8">
      <c r="A2743" s="2">
        <v>9109603</v>
      </c>
      <c r="B2743" s="2" t="s">
        <v>3422</v>
      </c>
      <c r="C2743" s="3" t="s">
        <v>3038</v>
      </c>
      <c r="D2743" s="4">
        <v>90.48</v>
      </c>
      <c r="E2743" s="4">
        <v>31.24</v>
      </c>
      <c r="F2743" s="4">
        <v>2826.6</v>
      </c>
      <c r="G2743" s="4">
        <v>31.59</v>
      </c>
      <c r="H2743" s="4">
        <v>2857.67</v>
      </c>
    </row>
    <row r="2744" s="1" customFormat="1" ht="28" spans="1:8">
      <c r="A2744" s="2">
        <v>9109605</v>
      </c>
      <c r="B2744" s="2" t="s">
        <v>3423</v>
      </c>
      <c r="C2744" s="3" t="s">
        <v>3038</v>
      </c>
      <c r="D2744" s="4">
        <v>109.95</v>
      </c>
      <c r="E2744" s="4">
        <v>2.36</v>
      </c>
      <c r="F2744" s="4">
        <v>259.47</v>
      </c>
      <c r="G2744" s="4">
        <v>2.63</v>
      </c>
      <c r="H2744" s="4">
        <v>288.49</v>
      </c>
    </row>
    <row r="2745" s="1" customFormat="1" ht="14" spans="1:8">
      <c r="A2745" s="2">
        <v>9109609</v>
      </c>
      <c r="B2745" s="2" t="s">
        <v>3424</v>
      </c>
      <c r="C2745" s="3" t="s">
        <v>3038</v>
      </c>
      <c r="D2745" s="4">
        <v>81.7</v>
      </c>
      <c r="E2745" s="4">
        <v>7.56</v>
      </c>
      <c r="F2745" s="4">
        <v>617.7</v>
      </c>
      <c r="G2745" s="4">
        <v>7.81</v>
      </c>
      <c r="H2745" s="4">
        <v>637.59</v>
      </c>
    </row>
    <row r="2746" s="1" customFormat="1" ht="14" spans="1:8">
      <c r="A2746" s="2">
        <v>9109611</v>
      </c>
      <c r="B2746" s="2" t="s">
        <v>3425</v>
      </c>
      <c r="C2746" s="3" t="s">
        <v>3038</v>
      </c>
      <c r="D2746" s="4">
        <v>21.99</v>
      </c>
      <c r="E2746" s="4">
        <v>778.41</v>
      </c>
      <c r="F2746" s="4">
        <v>17119.57</v>
      </c>
      <c r="G2746" s="4">
        <v>781.29</v>
      </c>
      <c r="H2746" s="4">
        <v>17182.65</v>
      </c>
    </row>
    <row r="2747" s="1" customFormat="1" ht="14" spans="1:8">
      <c r="A2747" s="2">
        <v>9109615</v>
      </c>
      <c r="B2747" s="2" t="s">
        <v>3426</v>
      </c>
      <c r="C2747" s="3" t="s">
        <v>3038</v>
      </c>
      <c r="D2747" s="4">
        <v>532.1</v>
      </c>
      <c r="E2747" s="4">
        <v>309.73</v>
      </c>
      <c r="F2747" s="4">
        <v>164807.31</v>
      </c>
      <c r="G2747" s="4">
        <v>310.77</v>
      </c>
      <c r="H2747" s="4">
        <v>165357.62</v>
      </c>
    </row>
    <row r="2748" s="1" customFormat="1" ht="14" spans="1:8">
      <c r="A2748" s="2">
        <v>9109618</v>
      </c>
      <c r="B2748" s="2" t="s">
        <v>3427</v>
      </c>
      <c r="C2748" s="3" t="s">
        <v>3038</v>
      </c>
      <c r="D2748" s="4">
        <v>16.02</v>
      </c>
      <c r="E2748" s="4">
        <v>64.84</v>
      </c>
      <c r="F2748" s="4">
        <v>1038.74</v>
      </c>
      <c r="G2748" s="4">
        <v>65.36</v>
      </c>
      <c r="H2748" s="4">
        <v>1046.92</v>
      </c>
    </row>
    <row r="2749" s="1" customFormat="1" ht="14" spans="1:8">
      <c r="A2749" s="2">
        <v>9109619</v>
      </c>
      <c r="B2749" s="2" t="s">
        <v>3428</v>
      </c>
      <c r="C2749" s="3" t="s">
        <v>3038</v>
      </c>
      <c r="D2749" s="4">
        <v>33.39</v>
      </c>
      <c r="E2749" s="4">
        <v>19.11</v>
      </c>
      <c r="F2749" s="4">
        <v>638.16</v>
      </c>
      <c r="G2749" s="4">
        <v>19.43</v>
      </c>
      <c r="H2749" s="4">
        <v>648.56</v>
      </c>
    </row>
    <row r="2750" s="1" customFormat="1" ht="28" spans="1:8">
      <c r="A2750" s="2">
        <v>9109631</v>
      </c>
      <c r="B2750" s="2" t="s">
        <v>3429</v>
      </c>
      <c r="C2750" s="3" t="s">
        <v>3038</v>
      </c>
      <c r="D2750" s="4">
        <v>1007.23</v>
      </c>
      <c r="E2750" s="4">
        <v>2.37</v>
      </c>
      <c r="F2750" s="4">
        <v>2387.15</v>
      </c>
      <c r="G2750" s="4">
        <v>2.64</v>
      </c>
      <c r="H2750" s="4">
        <v>2652.57</v>
      </c>
    </row>
    <row r="2751" s="1" customFormat="1" ht="14" spans="1:8">
      <c r="A2751" s="2">
        <v>9109633</v>
      </c>
      <c r="B2751" s="2" t="s">
        <v>3430</v>
      </c>
      <c r="C2751" s="3" t="s">
        <v>3038</v>
      </c>
      <c r="D2751" s="4">
        <v>260.76</v>
      </c>
      <c r="E2751" s="4">
        <v>0.37</v>
      </c>
      <c r="F2751" s="4">
        <v>96.46</v>
      </c>
      <c r="G2751" s="4">
        <v>0.62</v>
      </c>
      <c r="H2751" s="4">
        <v>162.48</v>
      </c>
    </row>
    <row r="2752" s="1" customFormat="1" ht="28" spans="1:8">
      <c r="A2752" s="2">
        <v>9109635</v>
      </c>
      <c r="B2752" s="2" t="s">
        <v>3431</v>
      </c>
      <c r="C2752" s="3" t="s">
        <v>3038</v>
      </c>
      <c r="D2752" s="4">
        <v>142.34</v>
      </c>
      <c r="E2752" s="4">
        <v>37.2</v>
      </c>
      <c r="F2752" s="4">
        <v>5295.2</v>
      </c>
      <c r="G2752" s="4">
        <v>37.53</v>
      </c>
      <c r="H2752" s="4">
        <v>5342.63</v>
      </c>
    </row>
    <row r="2753" s="1" customFormat="1" ht="14" spans="1:8">
      <c r="A2753" s="2">
        <v>9109641</v>
      </c>
      <c r="B2753" s="2" t="s">
        <v>3432</v>
      </c>
      <c r="C2753" s="3" t="s">
        <v>3038</v>
      </c>
      <c r="D2753" s="4">
        <v>52</v>
      </c>
      <c r="E2753" s="4">
        <v>3.39</v>
      </c>
      <c r="F2753" s="4">
        <v>176.27</v>
      </c>
      <c r="G2753" s="4">
        <v>3.65</v>
      </c>
      <c r="H2753" s="4">
        <v>189.96</v>
      </c>
    </row>
    <row r="2754" s="1" customFormat="1" ht="14" spans="1:8">
      <c r="A2754" s="2">
        <v>9109643</v>
      </c>
      <c r="B2754" s="2" t="s">
        <v>3433</v>
      </c>
      <c r="C2754" s="3" t="s">
        <v>3038</v>
      </c>
      <c r="D2754" s="4">
        <v>1217.71</v>
      </c>
      <c r="E2754" s="4">
        <v>8.97</v>
      </c>
      <c r="F2754" s="4">
        <v>10922.97</v>
      </c>
      <c r="G2754" s="4">
        <v>9.25</v>
      </c>
      <c r="H2754" s="4">
        <v>11267.79</v>
      </c>
    </row>
    <row r="2755" s="1" customFormat="1" ht="14" spans="1:8">
      <c r="A2755" s="2">
        <v>9109655</v>
      </c>
      <c r="B2755" s="2" t="s">
        <v>3434</v>
      </c>
      <c r="C2755" s="3" t="s">
        <v>3038</v>
      </c>
      <c r="D2755" s="4">
        <v>614.66</v>
      </c>
      <c r="E2755" s="4">
        <v>71.76</v>
      </c>
      <c r="F2755" s="4">
        <v>44108.03</v>
      </c>
      <c r="G2755" s="4">
        <v>72.25</v>
      </c>
      <c r="H2755" s="4">
        <v>44404.92</v>
      </c>
    </row>
    <row r="2756" s="1" customFormat="1" ht="14" spans="1:8">
      <c r="A2756" s="2">
        <v>9109701</v>
      </c>
      <c r="B2756" s="2" t="s">
        <v>3435</v>
      </c>
      <c r="C2756" s="3" t="s">
        <v>3038</v>
      </c>
      <c r="D2756" s="4">
        <v>111.7</v>
      </c>
      <c r="E2756" s="4">
        <v>35.18</v>
      </c>
      <c r="F2756" s="4">
        <v>3929.72</v>
      </c>
      <c r="G2756" s="4">
        <v>35.55</v>
      </c>
      <c r="H2756" s="4">
        <v>3970.27</v>
      </c>
    </row>
    <row r="2757" s="1" customFormat="1" ht="14" spans="1:8">
      <c r="A2757" s="2">
        <v>9109711</v>
      </c>
      <c r="B2757" s="2" t="s">
        <v>3436</v>
      </c>
      <c r="C2757" s="3" t="s">
        <v>3038</v>
      </c>
      <c r="D2757" s="4">
        <v>538.47</v>
      </c>
      <c r="E2757" s="4">
        <v>4.92</v>
      </c>
      <c r="F2757" s="4">
        <v>2649.24</v>
      </c>
      <c r="G2757" s="4">
        <v>5.19</v>
      </c>
      <c r="H2757" s="4">
        <v>2790.81</v>
      </c>
    </row>
    <row r="2758" s="1" customFormat="1" ht="14" spans="1:8">
      <c r="A2758" s="2">
        <v>9109713</v>
      </c>
      <c r="B2758" s="2" t="s">
        <v>3437</v>
      </c>
      <c r="C2758" s="3" t="s">
        <v>3038</v>
      </c>
      <c r="D2758" s="4">
        <v>6</v>
      </c>
      <c r="E2758" s="4">
        <v>7.62</v>
      </c>
      <c r="F2758" s="4">
        <v>45.72</v>
      </c>
      <c r="G2758" s="4">
        <v>7.89</v>
      </c>
      <c r="H2758" s="4">
        <v>47.34</v>
      </c>
    </row>
    <row r="2759" s="1" customFormat="1" ht="28" spans="1:8">
      <c r="A2759" s="2">
        <v>9109715</v>
      </c>
      <c r="B2759" s="2" t="s">
        <v>3438</v>
      </c>
      <c r="C2759" s="3" t="s">
        <v>3038</v>
      </c>
      <c r="D2759" s="4">
        <v>224.89</v>
      </c>
      <c r="E2759" s="4">
        <v>48.72</v>
      </c>
      <c r="F2759" s="4">
        <v>10956.7</v>
      </c>
      <c r="G2759" s="4">
        <v>49.13</v>
      </c>
      <c r="H2759" s="4">
        <v>11047.21</v>
      </c>
    </row>
    <row r="2760" s="1" customFormat="1" ht="14" spans="1:8">
      <c r="A2760" s="2">
        <v>9109718</v>
      </c>
      <c r="B2760" s="2" t="s">
        <v>3439</v>
      </c>
      <c r="C2760" s="3" t="s">
        <v>3038</v>
      </c>
      <c r="D2760" s="4">
        <v>78.2</v>
      </c>
      <c r="E2760" s="4">
        <v>226.38</v>
      </c>
      <c r="F2760" s="4">
        <v>17702.91</v>
      </c>
      <c r="G2760" s="4">
        <v>227.33</v>
      </c>
      <c r="H2760" s="4">
        <v>17776.58</v>
      </c>
    </row>
    <row r="2761" s="1" customFormat="1" ht="28" spans="1:8">
      <c r="A2761" s="2">
        <v>9109721</v>
      </c>
      <c r="B2761" s="2" t="s">
        <v>3440</v>
      </c>
      <c r="C2761" s="3" t="s">
        <v>3038</v>
      </c>
      <c r="D2761" s="4">
        <v>2608.94</v>
      </c>
      <c r="E2761" s="4">
        <v>53.76</v>
      </c>
      <c r="F2761" s="4">
        <v>140256.5</v>
      </c>
      <c r="G2761" s="4">
        <v>54.17</v>
      </c>
      <c r="H2761" s="4">
        <v>141331.48</v>
      </c>
    </row>
    <row r="2762" s="1" customFormat="1" ht="14" spans="1:8">
      <c r="A2762" s="2">
        <v>9109723</v>
      </c>
      <c r="B2762" s="2" t="s">
        <v>3441</v>
      </c>
      <c r="C2762" s="3" t="s">
        <v>3038</v>
      </c>
      <c r="D2762" s="4">
        <v>47.28</v>
      </c>
      <c r="E2762" s="4">
        <v>49.95</v>
      </c>
      <c r="F2762" s="4">
        <v>2361.74</v>
      </c>
      <c r="G2762" s="4">
        <v>50.32</v>
      </c>
      <c r="H2762" s="4">
        <v>2379.35</v>
      </c>
    </row>
    <row r="2763" s="1" customFormat="1" ht="14" spans="1:8">
      <c r="A2763" s="2">
        <v>9109731</v>
      </c>
      <c r="B2763" s="2" t="s">
        <v>3442</v>
      </c>
      <c r="C2763" s="3" t="s">
        <v>3038</v>
      </c>
      <c r="D2763" s="4">
        <v>11.87</v>
      </c>
      <c r="E2763" s="4">
        <v>250.69</v>
      </c>
      <c r="F2763" s="4">
        <v>2975.68</v>
      </c>
      <c r="G2763" s="4">
        <v>251.76</v>
      </c>
      <c r="H2763" s="4">
        <v>2988.5</v>
      </c>
    </row>
    <row r="2764" s="1" customFormat="1" ht="28" spans="1:8">
      <c r="A2764" s="2">
        <v>9109751</v>
      </c>
      <c r="B2764" s="2" t="s">
        <v>3443</v>
      </c>
      <c r="C2764" s="3" t="s">
        <v>3038</v>
      </c>
      <c r="D2764" s="4">
        <v>1.5</v>
      </c>
      <c r="E2764" s="4">
        <v>19.25</v>
      </c>
      <c r="F2764" s="4">
        <v>28.88</v>
      </c>
      <c r="G2764" s="4">
        <v>19.56</v>
      </c>
      <c r="H2764" s="4">
        <v>29.34</v>
      </c>
    </row>
    <row r="2765" s="1" customFormat="1" ht="14" spans="1:8">
      <c r="A2765" s="2">
        <v>9109753</v>
      </c>
      <c r="B2765" s="2" t="s">
        <v>3444</v>
      </c>
      <c r="C2765" s="3" t="s">
        <v>3038</v>
      </c>
      <c r="D2765" s="4">
        <v>3.32</v>
      </c>
      <c r="E2765" s="4">
        <v>159.08</v>
      </c>
      <c r="F2765" s="4">
        <v>528.8</v>
      </c>
      <c r="G2765" s="4">
        <v>159.85</v>
      </c>
      <c r="H2765" s="4">
        <v>531.32</v>
      </c>
    </row>
    <row r="2766" s="1" customFormat="1" ht="14" spans="1:8">
      <c r="A2766" s="2">
        <v>9109813</v>
      </c>
      <c r="B2766" s="2" t="s">
        <v>3445</v>
      </c>
      <c r="C2766" s="3" t="s">
        <v>3038</v>
      </c>
      <c r="D2766" s="4">
        <v>46.44</v>
      </c>
      <c r="E2766" s="4">
        <v>3.59</v>
      </c>
      <c r="F2766" s="4">
        <v>166.72</v>
      </c>
      <c r="G2766" s="4">
        <v>3.86</v>
      </c>
      <c r="H2766" s="4">
        <v>178.95</v>
      </c>
    </row>
    <row r="2767" s="1" customFormat="1" ht="14" spans="1:8">
      <c r="A2767" s="2">
        <v>9109815</v>
      </c>
      <c r="B2767" s="2" t="s">
        <v>3446</v>
      </c>
      <c r="C2767" s="3" t="s">
        <v>3038</v>
      </c>
      <c r="D2767" s="4">
        <v>107.59</v>
      </c>
      <c r="E2767" s="4">
        <v>27.12</v>
      </c>
      <c r="F2767" s="4">
        <v>2917.83</v>
      </c>
      <c r="G2767" s="4">
        <v>27.43</v>
      </c>
      <c r="H2767" s="4">
        <v>2950.46</v>
      </c>
    </row>
    <row r="2768" s="1" customFormat="1" ht="14" spans="1:8">
      <c r="A2768" s="2">
        <v>9109817</v>
      </c>
      <c r="B2768" s="2" t="s">
        <v>3447</v>
      </c>
      <c r="C2768" s="3" t="s">
        <v>3038</v>
      </c>
      <c r="D2768" s="4">
        <v>2.02</v>
      </c>
      <c r="E2768" s="4">
        <v>62.4</v>
      </c>
      <c r="F2768" s="4">
        <v>125.8</v>
      </c>
      <c r="G2768" s="4">
        <v>62.81</v>
      </c>
      <c r="H2768" s="4">
        <v>126.62</v>
      </c>
    </row>
    <row r="2769" s="1" customFormat="1" ht="14" spans="1:8">
      <c r="A2769" s="2">
        <v>9109819</v>
      </c>
      <c r="B2769" s="2" t="s">
        <v>3448</v>
      </c>
      <c r="C2769" s="3" t="s">
        <v>3038</v>
      </c>
      <c r="D2769" s="4">
        <v>105.15</v>
      </c>
      <c r="E2769" s="4">
        <v>381.79</v>
      </c>
      <c r="F2769" s="4">
        <v>40145.24</v>
      </c>
      <c r="G2769" s="4">
        <v>383.49</v>
      </c>
      <c r="H2769" s="4">
        <v>40324.89</v>
      </c>
    </row>
    <row r="2770" s="1" customFormat="1" ht="14" spans="1:8">
      <c r="A2770" s="2">
        <v>9109851</v>
      </c>
      <c r="B2770" s="2" t="s">
        <v>3449</v>
      </c>
      <c r="C2770" s="3" t="s">
        <v>3038</v>
      </c>
      <c r="D2770" s="4">
        <v>639.76</v>
      </c>
      <c r="E2770" s="4">
        <v>48.69</v>
      </c>
      <c r="F2770" s="4">
        <v>31149.76</v>
      </c>
      <c r="G2770" s="4">
        <v>49.07</v>
      </c>
      <c r="H2770" s="4">
        <v>31388.82</v>
      </c>
    </row>
    <row r="2771" s="1" customFormat="1" ht="14" spans="1:8">
      <c r="A2771" s="2">
        <v>9109853</v>
      </c>
      <c r="B2771" s="2" t="s">
        <v>3450</v>
      </c>
      <c r="C2771" s="3" t="s">
        <v>3038</v>
      </c>
      <c r="D2771" s="4">
        <v>277.06</v>
      </c>
      <c r="E2771" s="4">
        <v>43.34</v>
      </c>
      <c r="F2771" s="4">
        <v>12007.87</v>
      </c>
      <c r="G2771" s="4">
        <v>43.7</v>
      </c>
      <c r="H2771" s="4">
        <v>12105.9</v>
      </c>
    </row>
    <row r="2772" s="1" customFormat="1" ht="14" spans="1:8">
      <c r="A2772" s="2">
        <v>9109855</v>
      </c>
      <c r="B2772" s="2" t="s">
        <v>3451</v>
      </c>
      <c r="C2772" s="3" t="s">
        <v>3038</v>
      </c>
      <c r="D2772" s="4">
        <v>255.9</v>
      </c>
      <c r="E2772" s="4">
        <v>51.37</v>
      </c>
      <c r="F2772" s="4">
        <v>13145.58</v>
      </c>
      <c r="G2772" s="4">
        <v>51.76</v>
      </c>
      <c r="H2772" s="4">
        <v>13243.82</v>
      </c>
    </row>
    <row r="2773" s="1" customFormat="1" ht="14" spans="1:8">
      <c r="A2773" s="2">
        <v>9109901</v>
      </c>
      <c r="B2773" s="2" t="s">
        <v>3452</v>
      </c>
      <c r="C2773" s="3" t="s">
        <v>3038</v>
      </c>
      <c r="D2773" s="4">
        <v>6888.34</v>
      </c>
      <c r="E2773" s="4">
        <v>11.7</v>
      </c>
      <c r="F2773" s="4">
        <v>80593.71</v>
      </c>
      <c r="G2773" s="4">
        <v>12.04</v>
      </c>
      <c r="H2773" s="4">
        <v>82959.38</v>
      </c>
    </row>
    <row r="2774" s="1" customFormat="1" ht="14" spans="1:8">
      <c r="A2774" s="2">
        <v>9109931</v>
      </c>
      <c r="B2774" s="2" t="s">
        <v>3453</v>
      </c>
      <c r="C2774" s="3" t="s">
        <v>3038</v>
      </c>
      <c r="D2774" s="4">
        <v>381.51</v>
      </c>
      <c r="E2774" s="4">
        <v>70.11</v>
      </c>
      <c r="F2774" s="4">
        <v>26747.52</v>
      </c>
      <c r="G2774" s="4">
        <v>70.54</v>
      </c>
      <c r="H2774" s="4">
        <v>26913.18</v>
      </c>
    </row>
    <row r="2775" s="1" customFormat="1" ht="14" spans="1:8">
      <c r="A2775" s="2">
        <v>9109933</v>
      </c>
      <c r="B2775" s="2" t="s">
        <v>3454</v>
      </c>
      <c r="C2775" s="3" t="s">
        <v>3038</v>
      </c>
      <c r="D2775" s="4">
        <v>13405.33</v>
      </c>
      <c r="E2775" s="4">
        <v>123.57</v>
      </c>
      <c r="F2775" s="4">
        <v>1656495.63</v>
      </c>
      <c r="G2775" s="4">
        <v>124.28</v>
      </c>
      <c r="H2775" s="4">
        <v>1666132.56</v>
      </c>
    </row>
    <row r="2776" s="1" customFormat="1" ht="14" spans="1:8">
      <c r="A2776" s="2">
        <v>9109935</v>
      </c>
      <c r="B2776" s="2" t="s">
        <v>3455</v>
      </c>
      <c r="C2776" s="3" t="s">
        <v>3038</v>
      </c>
      <c r="D2776" s="4">
        <v>813.25</v>
      </c>
      <c r="E2776" s="4">
        <v>70.12</v>
      </c>
      <c r="F2776" s="4">
        <v>57024.67</v>
      </c>
      <c r="G2776" s="4">
        <v>70.6</v>
      </c>
      <c r="H2776" s="4">
        <v>57417.83</v>
      </c>
    </row>
    <row r="2777" s="1" customFormat="1" ht="14" spans="1:8">
      <c r="A2777" s="2">
        <v>9109951</v>
      </c>
      <c r="B2777" s="2" t="s">
        <v>3456</v>
      </c>
      <c r="C2777" s="3" t="s">
        <v>3038</v>
      </c>
      <c r="D2777" s="4">
        <v>3448.86</v>
      </c>
      <c r="E2777" s="4">
        <v>2.16</v>
      </c>
      <c r="F2777" s="4">
        <v>7449.56</v>
      </c>
      <c r="G2777" s="4">
        <v>2.27</v>
      </c>
      <c r="H2777" s="4">
        <v>7807.66</v>
      </c>
    </row>
    <row r="2778" s="1" customFormat="1" ht="14" spans="1:8">
      <c r="A2778" s="2">
        <v>9109953</v>
      </c>
      <c r="B2778" s="2" t="s">
        <v>3457</v>
      </c>
      <c r="C2778" s="3" t="s">
        <v>3038</v>
      </c>
      <c r="D2778" s="4">
        <v>1313.9</v>
      </c>
      <c r="E2778" s="4">
        <v>21.06</v>
      </c>
      <c r="F2778" s="4">
        <v>27670.53</v>
      </c>
      <c r="G2778" s="4">
        <v>22.22</v>
      </c>
      <c r="H2778" s="4">
        <v>29160.3</v>
      </c>
    </row>
    <row r="2779" s="1" customFormat="1" ht="14" spans="1:8">
      <c r="A2779" s="2">
        <v>9199999</v>
      </c>
      <c r="B2779" s="2" t="s">
        <v>3458</v>
      </c>
      <c r="C2779" s="3" t="s">
        <v>3038</v>
      </c>
      <c r="D2779" s="4">
        <v>6422907.19</v>
      </c>
      <c r="E2779" s="4">
        <v>1</v>
      </c>
      <c r="F2779" s="4">
        <v>6422907.37</v>
      </c>
      <c r="G2779" s="4">
        <v>1</v>
      </c>
      <c r="H2779" s="4">
        <v>6422907.37</v>
      </c>
    </row>
    <row r="2780" s="1" customFormat="1" ht="14" spans="1:8">
      <c r="A2780" s="2">
        <v>400000001</v>
      </c>
      <c r="B2780" s="2" t="s">
        <v>3459</v>
      </c>
      <c r="C2780" s="3" t="s">
        <v>45</v>
      </c>
      <c r="D2780" s="4">
        <v>1288.94</v>
      </c>
      <c r="E2780" s="4">
        <v>24.25</v>
      </c>
      <c r="F2780" s="4">
        <v>31256.75</v>
      </c>
      <c r="G2780" s="4">
        <v>90</v>
      </c>
      <c r="H2780" s="4">
        <v>116004.42</v>
      </c>
    </row>
    <row r="2781" s="1" customFormat="1" ht="14" spans="1:8">
      <c r="A2781" s="2">
        <v>400000002</v>
      </c>
      <c r="B2781" s="2" t="s">
        <v>3460</v>
      </c>
      <c r="C2781" s="3" t="s">
        <v>472</v>
      </c>
      <c r="D2781" s="4">
        <v>2254.32</v>
      </c>
      <c r="E2781" s="4">
        <v>1872</v>
      </c>
      <c r="F2781" s="4">
        <v>4220092.66</v>
      </c>
      <c r="G2781" s="4">
        <v>1872</v>
      </c>
      <c r="H2781" s="4">
        <v>4220092.66</v>
      </c>
    </row>
    <row r="2782" s="1" customFormat="1" ht="14" spans="1:8">
      <c r="A2782" s="2">
        <v>400000004</v>
      </c>
      <c r="B2782" s="2" t="s">
        <v>3461</v>
      </c>
      <c r="C2782" s="3" t="s">
        <v>472</v>
      </c>
      <c r="D2782" s="4">
        <v>0</v>
      </c>
      <c r="E2782" s="4">
        <v>45</v>
      </c>
      <c r="F2782" s="4">
        <v>0</v>
      </c>
      <c r="G2782" s="4">
        <v>45</v>
      </c>
      <c r="H2782" s="4">
        <v>0</v>
      </c>
    </row>
    <row r="2783" s="1" customFormat="1" ht="14" spans="1:8">
      <c r="A2783" s="2">
        <v>400000005</v>
      </c>
      <c r="B2783" s="2" t="s">
        <v>3462</v>
      </c>
      <c r="C2783" s="3" t="s">
        <v>472</v>
      </c>
      <c r="D2783" s="4">
        <v>0</v>
      </c>
      <c r="E2783" s="4">
        <v>62</v>
      </c>
      <c r="F2783" s="4">
        <v>0</v>
      </c>
      <c r="G2783" s="4">
        <v>62</v>
      </c>
      <c r="H2783" s="4">
        <v>0</v>
      </c>
    </row>
    <row r="2784" s="1" customFormat="1" ht="14" spans="1:8">
      <c r="A2784" s="2">
        <v>400000008</v>
      </c>
      <c r="B2784" s="2" t="s">
        <v>3463</v>
      </c>
      <c r="C2784" s="3" t="s">
        <v>679</v>
      </c>
      <c r="D2784" s="4">
        <v>0</v>
      </c>
      <c r="E2784" s="4">
        <v>38.35</v>
      </c>
      <c r="F2784" s="4">
        <v>0</v>
      </c>
      <c r="G2784" s="4">
        <v>38.35</v>
      </c>
      <c r="H2784" s="4">
        <v>0</v>
      </c>
    </row>
    <row r="2785" s="1" customFormat="1" ht="14" spans="1:8">
      <c r="A2785" s="2">
        <v>400000012</v>
      </c>
      <c r="B2785" s="2" t="s">
        <v>3464</v>
      </c>
      <c r="C2785" s="3" t="s">
        <v>472</v>
      </c>
      <c r="D2785" s="4">
        <v>1759</v>
      </c>
      <c r="E2785" s="4">
        <v>384.62</v>
      </c>
      <c r="F2785" s="4">
        <v>676546.58</v>
      </c>
      <c r="G2785" s="4">
        <v>384.62</v>
      </c>
      <c r="H2785" s="4">
        <v>676546.58</v>
      </c>
    </row>
    <row r="2786" s="1" customFormat="1" ht="14" spans="1:8">
      <c r="A2786" s="2">
        <v>400000024</v>
      </c>
      <c r="B2786" s="2" t="s">
        <v>3465</v>
      </c>
      <c r="C2786" s="3" t="s">
        <v>824</v>
      </c>
      <c r="D2786" s="4">
        <v>8</v>
      </c>
      <c r="E2786" s="4">
        <v>224</v>
      </c>
      <c r="F2786" s="4">
        <v>1792</v>
      </c>
      <c r="G2786" s="4">
        <v>224</v>
      </c>
      <c r="H2786" s="4">
        <v>1792</v>
      </c>
    </row>
    <row r="2787" s="1" customFormat="1" ht="14" spans="1:8">
      <c r="A2787" s="2">
        <v>400000025</v>
      </c>
      <c r="B2787" s="2" t="s">
        <v>3466</v>
      </c>
      <c r="C2787" s="3" t="s">
        <v>824</v>
      </c>
      <c r="D2787" s="4">
        <v>64</v>
      </c>
      <c r="E2787" s="4">
        <v>95</v>
      </c>
      <c r="F2787" s="4">
        <v>6080</v>
      </c>
      <c r="G2787" s="4">
        <v>95</v>
      </c>
      <c r="H2787" s="4">
        <v>6080</v>
      </c>
    </row>
    <row r="2788" s="1" customFormat="1" ht="14" spans="1:8">
      <c r="A2788" s="2">
        <v>400000026</v>
      </c>
      <c r="B2788" s="2" t="s">
        <v>3467</v>
      </c>
      <c r="C2788" s="3" t="s">
        <v>3468</v>
      </c>
      <c r="D2788" s="4">
        <v>1391.69</v>
      </c>
      <c r="E2788" s="4">
        <v>1256</v>
      </c>
      <c r="F2788" s="4">
        <v>1747962.64</v>
      </c>
      <c r="G2788" s="4">
        <v>1256</v>
      </c>
      <c r="H2788" s="4">
        <v>1747962.64</v>
      </c>
    </row>
    <row r="2789" s="1" customFormat="1" ht="14" spans="1:8">
      <c r="A2789" s="2">
        <v>400000027</v>
      </c>
      <c r="B2789" s="2" t="s">
        <v>3469</v>
      </c>
      <c r="C2789" s="3" t="s">
        <v>3468</v>
      </c>
      <c r="D2789" s="4">
        <v>368.04</v>
      </c>
      <c r="E2789" s="4">
        <v>3285</v>
      </c>
      <c r="F2789" s="4">
        <v>1209011.4</v>
      </c>
      <c r="G2789" s="4">
        <v>3285</v>
      </c>
      <c r="H2789" s="4">
        <v>1209011.4</v>
      </c>
    </row>
    <row r="2790" s="1" customFormat="1" ht="14" spans="1:8">
      <c r="A2790" s="2">
        <v>400000030</v>
      </c>
      <c r="B2790" s="2" t="s">
        <v>3470</v>
      </c>
      <c r="C2790" s="3" t="s">
        <v>679</v>
      </c>
      <c r="D2790" s="4">
        <v>57987.15</v>
      </c>
      <c r="E2790" s="4">
        <v>100</v>
      </c>
      <c r="F2790" s="4">
        <v>5798715.3</v>
      </c>
      <c r="G2790" s="4">
        <v>100</v>
      </c>
      <c r="H2790" s="4">
        <v>5798715.3</v>
      </c>
    </row>
    <row r="2791" s="1" customFormat="1" ht="14" spans="1:8">
      <c r="A2791" s="2">
        <v>400000031</v>
      </c>
      <c r="B2791" s="2" t="s">
        <v>3471</v>
      </c>
      <c r="C2791" s="3" t="s">
        <v>3468</v>
      </c>
      <c r="D2791" s="4">
        <v>18802</v>
      </c>
      <c r="E2791" s="4">
        <v>815</v>
      </c>
      <c r="F2791" s="4">
        <v>15323630</v>
      </c>
      <c r="G2791" s="4">
        <v>815</v>
      </c>
      <c r="H2791" s="4">
        <v>15323630</v>
      </c>
    </row>
    <row r="2792" s="1" customFormat="1" ht="14" spans="1:8">
      <c r="A2792" s="2">
        <v>400000032</v>
      </c>
      <c r="B2792" s="2" t="s">
        <v>3472</v>
      </c>
      <c r="C2792" s="3" t="s">
        <v>45</v>
      </c>
      <c r="D2792" s="4">
        <v>278532.3</v>
      </c>
      <c r="E2792" s="4">
        <v>90</v>
      </c>
      <c r="F2792" s="4">
        <v>25067907.36</v>
      </c>
      <c r="G2792" s="4">
        <v>90</v>
      </c>
      <c r="H2792" s="4">
        <v>25059339.36</v>
      </c>
    </row>
    <row r="2793" s="1" customFormat="1" ht="14" spans="1:8">
      <c r="A2793" s="2">
        <v>400000033</v>
      </c>
      <c r="B2793" s="2" t="s">
        <v>3473</v>
      </c>
      <c r="C2793" s="3" t="s">
        <v>45</v>
      </c>
      <c r="D2793" s="4">
        <v>163901.44</v>
      </c>
      <c r="E2793" s="4">
        <v>80</v>
      </c>
      <c r="F2793" s="4">
        <v>13112115.04</v>
      </c>
      <c r="G2793" s="4">
        <v>80</v>
      </c>
      <c r="H2793" s="4">
        <v>12978322.3</v>
      </c>
    </row>
    <row r="2794" s="1" customFormat="1" ht="14" spans="1:8">
      <c r="A2794" s="2">
        <v>400000035</v>
      </c>
      <c r="B2794" s="2" t="s">
        <v>3474</v>
      </c>
      <c r="C2794" s="3" t="s">
        <v>876</v>
      </c>
      <c r="D2794" s="4">
        <v>768</v>
      </c>
      <c r="E2794" s="4">
        <v>500</v>
      </c>
      <c r="F2794" s="4">
        <v>384000</v>
      </c>
      <c r="G2794" s="4">
        <v>500</v>
      </c>
      <c r="H2794" s="4">
        <v>384000</v>
      </c>
    </row>
    <row r="2795" s="1" customFormat="1" ht="14" spans="1:8">
      <c r="A2795" s="2">
        <v>400000037</v>
      </c>
      <c r="B2795" s="2" t="s">
        <v>3475</v>
      </c>
      <c r="C2795" s="3"/>
      <c r="D2795" s="4">
        <v>70371</v>
      </c>
      <c r="E2795" s="4">
        <v>0.2</v>
      </c>
      <c r="F2795" s="4">
        <v>14074.2</v>
      </c>
      <c r="G2795" s="4">
        <v>0.2</v>
      </c>
      <c r="H2795" s="4">
        <v>14074.2</v>
      </c>
    </row>
    <row r="2796" s="1" customFormat="1" ht="14" spans="1:8">
      <c r="A2796" s="2">
        <v>400000038</v>
      </c>
      <c r="B2796" s="2" t="s">
        <v>3476</v>
      </c>
      <c r="C2796" s="3" t="s">
        <v>1484</v>
      </c>
      <c r="D2796" s="4">
        <v>0</v>
      </c>
      <c r="E2796" s="4">
        <v>318900</v>
      </c>
      <c r="F2796" s="4">
        <v>0</v>
      </c>
      <c r="G2796" s="4">
        <v>318900</v>
      </c>
      <c r="H2796" s="4">
        <v>0</v>
      </c>
    </row>
    <row r="2797" s="1" customFormat="1" ht="14" spans="1:8">
      <c r="A2797" s="2">
        <v>400000039</v>
      </c>
      <c r="B2797" s="2" t="s">
        <v>3477</v>
      </c>
      <c r="C2797" s="3" t="s">
        <v>1484</v>
      </c>
      <c r="D2797" s="4">
        <v>0</v>
      </c>
      <c r="E2797" s="4">
        <v>294337</v>
      </c>
      <c r="F2797" s="4">
        <v>0</v>
      </c>
      <c r="G2797" s="4">
        <v>294337</v>
      </c>
      <c r="H2797" s="4">
        <v>0</v>
      </c>
    </row>
    <row r="2798" s="1" customFormat="1" ht="14" spans="1:8">
      <c r="A2798" s="2">
        <v>400000040</v>
      </c>
      <c r="B2798" s="2" t="s">
        <v>3478</v>
      </c>
      <c r="C2798" s="3" t="s">
        <v>1484</v>
      </c>
      <c r="D2798" s="4">
        <v>0</v>
      </c>
      <c r="E2798" s="4">
        <v>192100</v>
      </c>
      <c r="F2798" s="4">
        <v>0</v>
      </c>
      <c r="G2798" s="4">
        <v>192100</v>
      </c>
      <c r="H2798" s="4">
        <v>0</v>
      </c>
    </row>
    <row r="2799" s="1" customFormat="1" ht="14" spans="1:8">
      <c r="A2799" s="2">
        <v>400000041</v>
      </c>
      <c r="B2799" s="2" t="s">
        <v>3479</v>
      </c>
      <c r="C2799" s="3" t="s">
        <v>1484</v>
      </c>
      <c r="D2799" s="4">
        <v>0</v>
      </c>
      <c r="E2799" s="4">
        <v>238350</v>
      </c>
      <c r="F2799" s="4">
        <v>0</v>
      </c>
      <c r="G2799" s="4">
        <v>238350</v>
      </c>
      <c r="H2799" s="4">
        <v>0</v>
      </c>
    </row>
    <row r="2800" s="1" customFormat="1" ht="14" spans="1:8">
      <c r="A2800" s="2">
        <v>400000042</v>
      </c>
      <c r="B2800" s="2" t="s">
        <v>3480</v>
      </c>
      <c r="C2800" s="3" t="s">
        <v>1484</v>
      </c>
      <c r="D2800" s="4">
        <v>0</v>
      </c>
      <c r="E2800" s="4">
        <v>184400</v>
      </c>
      <c r="F2800" s="4">
        <v>0</v>
      </c>
      <c r="G2800" s="4">
        <v>184400</v>
      </c>
      <c r="H2800" s="4">
        <v>0</v>
      </c>
    </row>
    <row r="2801" s="1" customFormat="1" ht="14" spans="1:8">
      <c r="A2801" s="2">
        <v>400000043</v>
      </c>
      <c r="B2801" s="2" t="s">
        <v>3481</v>
      </c>
      <c r="C2801" s="3" t="s">
        <v>876</v>
      </c>
      <c r="D2801" s="4">
        <v>957</v>
      </c>
      <c r="E2801" s="4">
        <v>160</v>
      </c>
      <c r="F2801" s="4">
        <v>153120</v>
      </c>
      <c r="G2801" s="4">
        <v>160</v>
      </c>
      <c r="H2801" s="4">
        <v>153120</v>
      </c>
    </row>
    <row r="2802" s="1" customFormat="1" ht="28" spans="1:8">
      <c r="A2802" s="2">
        <v>400000044</v>
      </c>
      <c r="B2802" s="2" t="s">
        <v>3482</v>
      </c>
      <c r="C2802" s="3" t="s">
        <v>1484</v>
      </c>
      <c r="D2802" s="4">
        <v>0</v>
      </c>
      <c r="E2802" s="4">
        <v>1871685</v>
      </c>
      <c r="F2802" s="4">
        <v>0</v>
      </c>
      <c r="G2802" s="4">
        <v>1871685</v>
      </c>
      <c r="H2802" s="4">
        <v>0</v>
      </c>
    </row>
    <row r="2803" s="1" customFormat="1" ht="14" spans="1:8">
      <c r="A2803" s="2">
        <v>400000046</v>
      </c>
      <c r="B2803" s="2" t="s">
        <v>3483</v>
      </c>
      <c r="C2803" s="3" t="s">
        <v>824</v>
      </c>
      <c r="D2803" s="4">
        <v>1462</v>
      </c>
      <c r="E2803" s="4">
        <v>3600</v>
      </c>
      <c r="F2803" s="4">
        <v>5263200</v>
      </c>
      <c r="G2803" s="4">
        <v>3600</v>
      </c>
      <c r="H2803" s="4">
        <v>5263200</v>
      </c>
    </row>
    <row r="2804" s="1" customFormat="1" ht="14" spans="1:8">
      <c r="A2804" s="2">
        <v>400000047</v>
      </c>
      <c r="B2804" s="2" t="s">
        <v>3484</v>
      </c>
      <c r="C2804" s="3" t="s">
        <v>679</v>
      </c>
      <c r="D2804" s="4">
        <v>27844.58</v>
      </c>
      <c r="E2804" s="4">
        <v>119</v>
      </c>
      <c r="F2804" s="4">
        <v>3313505.02</v>
      </c>
      <c r="G2804" s="4">
        <v>119</v>
      </c>
      <c r="H2804" s="4">
        <v>3313505.02</v>
      </c>
    </row>
    <row r="2805" s="1" customFormat="1" ht="14" spans="1:8">
      <c r="A2805" s="2">
        <v>400000048</v>
      </c>
      <c r="B2805" s="2" t="s">
        <v>3485</v>
      </c>
      <c r="C2805" s="3" t="s">
        <v>52</v>
      </c>
      <c r="D2805" s="4">
        <v>19348.1</v>
      </c>
      <c r="E2805" s="4">
        <v>30</v>
      </c>
      <c r="F2805" s="4">
        <v>580443</v>
      </c>
      <c r="G2805" s="4">
        <v>30</v>
      </c>
      <c r="H2805" s="4">
        <v>580443</v>
      </c>
    </row>
    <row r="2806" s="1" customFormat="1" ht="28" spans="1:8">
      <c r="A2806" s="2">
        <v>400000049</v>
      </c>
      <c r="B2806" s="2" t="s">
        <v>3486</v>
      </c>
      <c r="C2806" s="3" t="s">
        <v>1484</v>
      </c>
      <c r="D2806" s="4">
        <v>0</v>
      </c>
      <c r="E2806" s="4">
        <v>271065</v>
      </c>
      <c r="F2806" s="4">
        <v>0</v>
      </c>
      <c r="G2806" s="4">
        <v>271065</v>
      </c>
      <c r="H2806" s="4">
        <v>0</v>
      </c>
    </row>
    <row r="2807" s="1" customFormat="1" ht="28" spans="1:8">
      <c r="A2807" s="2">
        <v>400000050</v>
      </c>
      <c r="B2807" s="2" t="s">
        <v>3487</v>
      </c>
      <c r="C2807" s="3" t="s">
        <v>1484</v>
      </c>
      <c r="D2807" s="4">
        <v>0</v>
      </c>
      <c r="E2807" s="4">
        <v>250186.45</v>
      </c>
      <c r="F2807" s="4">
        <v>0</v>
      </c>
      <c r="G2807" s="4">
        <v>250186.45</v>
      </c>
      <c r="H2807" s="4">
        <v>0</v>
      </c>
    </row>
    <row r="2808" s="1" customFormat="1" ht="28" spans="1:8">
      <c r="A2808" s="2">
        <v>400000051</v>
      </c>
      <c r="B2808" s="2" t="s">
        <v>3488</v>
      </c>
      <c r="C2808" s="3" t="s">
        <v>1484</v>
      </c>
      <c r="D2808" s="4">
        <v>0</v>
      </c>
      <c r="E2808" s="4">
        <v>202597.5</v>
      </c>
      <c r="F2808" s="4">
        <v>0</v>
      </c>
      <c r="G2808" s="4">
        <v>202597.5</v>
      </c>
      <c r="H2808" s="4">
        <v>0</v>
      </c>
    </row>
    <row r="2809" s="1" customFormat="1" ht="28" spans="1:8">
      <c r="A2809" s="2">
        <v>400000052</v>
      </c>
      <c r="B2809" s="2" t="s">
        <v>3489</v>
      </c>
      <c r="C2809" s="3" t="s">
        <v>1484</v>
      </c>
      <c r="D2809" s="4">
        <v>0</v>
      </c>
      <c r="E2809" s="4">
        <v>163285</v>
      </c>
      <c r="F2809" s="4">
        <v>0</v>
      </c>
      <c r="G2809" s="4">
        <v>163285</v>
      </c>
      <c r="H2809" s="4">
        <v>0</v>
      </c>
    </row>
    <row r="2810" s="1" customFormat="1" ht="28" spans="1:8">
      <c r="A2810" s="2">
        <v>400000053</v>
      </c>
      <c r="B2810" s="2" t="s">
        <v>3490</v>
      </c>
      <c r="C2810" s="3" t="s">
        <v>1484</v>
      </c>
      <c r="D2810" s="4">
        <v>0</v>
      </c>
      <c r="E2810" s="4">
        <v>156740</v>
      </c>
      <c r="F2810" s="4">
        <v>0</v>
      </c>
      <c r="G2810" s="4">
        <v>156740</v>
      </c>
      <c r="H2810" s="4">
        <v>0</v>
      </c>
    </row>
    <row r="2811" s="1" customFormat="1" ht="28" spans="1:8">
      <c r="A2811" s="2">
        <v>400000054</v>
      </c>
      <c r="B2811" s="2" t="s">
        <v>3491</v>
      </c>
      <c r="C2811" s="3" t="s">
        <v>1484</v>
      </c>
      <c r="D2811" s="4">
        <v>0</v>
      </c>
      <c r="E2811" s="4">
        <v>158026.01</v>
      </c>
      <c r="F2811" s="4">
        <v>0</v>
      </c>
      <c r="G2811" s="4">
        <v>158026.01</v>
      </c>
      <c r="H2811" s="4">
        <v>0</v>
      </c>
    </row>
    <row r="2812" s="1" customFormat="1" ht="14" spans="1:8">
      <c r="A2812" s="2">
        <v>400000055</v>
      </c>
      <c r="B2812" s="2" t="s">
        <v>3492</v>
      </c>
      <c r="C2812" s="3" t="s">
        <v>824</v>
      </c>
      <c r="D2812" s="4">
        <v>0</v>
      </c>
      <c r="E2812" s="4">
        <v>154</v>
      </c>
      <c r="F2812" s="4">
        <v>0</v>
      </c>
      <c r="G2812" s="4">
        <v>154</v>
      </c>
      <c r="H2812" s="4">
        <v>0</v>
      </c>
    </row>
    <row r="2813" s="1" customFormat="1" ht="14" spans="1:8">
      <c r="A2813" s="2">
        <v>400000056</v>
      </c>
      <c r="B2813" s="2" t="s">
        <v>3493</v>
      </c>
      <c r="C2813" s="3" t="s">
        <v>674</v>
      </c>
      <c r="D2813" s="4">
        <v>0</v>
      </c>
      <c r="E2813" s="4">
        <v>222.9</v>
      </c>
      <c r="F2813" s="4">
        <v>0</v>
      </c>
      <c r="G2813" s="4">
        <v>222.9</v>
      </c>
      <c r="H2813" s="4">
        <v>0</v>
      </c>
    </row>
    <row r="2814" s="1" customFormat="1" ht="14" spans="1:8">
      <c r="A2814" s="2">
        <v>400001003</v>
      </c>
      <c r="B2814" s="2" t="s">
        <v>3494</v>
      </c>
      <c r="C2814" s="3" t="s">
        <v>29</v>
      </c>
      <c r="D2814" s="4">
        <v>482.48</v>
      </c>
      <c r="E2814" s="4">
        <v>5357</v>
      </c>
      <c r="F2814" s="4">
        <v>2584640</v>
      </c>
      <c r="G2814" s="4">
        <v>5357</v>
      </c>
      <c r="H2814" s="4">
        <v>2584640</v>
      </c>
    </row>
    <row r="2815" s="1" customFormat="1" ht="14" spans="1:8">
      <c r="A2815" s="2">
        <v>400001005</v>
      </c>
      <c r="B2815" s="2" t="s">
        <v>3495</v>
      </c>
      <c r="C2815" s="3" t="s">
        <v>29</v>
      </c>
      <c r="D2815" s="4">
        <v>338.32</v>
      </c>
      <c r="E2815" s="4">
        <v>16000</v>
      </c>
      <c r="F2815" s="4">
        <v>5413152</v>
      </c>
      <c r="G2815" s="4">
        <v>16000</v>
      </c>
      <c r="H2815" s="4">
        <v>5413152</v>
      </c>
    </row>
    <row r="2816" s="1" customFormat="1" ht="14" spans="1:8">
      <c r="A2816" s="2">
        <v>400001096</v>
      </c>
      <c r="B2816" s="2" t="s">
        <v>3496</v>
      </c>
      <c r="C2816" s="3" t="s">
        <v>824</v>
      </c>
      <c r="D2816" s="4">
        <v>0</v>
      </c>
      <c r="E2816" s="4">
        <v>4750</v>
      </c>
      <c r="F2816" s="4">
        <v>0</v>
      </c>
      <c r="G2816" s="4">
        <v>4750</v>
      </c>
      <c r="H2816" s="4">
        <v>0</v>
      </c>
    </row>
    <row r="2817" s="1" customFormat="1" ht="14" spans="1:8">
      <c r="A2817" s="2">
        <v>400001097</v>
      </c>
      <c r="B2817" s="2" t="s">
        <v>3497</v>
      </c>
      <c r="C2817" s="3" t="s">
        <v>824</v>
      </c>
      <c r="D2817" s="4">
        <v>0</v>
      </c>
      <c r="E2817" s="4">
        <v>5000</v>
      </c>
      <c r="F2817" s="4">
        <v>0</v>
      </c>
      <c r="G2817" s="4">
        <v>5000</v>
      </c>
      <c r="H2817" s="4">
        <v>0</v>
      </c>
    </row>
    <row r="2818" s="1" customFormat="1" ht="14" spans="1:8">
      <c r="A2818" s="2">
        <v>400001098</v>
      </c>
      <c r="B2818" s="2" t="s">
        <v>3498</v>
      </c>
      <c r="C2818" s="3" t="s">
        <v>824</v>
      </c>
      <c r="D2818" s="4">
        <v>0</v>
      </c>
      <c r="E2818" s="4">
        <v>4875</v>
      </c>
      <c r="F2818" s="4">
        <v>0</v>
      </c>
      <c r="G2818" s="4">
        <v>4875</v>
      </c>
      <c r="H2818" s="4">
        <v>0</v>
      </c>
    </row>
    <row r="2819" s="1" customFormat="1" ht="14" spans="1:8">
      <c r="A2819" s="2">
        <v>400001099</v>
      </c>
      <c r="B2819" s="2" t="s">
        <v>3499</v>
      </c>
      <c r="C2819" s="3" t="s">
        <v>824</v>
      </c>
      <c r="D2819" s="4">
        <v>0</v>
      </c>
      <c r="E2819" s="4">
        <v>4750</v>
      </c>
      <c r="F2819" s="4">
        <v>0</v>
      </c>
      <c r="G2819" s="4">
        <v>4750</v>
      </c>
      <c r="H2819" s="4">
        <v>0</v>
      </c>
    </row>
    <row r="2820" s="1" customFormat="1" ht="14" spans="1:8">
      <c r="A2820" s="2">
        <v>400001101</v>
      </c>
      <c r="B2820" s="2" t="s">
        <v>3500</v>
      </c>
      <c r="C2820" s="3" t="s">
        <v>824</v>
      </c>
      <c r="D2820" s="4">
        <v>0</v>
      </c>
      <c r="E2820" s="4">
        <v>6000</v>
      </c>
      <c r="F2820" s="4">
        <v>0</v>
      </c>
      <c r="G2820" s="4">
        <v>6000</v>
      </c>
      <c r="H2820" s="4">
        <v>0</v>
      </c>
    </row>
    <row r="2821" s="1" customFormat="1" ht="14" spans="1:8">
      <c r="A2821" s="2">
        <v>400001102</v>
      </c>
      <c r="B2821" s="2" t="s">
        <v>3501</v>
      </c>
      <c r="C2821" s="3" t="s">
        <v>824</v>
      </c>
      <c r="D2821" s="4">
        <v>0</v>
      </c>
      <c r="E2821" s="4">
        <v>5875</v>
      </c>
      <c r="F2821" s="4">
        <v>0</v>
      </c>
      <c r="G2821" s="4">
        <v>5875</v>
      </c>
      <c r="H2821" s="4">
        <v>0</v>
      </c>
    </row>
    <row r="2822" s="1" customFormat="1" ht="14" spans="1:8">
      <c r="A2822" s="2">
        <v>400001103</v>
      </c>
      <c r="B2822" s="2" t="s">
        <v>3502</v>
      </c>
      <c r="C2822" s="3" t="s">
        <v>824</v>
      </c>
      <c r="D2822" s="4">
        <v>0</v>
      </c>
      <c r="E2822" s="4">
        <v>5750</v>
      </c>
      <c r="F2822" s="4">
        <v>0</v>
      </c>
      <c r="G2822" s="4">
        <v>5750</v>
      </c>
      <c r="H2822" s="4">
        <v>0</v>
      </c>
    </row>
    <row r="2823" s="1" customFormat="1" ht="14" spans="1:8">
      <c r="A2823" s="2">
        <v>400001104</v>
      </c>
      <c r="B2823" s="2" t="s">
        <v>3503</v>
      </c>
      <c r="C2823" s="3" t="s">
        <v>824</v>
      </c>
      <c r="D2823" s="4">
        <v>0</v>
      </c>
      <c r="E2823" s="4">
        <v>6750</v>
      </c>
      <c r="F2823" s="4">
        <v>0</v>
      </c>
      <c r="G2823" s="4">
        <v>6750</v>
      </c>
      <c r="H2823" s="4">
        <v>0</v>
      </c>
    </row>
    <row r="2824" s="1" customFormat="1" ht="14" spans="1:8">
      <c r="A2824" s="2">
        <v>400001105</v>
      </c>
      <c r="B2824" s="2" t="s">
        <v>3504</v>
      </c>
      <c r="C2824" s="3" t="s">
        <v>824</v>
      </c>
      <c r="D2824" s="4">
        <v>0</v>
      </c>
      <c r="E2824" s="4">
        <v>7000</v>
      </c>
      <c r="F2824" s="4">
        <v>0</v>
      </c>
      <c r="G2824" s="4">
        <v>7000</v>
      </c>
      <c r="H2824" s="4">
        <v>0</v>
      </c>
    </row>
    <row r="2825" s="1" customFormat="1" ht="14" spans="1:8">
      <c r="A2825" s="2">
        <v>400001106</v>
      </c>
      <c r="B2825" s="2" t="s">
        <v>3505</v>
      </c>
      <c r="C2825" s="3" t="s">
        <v>824</v>
      </c>
      <c r="D2825" s="4">
        <v>0</v>
      </c>
      <c r="E2825" s="4">
        <v>6875</v>
      </c>
      <c r="F2825" s="4">
        <v>0</v>
      </c>
      <c r="G2825" s="4">
        <v>6875</v>
      </c>
      <c r="H2825" s="4">
        <v>0</v>
      </c>
    </row>
    <row r="2826" s="1" customFormat="1" ht="14" spans="1:8">
      <c r="A2826" s="2">
        <v>400001107</v>
      </c>
      <c r="B2826" s="2" t="s">
        <v>3506</v>
      </c>
      <c r="C2826" s="3" t="s">
        <v>824</v>
      </c>
      <c r="D2826" s="4">
        <v>0</v>
      </c>
      <c r="E2826" s="4">
        <v>6500</v>
      </c>
      <c r="F2826" s="4">
        <v>0</v>
      </c>
      <c r="G2826" s="4">
        <v>6500</v>
      </c>
      <c r="H2826" s="4">
        <v>0</v>
      </c>
    </row>
    <row r="2827" s="1" customFormat="1" ht="14" spans="1:8">
      <c r="A2827" s="2">
        <v>400001108</v>
      </c>
      <c r="B2827" s="2" t="s">
        <v>3507</v>
      </c>
      <c r="C2827" s="3" t="s">
        <v>824</v>
      </c>
      <c r="D2827" s="4">
        <v>0</v>
      </c>
      <c r="E2827" s="4">
        <v>6400</v>
      </c>
      <c r="F2827" s="4">
        <v>0</v>
      </c>
      <c r="G2827" s="4">
        <v>6400</v>
      </c>
      <c r="H2827" s="4">
        <v>0</v>
      </c>
    </row>
    <row r="2828" s="1" customFormat="1" ht="14" spans="1:8">
      <c r="A2828" s="2">
        <v>400001109</v>
      </c>
      <c r="B2828" s="2" t="s">
        <v>3508</v>
      </c>
      <c r="C2828" s="3" t="s">
        <v>824</v>
      </c>
      <c r="D2828" s="4">
        <v>0</v>
      </c>
      <c r="E2828" s="4">
        <v>8250</v>
      </c>
      <c r="F2828" s="4">
        <v>0</v>
      </c>
      <c r="G2828" s="4">
        <v>8250</v>
      </c>
      <c r="H2828" s="4">
        <v>0</v>
      </c>
    </row>
    <row r="2829" s="1" customFormat="1" ht="14" spans="1:8">
      <c r="A2829" s="2">
        <v>400001110</v>
      </c>
      <c r="B2829" s="2" t="s">
        <v>3509</v>
      </c>
      <c r="C2829" s="3" t="s">
        <v>824</v>
      </c>
      <c r="D2829" s="4">
        <v>0</v>
      </c>
      <c r="E2829" s="4">
        <v>8175</v>
      </c>
      <c r="F2829" s="4">
        <v>0</v>
      </c>
      <c r="G2829" s="4">
        <v>8175</v>
      </c>
      <c r="H2829" s="4">
        <v>0</v>
      </c>
    </row>
    <row r="2830" s="1" customFormat="1" ht="14" spans="1:8">
      <c r="A2830" s="2">
        <v>400001111</v>
      </c>
      <c r="B2830" s="2" t="s">
        <v>3510</v>
      </c>
      <c r="C2830" s="3" t="s">
        <v>824</v>
      </c>
      <c r="D2830" s="4">
        <v>0</v>
      </c>
      <c r="E2830" s="4">
        <v>7500</v>
      </c>
      <c r="F2830" s="4">
        <v>0</v>
      </c>
      <c r="G2830" s="4">
        <v>7500</v>
      </c>
      <c r="H2830" s="4">
        <v>0</v>
      </c>
    </row>
    <row r="2831" s="1" customFormat="1" ht="14" spans="1:8">
      <c r="A2831" s="2">
        <v>400001112</v>
      </c>
      <c r="B2831" s="2" t="s">
        <v>3511</v>
      </c>
      <c r="C2831" s="3" t="s">
        <v>824</v>
      </c>
      <c r="D2831" s="4">
        <v>0</v>
      </c>
      <c r="E2831" s="4">
        <v>8250</v>
      </c>
      <c r="F2831" s="4">
        <v>0</v>
      </c>
      <c r="G2831" s="4">
        <v>8250</v>
      </c>
      <c r="H2831" s="4">
        <v>0</v>
      </c>
    </row>
    <row r="2832" s="1" customFormat="1" ht="14" spans="1:8">
      <c r="A2832" s="2">
        <v>400001113</v>
      </c>
      <c r="B2832" s="2" t="s">
        <v>3512</v>
      </c>
      <c r="C2832" s="3" t="s">
        <v>824</v>
      </c>
      <c r="D2832" s="4">
        <v>0</v>
      </c>
      <c r="E2832" s="4">
        <v>9250</v>
      </c>
      <c r="F2832" s="4">
        <v>0</v>
      </c>
      <c r="G2832" s="4">
        <v>9250</v>
      </c>
      <c r="H2832" s="4">
        <v>0</v>
      </c>
    </row>
    <row r="2833" s="1" customFormat="1" ht="14" spans="1:8">
      <c r="A2833" s="2">
        <v>400001114</v>
      </c>
      <c r="B2833" s="2" t="s">
        <v>3513</v>
      </c>
      <c r="C2833" s="3" t="s">
        <v>824</v>
      </c>
      <c r="D2833" s="4">
        <v>0</v>
      </c>
      <c r="E2833" s="4">
        <v>9000</v>
      </c>
      <c r="F2833" s="4">
        <v>0</v>
      </c>
      <c r="G2833" s="4">
        <v>9000</v>
      </c>
      <c r="H2833" s="4">
        <v>0</v>
      </c>
    </row>
    <row r="2834" s="1" customFormat="1" ht="14" spans="1:8">
      <c r="A2834" s="2">
        <v>400001115</v>
      </c>
      <c r="B2834" s="2" t="s">
        <v>3514</v>
      </c>
      <c r="C2834" s="3" t="s">
        <v>824</v>
      </c>
      <c r="D2834" s="4">
        <v>0</v>
      </c>
      <c r="E2834" s="4">
        <v>8250</v>
      </c>
      <c r="F2834" s="4">
        <v>0</v>
      </c>
      <c r="G2834" s="4">
        <v>8250</v>
      </c>
      <c r="H2834" s="4">
        <v>0</v>
      </c>
    </row>
    <row r="2835" s="1" customFormat="1" ht="14" spans="1:8">
      <c r="A2835" s="2">
        <v>400001116</v>
      </c>
      <c r="B2835" s="2" t="s">
        <v>3515</v>
      </c>
      <c r="C2835" s="3" t="s">
        <v>824</v>
      </c>
      <c r="D2835" s="4">
        <v>0</v>
      </c>
      <c r="E2835" s="4">
        <v>9000</v>
      </c>
      <c r="F2835" s="4">
        <v>0</v>
      </c>
      <c r="G2835" s="4">
        <v>9000</v>
      </c>
      <c r="H2835" s="4">
        <v>0</v>
      </c>
    </row>
    <row r="2836" s="1" customFormat="1" ht="14" spans="1:8">
      <c r="A2836" s="2">
        <v>400001122</v>
      </c>
      <c r="B2836" s="2" t="s">
        <v>3516</v>
      </c>
      <c r="C2836" s="3" t="s">
        <v>824</v>
      </c>
      <c r="D2836" s="4">
        <v>0</v>
      </c>
      <c r="E2836" s="4">
        <v>13250</v>
      </c>
      <c r="F2836" s="4">
        <v>0</v>
      </c>
      <c r="G2836" s="4">
        <v>13250</v>
      </c>
      <c r="H2836" s="4">
        <v>0</v>
      </c>
    </row>
    <row r="2837" s="1" customFormat="1" ht="14" spans="1:8">
      <c r="A2837" s="2">
        <v>400001123</v>
      </c>
      <c r="B2837" s="2" t="s">
        <v>3517</v>
      </c>
      <c r="C2837" s="3" t="s">
        <v>824</v>
      </c>
      <c r="D2837" s="4">
        <v>0</v>
      </c>
      <c r="E2837" s="4">
        <v>13250</v>
      </c>
      <c r="F2837" s="4">
        <v>0</v>
      </c>
      <c r="G2837" s="4">
        <v>13250</v>
      </c>
      <c r="H2837" s="4">
        <v>0</v>
      </c>
    </row>
    <row r="2838" s="1" customFormat="1" ht="14" spans="1:8">
      <c r="A2838" s="2">
        <v>400001161</v>
      </c>
      <c r="B2838" s="2" t="s">
        <v>3518</v>
      </c>
      <c r="C2838" s="3" t="s">
        <v>824</v>
      </c>
      <c r="D2838" s="4">
        <v>0</v>
      </c>
      <c r="E2838" s="4">
        <v>51250</v>
      </c>
      <c r="F2838" s="4">
        <v>0</v>
      </c>
      <c r="G2838" s="4">
        <v>51250</v>
      </c>
      <c r="H2838" s="4">
        <v>0</v>
      </c>
    </row>
    <row r="2839" s="1" customFormat="1" ht="14" spans="1:8">
      <c r="A2839" s="2">
        <v>400001162</v>
      </c>
      <c r="B2839" s="2" t="s">
        <v>3519</v>
      </c>
      <c r="C2839" s="3" t="s">
        <v>824</v>
      </c>
      <c r="D2839" s="4">
        <v>0</v>
      </c>
      <c r="E2839" s="4">
        <v>59250</v>
      </c>
      <c r="F2839" s="4">
        <v>0</v>
      </c>
      <c r="G2839" s="4">
        <v>59250</v>
      </c>
      <c r="H2839" s="4">
        <v>0</v>
      </c>
    </row>
    <row r="2840" s="1" customFormat="1" ht="14" spans="1:8">
      <c r="A2840" s="2">
        <v>400001163</v>
      </c>
      <c r="B2840" s="2" t="s">
        <v>3520</v>
      </c>
      <c r="C2840" s="3" t="s">
        <v>824</v>
      </c>
      <c r="D2840" s="4">
        <v>0</v>
      </c>
      <c r="E2840" s="4">
        <v>59250</v>
      </c>
      <c r="F2840" s="4">
        <v>0</v>
      </c>
      <c r="G2840" s="4">
        <v>59250</v>
      </c>
      <c r="H2840" s="4">
        <v>0</v>
      </c>
    </row>
    <row r="2841" s="1" customFormat="1" ht="14" spans="1:8">
      <c r="A2841" s="2">
        <v>400001164</v>
      </c>
      <c r="B2841" s="2" t="s">
        <v>3521</v>
      </c>
      <c r="C2841" s="3" t="s">
        <v>824</v>
      </c>
      <c r="D2841" s="4">
        <v>0</v>
      </c>
      <c r="E2841" s="4">
        <v>62000</v>
      </c>
      <c r="F2841" s="4">
        <v>0</v>
      </c>
      <c r="G2841" s="4">
        <v>62000</v>
      </c>
      <c r="H2841" s="4">
        <v>0</v>
      </c>
    </row>
    <row r="2842" s="1" customFormat="1" ht="14" spans="1:8">
      <c r="A2842" s="2">
        <v>400001222</v>
      </c>
      <c r="B2842" s="2" t="s">
        <v>3522</v>
      </c>
      <c r="C2842" s="3" t="s">
        <v>29</v>
      </c>
      <c r="D2842" s="4">
        <v>3.02</v>
      </c>
      <c r="E2842" s="4">
        <v>2355</v>
      </c>
      <c r="F2842" s="4">
        <v>7102.68</v>
      </c>
      <c r="G2842" s="4">
        <v>2355</v>
      </c>
      <c r="H2842" s="4">
        <v>7102.68</v>
      </c>
    </row>
    <row r="2843" s="1" customFormat="1" ht="14" spans="1:8">
      <c r="A2843" s="2">
        <v>400001228</v>
      </c>
      <c r="B2843" s="2" t="s">
        <v>3523</v>
      </c>
      <c r="C2843" s="3" t="s">
        <v>679</v>
      </c>
      <c r="D2843" s="4">
        <v>0</v>
      </c>
      <c r="E2843" s="4">
        <v>23.93</v>
      </c>
      <c r="F2843" s="4">
        <v>0</v>
      </c>
      <c r="G2843" s="4">
        <v>23.93</v>
      </c>
      <c r="H2843" s="4">
        <v>0</v>
      </c>
    </row>
    <row r="2844" s="1" customFormat="1" ht="14" spans="1:8">
      <c r="A2844" s="2">
        <v>400002002</v>
      </c>
      <c r="B2844" s="2" t="s">
        <v>3524</v>
      </c>
      <c r="C2844" s="3" t="s">
        <v>472</v>
      </c>
      <c r="D2844" s="4">
        <v>0</v>
      </c>
      <c r="E2844" s="4">
        <v>58</v>
      </c>
      <c r="F2844" s="4">
        <v>0</v>
      </c>
      <c r="G2844" s="4">
        <v>58</v>
      </c>
      <c r="H2844" s="4">
        <v>0</v>
      </c>
    </row>
    <row r="2845" s="1" customFormat="1" ht="14" spans="1:8">
      <c r="A2845" s="2">
        <v>400002004</v>
      </c>
      <c r="B2845" s="2" t="s">
        <v>3462</v>
      </c>
      <c r="C2845" s="3" t="s">
        <v>472</v>
      </c>
      <c r="D2845" s="4">
        <v>242.55</v>
      </c>
      <c r="E2845" s="4">
        <v>62</v>
      </c>
      <c r="F2845" s="4">
        <v>15038.1</v>
      </c>
      <c r="G2845" s="4">
        <v>62</v>
      </c>
      <c r="H2845" s="4">
        <v>15038.1</v>
      </c>
    </row>
    <row r="2846" s="1" customFormat="1" ht="28" spans="1:8">
      <c r="A2846" s="2">
        <v>400003001</v>
      </c>
      <c r="B2846" s="2" t="s">
        <v>3525</v>
      </c>
      <c r="C2846" s="3" t="s">
        <v>472</v>
      </c>
      <c r="D2846" s="4">
        <v>1500</v>
      </c>
      <c r="E2846" s="4">
        <v>15.3846153846154</v>
      </c>
      <c r="F2846" s="4">
        <v>23076.92</v>
      </c>
      <c r="G2846" s="4">
        <v>15.3846153846154</v>
      </c>
      <c r="H2846" s="4">
        <v>23076.92</v>
      </c>
    </row>
    <row r="2847" s="1" customFormat="1" ht="14" spans="1:8">
      <c r="A2847" s="2">
        <v>400003003</v>
      </c>
      <c r="B2847" s="2" t="s">
        <v>3526</v>
      </c>
      <c r="C2847" s="3" t="s">
        <v>679</v>
      </c>
      <c r="D2847" s="4">
        <v>71921.93</v>
      </c>
      <c r="E2847" s="4">
        <v>11.6239316239316</v>
      </c>
      <c r="F2847" s="4">
        <v>836015.61</v>
      </c>
      <c r="G2847" s="4">
        <v>11.6239316239316</v>
      </c>
      <c r="H2847" s="4">
        <v>836015.61</v>
      </c>
    </row>
    <row r="2848" s="1" customFormat="1" ht="14" spans="1:8">
      <c r="A2848" s="2">
        <v>400004007</v>
      </c>
      <c r="B2848" s="2" t="s">
        <v>3527</v>
      </c>
      <c r="C2848" s="3" t="s">
        <v>45</v>
      </c>
      <c r="D2848" s="4">
        <v>0</v>
      </c>
      <c r="E2848" s="4">
        <v>35000</v>
      </c>
      <c r="F2848" s="4">
        <v>105</v>
      </c>
      <c r="G2848" s="4">
        <v>35000</v>
      </c>
      <c r="H2848" s="4">
        <v>105</v>
      </c>
    </row>
    <row r="2849" s="1" customFormat="1" ht="14" spans="1:8">
      <c r="A2849" s="2">
        <v>400004023</v>
      </c>
      <c r="B2849" s="2" t="s">
        <v>3528</v>
      </c>
      <c r="C2849" s="3" t="s">
        <v>824</v>
      </c>
      <c r="D2849" s="4">
        <v>3</v>
      </c>
      <c r="E2849" s="4">
        <v>13675</v>
      </c>
      <c r="F2849" s="4">
        <v>41025</v>
      </c>
      <c r="G2849" s="4">
        <v>13675</v>
      </c>
      <c r="H2849" s="4">
        <v>41025</v>
      </c>
    </row>
    <row r="2850" s="1" customFormat="1" ht="14" spans="1:8">
      <c r="A2850" s="2">
        <v>400005003</v>
      </c>
      <c r="B2850" s="2" t="s">
        <v>3529</v>
      </c>
      <c r="C2850" s="3" t="s">
        <v>59</v>
      </c>
      <c r="D2850" s="4">
        <v>1297.05</v>
      </c>
      <c r="E2850" s="4">
        <v>45</v>
      </c>
      <c r="F2850" s="4">
        <v>58367.43</v>
      </c>
      <c r="G2850" s="4">
        <v>45</v>
      </c>
      <c r="H2850" s="4">
        <v>58367.43</v>
      </c>
    </row>
    <row r="2851" s="1" customFormat="1" ht="28" spans="1:8">
      <c r="A2851" s="2">
        <v>400005004</v>
      </c>
      <c r="B2851" s="2" t="s">
        <v>3530</v>
      </c>
      <c r="C2851" s="3" t="s">
        <v>472</v>
      </c>
      <c r="D2851" s="4">
        <v>0</v>
      </c>
      <c r="E2851" s="4">
        <v>65</v>
      </c>
      <c r="F2851" s="4">
        <v>0</v>
      </c>
      <c r="G2851" s="4">
        <v>65</v>
      </c>
      <c r="H2851" s="4">
        <v>0</v>
      </c>
    </row>
    <row r="2852" s="1" customFormat="1" ht="14" spans="1:8">
      <c r="A2852" s="2">
        <v>400005005</v>
      </c>
      <c r="B2852" s="2" t="s">
        <v>3531</v>
      </c>
      <c r="C2852" s="3" t="s">
        <v>472</v>
      </c>
      <c r="D2852" s="4">
        <v>121.8</v>
      </c>
      <c r="E2852" s="4">
        <v>120</v>
      </c>
      <c r="F2852" s="4">
        <v>14616</v>
      </c>
      <c r="G2852" s="4">
        <v>120</v>
      </c>
      <c r="H2852" s="4">
        <v>14616</v>
      </c>
    </row>
    <row r="2853" s="1" customFormat="1" ht="28" spans="1:8">
      <c r="A2853" s="2">
        <v>400005006</v>
      </c>
      <c r="B2853" s="2" t="s">
        <v>3532</v>
      </c>
      <c r="C2853" s="3" t="s">
        <v>472</v>
      </c>
      <c r="D2853" s="4">
        <v>0</v>
      </c>
      <c r="E2853" s="4">
        <v>26.5</v>
      </c>
      <c r="F2853" s="4">
        <v>0</v>
      </c>
      <c r="G2853" s="4">
        <v>26.5</v>
      </c>
      <c r="H2853" s="4">
        <v>0</v>
      </c>
    </row>
    <row r="2854" s="1" customFormat="1" ht="28" spans="1:8">
      <c r="A2854" s="2">
        <v>400005009</v>
      </c>
      <c r="B2854" s="2" t="s">
        <v>3533</v>
      </c>
      <c r="C2854" s="3" t="s">
        <v>824</v>
      </c>
      <c r="D2854" s="4">
        <v>3</v>
      </c>
      <c r="E2854" s="4">
        <v>63000</v>
      </c>
      <c r="F2854" s="4">
        <v>189000</v>
      </c>
      <c r="G2854" s="4">
        <v>63000</v>
      </c>
      <c r="H2854" s="4">
        <v>189000</v>
      </c>
    </row>
    <row r="2855" s="1" customFormat="1" ht="14" spans="1:8">
      <c r="A2855" s="2">
        <v>400005018</v>
      </c>
      <c r="B2855" s="2" t="s">
        <v>3534</v>
      </c>
      <c r="C2855" s="3" t="s">
        <v>59</v>
      </c>
      <c r="D2855" s="4">
        <v>0</v>
      </c>
      <c r="E2855" s="4">
        <v>55</v>
      </c>
      <c r="F2855" s="4">
        <v>0</v>
      </c>
      <c r="G2855" s="4">
        <v>55</v>
      </c>
      <c r="H2855" s="4">
        <v>0</v>
      </c>
    </row>
    <row r="2856" s="1" customFormat="1" ht="28" spans="1:8">
      <c r="A2856" s="2">
        <v>400005022</v>
      </c>
      <c r="B2856" s="2" t="s">
        <v>3535</v>
      </c>
      <c r="C2856" s="3" t="s">
        <v>59</v>
      </c>
      <c r="D2856" s="4">
        <v>475.65</v>
      </c>
      <c r="E2856" s="4">
        <v>21</v>
      </c>
      <c r="F2856" s="4">
        <v>9988.65</v>
      </c>
      <c r="G2856" s="4">
        <v>21</v>
      </c>
      <c r="H2856" s="4">
        <v>9988.65</v>
      </c>
    </row>
    <row r="2857" s="1" customFormat="1" ht="28" spans="1:8">
      <c r="A2857" s="2">
        <v>400005025</v>
      </c>
      <c r="B2857" s="2" t="s">
        <v>3536</v>
      </c>
      <c r="C2857" s="3" t="s">
        <v>59</v>
      </c>
      <c r="D2857" s="4">
        <v>691.95</v>
      </c>
      <c r="E2857" s="4">
        <v>14</v>
      </c>
      <c r="F2857" s="4">
        <v>9687.3</v>
      </c>
      <c r="G2857" s="4">
        <v>14</v>
      </c>
      <c r="H2857" s="4">
        <v>9687.3</v>
      </c>
    </row>
    <row r="2858" s="1" customFormat="1" ht="14" spans="1:8">
      <c r="A2858" s="2">
        <v>400005028</v>
      </c>
      <c r="B2858" s="2" t="s">
        <v>3537</v>
      </c>
      <c r="C2858" s="3" t="s">
        <v>59</v>
      </c>
      <c r="D2858" s="4">
        <v>9748.3</v>
      </c>
      <c r="E2858" s="4">
        <v>20</v>
      </c>
      <c r="F2858" s="4">
        <v>194965.84</v>
      </c>
      <c r="G2858" s="4">
        <v>20</v>
      </c>
      <c r="H2858" s="4">
        <v>194965.84</v>
      </c>
    </row>
    <row r="2859" s="1" customFormat="1" ht="14" spans="1:8">
      <c r="A2859" s="2">
        <v>400005029</v>
      </c>
      <c r="B2859" s="2" t="s">
        <v>3538</v>
      </c>
      <c r="C2859" s="3" t="s">
        <v>59</v>
      </c>
      <c r="D2859" s="4">
        <v>52195.64</v>
      </c>
      <c r="E2859" s="4">
        <v>30</v>
      </c>
      <c r="F2859" s="4">
        <v>1565868.69</v>
      </c>
      <c r="G2859" s="4">
        <v>30</v>
      </c>
      <c r="H2859" s="4">
        <v>1565868.69</v>
      </c>
    </row>
    <row r="2860" s="1" customFormat="1" ht="28" spans="1:8">
      <c r="A2860" s="2">
        <v>400005186</v>
      </c>
      <c r="B2860" s="2" t="s">
        <v>3539</v>
      </c>
      <c r="C2860" s="3" t="s">
        <v>824</v>
      </c>
      <c r="D2860" s="4">
        <v>0</v>
      </c>
      <c r="E2860" s="4">
        <v>9500</v>
      </c>
      <c r="F2860" s="4">
        <v>0</v>
      </c>
      <c r="G2860" s="4">
        <v>9500</v>
      </c>
      <c r="H2860" s="4">
        <v>0</v>
      </c>
    </row>
    <row r="2861" s="1" customFormat="1" ht="28" spans="1:8">
      <c r="A2861" s="2">
        <v>400005187</v>
      </c>
      <c r="B2861" s="2" t="s">
        <v>3540</v>
      </c>
      <c r="C2861" s="3" t="s">
        <v>824</v>
      </c>
      <c r="D2861" s="4">
        <v>0</v>
      </c>
      <c r="E2861" s="4">
        <v>10250</v>
      </c>
      <c r="F2861" s="4">
        <v>0</v>
      </c>
      <c r="G2861" s="4">
        <v>10250</v>
      </c>
      <c r="H2861" s="4">
        <v>0</v>
      </c>
    </row>
    <row r="2862" s="1" customFormat="1" ht="14" spans="1:8">
      <c r="A2862" s="2">
        <v>400009689</v>
      </c>
      <c r="B2862" s="2" t="s">
        <v>3541</v>
      </c>
      <c r="C2862" s="3" t="s">
        <v>824</v>
      </c>
      <c r="D2862" s="4">
        <v>18</v>
      </c>
      <c r="E2862" s="4">
        <v>16068.37</v>
      </c>
      <c r="F2862" s="4">
        <v>289230.66</v>
      </c>
      <c r="G2862" s="4">
        <v>16068.37</v>
      </c>
      <c r="H2862" s="4">
        <v>289230.66</v>
      </c>
    </row>
    <row r="2863" s="1" customFormat="1" ht="14" spans="1:8">
      <c r="A2863" s="2">
        <v>400009749</v>
      </c>
      <c r="B2863" s="2" t="s">
        <v>3542</v>
      </c>
      <c r="C2863" s="3" t="s">
        <v>824</v>
      </c>
      <c r="D2863" s="4">
        <v>78</v>
      </c>
      <c r="E2863" s="4">
        <v>2500</v>
      </c>
      <c r="F2863" s="4">
        <v>195000</v>
      </c>
      <c r="G2863" s="4">
        <v>2500</v>
      </c>
      <c r="H2863" s="4">
        <v>195000</v>
      </c>
    </row>
    <row r="2864" s="1" customFormat="1" ht="14" spans="1:8">
      <c r="A2864" s="2">
        <v>400009751</v>
      </c>
      <c r="B2864" s="2" t="s">
        <v>3543</v>
      </c>
      <c r="C2864" s="3" t="s">
        <v>824</v>
      </c>
      <c r="D2864" s="4">
        <v>206</v>
      </c>
      <c r="E2864" s="4">
        <v>100</v>
      </c>
      <c r="F2864" s="4">
        <v>20600</v>
      </c>
      <c r="G2864" s="4">
        <v>100</v>
      </c>
      <c r="H2864" s="4">
        <v>20600</v>
      </c>
    </row>
    <row r="2865" s="1" customFormat="1" ht="14" spans="1:8">
      <c r="A2865" s="2">
        <v>400009752</v>
      </c>
      <c r="B2865" s="2" t="s">
        <v>3544</v>
      </c>
      <c r="C2865" s="3" t="s">
        <v>824</v>
      </c>
      <c r="D2865" s="4">
        <v>170</v>
      </c>
      <c r="E2865" s="4">
        <v>100</v>
      </c>
      <c r="F2865" s="4">
        <v>17000</v>
      </c>
      <c r="G2865" s="4">
        <v>100</v>
      </c>
      <c r="H2865" s="4">
        <v>17000</v>
      </c>
    </row>
    <row r="2866" s="1" customFormat="1" ht="14" spans="1:8">
      <c r="A2866" s="2">
        <v>400009753</v>
      </c>
      <c r="B2866" s="2" t="s">
        <v>3545</v>
      </c>
      <c r="C2866" s="3" t="s">
        <v>824</v>
      </c>
      <c r="D2866" s="4">
        <v>152</v>
      </c>
      <c r="E2866" s="4">
        <v>200</v>
      </c>
      <c r="F2866" s="4">
        <v>30400</v>
      </c>
      <c r="G2866" s="4">
        <v>200</v>
      </c>
      <c r="H2866" s="4">
        <v>30400</v>
      </c>
    </row>
    <row r="2867" s="1" customFormat="1" ht="14" spans="1:8">
      <c r="A2867" s="2">
        <v>400009758</v>
      </c>
      <c r="B2867" s="2" t="s">
        <v>3546</v>
      </c>
      <c r="C2867" s="3" t="s">
        <v>725</v>
      </c>
      <c r="D2867" s="4">
        <v>384</v>
      </c>
      <c r="E2867" s="4">
        <v>4760</v>
      </c>
      <c r="F2867" s="4">
        <v>1827840</v>
      </c>
      <c r="G2867" s="4">
        <v>2000</v>
      </c>
      <c r="H2867" s="4">
        <v>768000</v>
      </c>
    </row>
    <row r="2868" s="1" customFormat="1" ht="14" spans="1:8">
      <c r="A2868" s="2">
        <v>400009998</v>
      </c>
      <c r="B2868" s="2" t="s">
        <v>3547</v>
      </c>
      <c r="C2868" s="3" t="s">
        <v>45</v>
      </c>
      <c r="D2868" s="4">
        <v>1419107.48</v>
      </c>
      <c r="E2868" s="4">
        <v>30</v>
      </c>
      <c r="F2868" s="4">
        <v>42573224.4</v>
      </c>
      <c r="G2868" s="4">
        <v>30</v>
      </c>
      <c r="H2868" s="4">
        <v>42573224.4</v>
      </c>
    </row>
    <row r="2869" s="1" customFormat="1" ht="14" spans="1:8">
      <c r="A2869" s="2">
        <v>400010010</v>
      </c>
      <c r="B2869" s="2" t="s">
        <v>3548</v>
      </c>
      <c r="C2869" s="3" t="s">
        <v>3549</v>
      </c>
      <c r="D2869" s="4">
        <v>366.48</v>
      </c>
      <c r="E2869" s="4">
        <v>1000</v>
      </c>
      <c r="F2869" s="4">
        <v>366477</v>
      </c>
      <c r="G2869" s="4">
        <v>1000</v>
      </c>
      <c r="H2869" s="4">
        <v>366477</v>
      </c>
    </row>
    <row r="2870" s="1" customFormat="1" ht="14" spans="1:8">
      <c r="A2870" s="2">
        <v>400010022</v>
      </c>
      <c r="B2870" s="2" t="s">
        <v>3550</v>
      </c>
      <c r="C2870" s="3" t="s">
        <v>3549</v>
      </c>
      <c r="D2870" s="4">
        <v>366.48</v>
      </c>
      <c r="E2870" s="4">
        <v>600</v>
      </c>
      <c r="F2870" s="4">
        <v>219886.2</v>
      </c>
      <c r="G2870" s="4">
        <v>600</v>
      </c>
      <c r="H2870" s="4">
        <v>219886.2</v>
      </c>
    </row>
    <row r="2871" s="1" customFormat="1" ht="14" spans="1:8">
      <c r="A2871" s="2">
        <v>400010023</v>
      </c>
      <c r="B2871" s="2" t="s">
        <v>3551</v>
      </c>
      <c r="C2871" s="3" t="s">
        <v>3549</v>
      </c>
      <c r="D2871" s="4">
        <v>366.48</v>
      </c>
      <c r="E2871" s="4">
        <v>3500</v>
      </c>
      <c r="F2871" s="4">
        <v>1282669.5</v>
      </c>
      <c r="G2871" s="4">
        <v>3500</v>
      </c>
      <c r="H2871" s="4">
        <v>1282669.5</v>
      </c>
    </row>
    <row r="2872" s="1" customFormat="1" ht="14" spans="1:8">
      <c r="A2872" s="2">
        <v>400010041</v>
      </c>
      <c r="B2872" s="2" t="s">
        <v>3552</v>
      </c>
      <c r="C2872" s="3" t="s">
        <v>3553</v>
      </c>
      <c r="D2872" s="4">
        <v>3</v>
      </c>
      <c r="E2872" s="4">
        <v>8000</v>
      </c>
      <c r="F2872" s="4">
        <v>24000</v>
      </c>
      <c r="G2872" s="4">
        <v>8000</v>
      </c>
      <c r="H2872" s="4">
        <v>24000</v>
      </c>
    </row>
    <row r="2873" s="1" customFormat="1" ht="14" spans="1:8">
      <c r="A2873" s="2">
        <v>400040009</v>
      </c>
      <c r="B2873" s="2" t="s">
        <v>3554</v>
      </c>
      <c r="C2873" s="3" t="s">
        <v>3555</v>
      </c>
      <c r="D2873" s="4">
        <v>31</v>
      </c>
      <c r="E2873" s="4">
        <v>26549</v>
      </c>
      <c r="F2873" s="4">
        <v>823019</v>
      </c>
      <c r="G2873" s="4">
        <v>26549</v>
      </c>
      <c r="H2873" s="4">
        <v>823019</v>
      </c>
    </row>
    <row r="2874" s="1" customFormat="1" ht="28" spans="1:8">
      <c r="A2874" s="2">
        <v>400040014</v>
      </c>
      <c r="B2874" s="2" t="s">
        <v>3556</v>
      </c>
      <c r="C2874" s="3" t="s">
        <v>876</v>
      </c>
      <c r="D2874" s="4">
        <v>734</v>
      </c>
      <c r="E2874" s="4">
        <v>1050</v>
      </c>
      <c r="F2874" s="4">
        <v>770700</v>
      </c>
      <c r="G2874" s="4">
        <v>1050</v>
      </c>
      <c r="H2874" s="4">
        <v>770700</v>
      </c>
    </row>
    <row r="2875" s="1" customFormat="1" ht="14" spans="1:8">
      <c r="A2875" s="2">
        <v>400040016</v>
      </c>
      <c r="B2875" s="2" t="s">
        <v>3557</v>
      </c>
      <c r="C2875" s="3" t="s">
        <v>2820</v>
      </c>
      <c r="D2875" s="4">
        <v>310</v>
      </c>
      <c r="E2875" s="4">
        <v>1316</v>
      </c>
      <c r="F2875" s="4">
        <v>407960</v>
      </c>
      <c r="G2875" s="4">
        <v>1316</v>
      </c>
      <c r="H2875" s="4">
        <v>407960</v>
      </c>
    </row>
    <row r="2876" s="1" customFormat="1" ht="14" spans="1:8">
      <c r="A2876" s="2">
        <v>400040017</v>
      </c>
      <c r="B2876" s="2" t="s">
        <v>3558</v>
      </c>
      <c r="C2876" s="3" t="s">
        <v>2820</v>
      </c>
      <c r="D2876" s="4">
        <v>662</v>
      </c>
      <c r="E2876" s="4">
        <v>1316</v>
      </c>
      <c r="F2876" s="4">
        <v>871192</v>
      </c>
      <c r="G2876" s="4">
        <v>1316</v>
      </c>
      <c r="H2876" s="4">
        <v>871192</v>
      </c>
    </row>
    <row r="2877" s="1" customFormat="1" ht="14" spans="1:8">
      <c r="A2877" s="2">
        <v>400040018</v>
      </c>
      <c r="B2877" s="2" t="s">
        <v>3559</v>
      </c>
      <c r="C2877" s="3" t="s">
        <v>2820</v>
      </c>
      <c r="D2877" s="4">
        <v>23</v>
      </c>
      <c r="E2877" s="4">
        <v>1793</v>
      </c>
      <c r="F2877" s="4">
        <v>41239</v>
      </c>
      <c r="G2877" s="4">
        <v>1793</v>
      </c>
      <c r="H2877" s="4">
        <v>41239</v>
      </c>
    </row>
    <row r="2878" s="1" customFormat="1" ht="14" spans="1:8">
      <c r="A2878" s="2">
        <v>400040019</v>
      </c>
      <c r="B2878" s="2" t="s">
        <v>3560</v>
      </c>
      <c r="C2878" s="3" t="s">
        <v>2820</v>
      </c>
      <c r="D2878" s="4">
        <v>213</v>
      </c>
      <c r="E2878" s="4">
        <v>1673</v>
      </c>
      <c r="F2878" s="4">
        <v>356349</v>
      </c>
      <c r="G2878" s="4">
        <v>1673</v>
      </c>
      <c r="H2878" s="4">
        <v>356349</v>
      </c>
    </row>
    <row r="2879" s="1" customFormat="1" ht="14" spans="1:8">
      <c r="A2879" s="2">
        <v>400040022</v>
      </c>
      <c r="B2879" s="2" t="s">
        <v>3561</v>
      </c>
      <c r="C2879" s="3" t="s">
        <v>2820</v>
      </c>
      <c r="D2879" s="4">
        <v>436</v>
      </c>
      <c r="E2879" s="4">
        <v>135</v>
      </c>
      <c r="F2879" s="4">
        <v>58860</v>
      </c>
      <c r="G2879" s="4">
        <v>135</v>
      </c>
      <c r="H2879" s="4">
        <v>58860</v>
      </c>
    </row>
    <row r="2880" s="1" customFormat="1" ht="14" spans="1:8">
      <c r="A2880" s="2">
        <v>400040025</v>
      </c>
      <c r="B2880" s="2" t="s">
        <v>3562</v>
      </c>
      <c r="C2880" s="3" t="s">
        <v>2820</v>
      </c>
      <c r="D2880" s="4">
        <v>871</v>
      </c>
      <c r="E2880" s="4">
        <v>3462</v>
      </c>
      <c r="F2880" s="4">
        <v>3015402</v>
      </c>
      <c r="G2880" s="4">
        <v>3462</v>
      </c>
      <c r="H2880" s="4">
        <v>3015402</v>
      </c>
    </row>
    <row r="2881" s="1" customFormat="1" ht="14" spans="1:8">
      <c r="A2881" s="2">
        <v>400040029</v>
      </c>
      <c r="B2881" s="2" t="s">
        <v>3563</v>
      </c>
      <c r="C2881" s="3" t="s">
        <v>824</v>
      </c>
      <c r="D2881" s="4">
        <v>1076</v>
      </c>
      <c r="E2881" s="4">
        <v>240</v>
      </c>
      <c r="F2881" s="4">
        <v>258240</v>
      </c>
      <c r="G2881" s="4">
        <v>240</v>
      </c>
      <c r="H2881" s="4">
        <v>258240</v>
      </c>
    </row>
    <row r="2882" s="1" customFormat="1" ht="14" spans="1:8">
      <c r="A2882" s="2">
        <v>400040033</v>
      </c>
      <c r="B2882" s="2" t="s">
        <v>3564</v>
      </c>
      <c r="C2882" s="3" t="s">
        <v>3565</v>
      </c>
      <c r="D2882" s="4">
        <v>32</v>
      </c>
      <c r="E2882" s="4">
        <v>110092</v>
      </c>
      <c r="F2882" s="4">
        <v>3522944</v>
      </c>
      <c r="G2882" s="4">
        <v>110092</v>
      </c>
      <c r="H2882" s="4">
        <v>3522944</v>
      </c>
    </row>
    <row r="2883" s="1" customFormat="1" ht="14" spans="1:8">
      <c r="A2883" s="2">
        <v>400040048</v>
      </c>
      <c r="B2883" s="2" t="s">
        <v>3566</v>
      </c>
      <c r="C2883" s="3" t="s">
        <v>3468</v>
      </c>
      <c r="D2883" s="4">
        <v>2222</v>
      </c>
      <c r="E2883" s="4">
        <v>500</v>
      </c>
      <c r="F2883" s="4">
        <v>1111000</v>
      </c>
      <c r="G2883" s="4">
        <v>500</v>
      </c>
      <c r="H2883" s="4">
        <v>1111000</v>
      </c>
    </row>
    <row r="2884" s="1" customFormat="1" ht="14" spans="1:8">
      <c r="A2884" s="2">
        <v>400040063</v>
      </c>
      <c r="B2884" s="2" t="s">
        <v>3567</v>
      </c>
      <c r="C2884" s="3" t="s">
        <v>679</v>
      </c>
      <c r="D2884" s="4">
        <v>44</v>
      </c>
      <c r="E2884" s="4">
        <v>45872</v>
      </c>
      <c r="F2884" s="4">
        <v>2018368</v>
      </c>
      <c r="G2884" s="4">
        <v>45872</v>
      </c>
      <c r="H2884" s="4">
        <v>2018368</v>
      </c>
    </row>
    <row r="2885" s="1" customFormat="1" ht="14" spans="1:8">
      <c r="A2885" s="2">
        <v>400040064</v>
      </c>
      <c r="B2885" s="2" t="s">
        <v>3568</v>
      </c>
      <c r="C2885" s="3" t="s">
        <v>876</v>
      </c>
      <c r="D2885" s="4">
        <v>5</v>
      </c>
      <c r="E2885" s="4">
        <v>137615</v>
      </c>
      <c r="F2885" s="4">
        <v>688075</v>
      </c>
      <c r="G2885" s="4">
        <v>137615</v>
      </c>
      <c r="H2885" s="4">
        <v>688075</v>
      </c>
    </row>
    <row r="2886" s="1" customFormat="1" ht="14" spans="1:8">
      <c r="A2886" s="2">
        <v>400040065</v>
      </c>
      <c r="B2886" s="2" t="s">
        <v>3569</v>
      </c>
      <c r="C2886" s="3" t="s">
        <v>3555</v>
      </c>
      <c r="D2886" s="4">
        <v>31</v>
      </c>
      <c r="E2886" s="4">
        <v>45872</v>
      </c>
      <c r="F2886" s="4">
        <v>1422032</v>
      </c>
      <c r="G2886" s="4">
        <v>45872</v>
      </c>
      <c r="H2886" s="4">
        <v>1422032</v>
      </c>
    </row>
    <row r="2887" s="1" customFormat="1" ht="14" spans="1:8">
      <c r="A2887" s="2">
        <v>400040074</v>
      </c>
      <c r="B2887" s="2" t="s">
        <v>3570</v>
      </c>
      <c r="C2887" s="3" t="s">
        <v>2820</v>
      </c>
      <c r="D2887" s="4">
        <v>25</v>
      </c>
      <c r="E2887" s="4">
        <v>2624</v>
      </c>
      <c r="F2887" s="4">
        <v>65600</v>
      </c>
      <c r="G2887" s="4">
        <v>2624</v>
      </c>
      <c r="H2887" s="4">
        <v>65600</v>
      </c>
    </row>
    <row r="2888" s="1" customFormat="1" ht="14" spans="1:8">
      <c r="A2888" s="2">
        <v>400040077</v>
      </c>
      <c r="B2888" s="2" t="s">
        <v>3571</v>
      </c>
      <c r="C2888" s="3" t="s">
        <v>3553</v>
      </c>
      <c r="D2888" s="4">
        <v>1</v>
      </c>
      <c r="E2888" s="4">
        <v>338717</v>
      </c>
      <c r="F2888" s="4">
        <v>338717</v>
      </c>
      <c r="G2888" s="4">
        <v>338717</v>
      </c>
      <c r="H2888" s="4">
        <v>338717</v>
      </c>
    </row>
    <row r="2889" s="1" customFormat="1" ht="14" spans="1:8">
      <c r="A2889" s="2">
        <v>400040078</v>
      </c>
      <c r="B2889" s="2" t="s">
        <v>3572</v>
      </c>
      <c r="C2889" s="3" t="s">
        <v>824</v>
      </c>
      <c r="D2889" s="4">
        <v>540</v>
      </c>
      <c r="E2889" s="4">
        <v>1200</v>
      </c>
      <c r="F2889" s="4">
        <v>648000</v>
      </c>
      <c r="G2889" s="4">
        <v>1200</v>
      </c>
      <c r="H2889" s="4">
        <v>648000</v>
      </c>
    </row>
    <row r="2890" s="1" customFormat="1" ht="14" spans="1:8">
      <c r="A2890" s="2">
        <v>400040093</v>
      </c>
      <c r="B2890" s="2" t="s">
        <v>3573</v>
      </c>
      <c r="C2890" s="3" t="s">
        <v>3555</v>
      </c>
      <c r="D2890" s="4">
        <v>31</v>
      </c>
      <c r="E2890" s="4">
        <v>24425</v>
      </c>
      <c r="F2890" s="4">
        <v>757175</v>
      </c>
      <c r="G2890" s="4">
        <v>24425</v>
      </c>
      <c r="H2890" s="4">
        <v>757175</v>
      </c>
    </row>
    <row r="2891" s="1" customFormat="1" ht="14" spans="1:8">
      <c r="A2891" s="2">
        <v>400040096</v>
      </c>
      <c r="B2891" s="2" t="s">
        <v>3574</v>
      </c>
      <c r="C2891" s="3" t="s">
        <v>3553</v>
      </c>
      <c r="D2891" s="4">
        <v>2</v>
      </c>
      <c r="E2891" s="4">
        <v>17699</v>
      </c>
      <c r="F2891" s="4">
        <v>35398</v>
      </c>
      <c r="G2891" s="4">
        <v>17699</v>
      </c>
      <c r="H2891" s="4">
        <v>35398</v>
      </c>
    </row>
    <row r="2892" s="1" customFormat="1" ht="14" spans="1:8">
      <c r="A2892" s="2">
        <v>400040097</v>
      </c>
      <c r="B2892" s="2" t="s">
        <v>3575</v>
      </c>
      <c r="C2892" s="3" t="s">
        <v>3553</v>
      </c>
      <c r="D2892" s="4">
        <v>1</v>
      </c>
      <c r="E2892" s="4">
        <v>17699</v>
      </c>
      <c r="F2892" s="4">
        <v>17699</v>
      </c>
      <c r="G2892" s="4">
        <v>17699</v>
      </c>
      <c r="H2892" s="4">
        <v>17699</v>
      </c>
    </row>
    <row r="2893" s="1" customFormat="1" ht="14" spans="1:8">
      <c r="A2893" s="2">
        <v>400040100</v>
      </c>
      <c r="B2893" s="2" t="s">
        <v>3576</v>
      </c>
      <c r="C2893" s="3" t="s">
        <v>3555</v>
      </c>
      <c r="D2893" s="4">
        <v>31</v>
      </c>
      <c r="E2893" s="4">
        <v>8850</v>
      </c>
      <c r="F2893" s="4">
        <v>274350</v>
      </c>
      <c r="G2893" s="4">
        <v>8850</v>
      </c>
      <c r="H2893" s="4">
        <v>274350</v>
      </c>
    </row>
    <row r="2894" s="1" customFormat="1" ht="14" spans="1:8">
      <c r="A2894" s="2">
        <v>400040101</v>
      </c>
      <c r="B2894" s="2" t="s">
        <v>3577</v>
      </c>
      <c r="C2894" s="3" t="s">
        <v>876</v>
      </c>
      <c r="D2894" s="4">
        <v>31</v>
      </c>
      <c r="E2894" s="4">
        <v>7965</v>
      </c>
      <c r="F2894" s="4">
        <v>246915</v>
      </c>
      <c r="G2894" s="4">
        <v>7965</v>
      </c>
      <c r="H2894" s="4">
        <v>246915</v>
      </c>
    </row>
    <row r="2895" s="1" customFormat="1" ht="14" spans="1:8">
      <c r="A2895" s="2">
        <v>400040102</v>
      </c>
      <c r="B2895" s="2" t="s">
        <v>3578</v>
      </c>
      <c r="C2895" s="3" t="s">
        <v>472</v>
      </c>
      <c r="D2895" s="4">
        <v>99084.5</v>
      </c>
      <c r="E2895" s="4">
        <v>8</v>
      </c>
      <c r="F2895" s="4">
        <v>792676</v>
      </c>
      <c r="G2895" s="4">
        <v>8</v>
      </c>
      <c r="H2895" s="4">
        <v>792676</v>
      </c>
    </row>
    <row r="2896" s="1" customFormat="1" ht="14" spans="1:8">
      <c r="A2896" s="2">
        <v>400040103</v>
      </c>
      <c r="B2896" s="2" t="s">
        <v>3579</v>
      </c>
      <c r="C2896" s="3" t="s">
        <v>472</v>
      </c>
      <c r="D2896" s="4">
        <v>84500</v>
      </c>
      <c r="E2896" s="4">
        <v>14</v>
      </c>
      <c r="F2896" s="4">
        <v>1183000</v>
      </c>
      <c r="G2896" s="4">
        <v>14</v>
      </c>
      <c r="H2896" s="4">
        <v>1183000</v>
      </c>
    </row>
    <row r="2897" s="1" customFormat="1" ht="14" spans="1:8">
      <c r="A2897" s="2">
        <v>400040104</v>
      </c>
      <c r="B2897" s="2" t="s">
        <v>3580</v>
      </c>
      <c r="C2897" s="3" t="s">
        <v>472</v>
      </c>
      <c r="D2897" s="4">
        <v>74670</v>
      </c>
      <c r="E2897" s="4">
        <v>20</v>
      </c>
      <c r="F2897" s="4">
        <v>1493400</v>
      </c>
      <c r="G2897" s="4">
        <v>20</v>
      </c>
      <c r="H2897" s="4">
        <v>1493400</v>
      </c>
    </row>
    <row r="2898" s="1" customFormat="1" ht="14" spans="1:8">
      <c r="A2898" s="2">
        <v>400040105</v>
      </c>
      <c r="B2898" s="2" t="s">
        <v>3581</v>
      </c>
      <c r="C2898" s="3" t="s">
        <v>472</v>
      </c>
      <c r="D2898" s="4">
        <v>83500</v>
      </c>
      <c r="E2898" s="4">
        <v>28</v>
      </c>
      <c r="F2898" s="4">
        <v>2338000</v>
      </c>
      <c r="G2898" s="4">
        <v>28</v>
      </c>
      <c r="H2898" s="4">
        <v>2338000</v>
      </c>
    </row>
    <row r="2899" s="1" customFormat="1" ht="14" spans="1:8">
      <c r="A2899" s="2">
        <v>400040106</v>
      </c>
      <c r="B2899" s="2" t="s">
        <v>3582</v>
      </c>
      <c r="C2899" s="3" t="s">
        <v>824</v>
      </c>
      <c r="D2899" s="4">
        <v>2480</v>
      </c>
      <c r="E2899" s="4">
        <v>60</v>
      </c>
      <c r="F2899" s="4">
        <v>148800</v>
      </c>
      <c r="G2899" s="4">
        <v>60</v>
      </c>
      <c r="H2899" s="4">
        <v>148800</v>
      </c>
    </row>
    <row r="2900" s="1" customFormat="1" ht="14" spans="1:8">
      <c r="A2900" s="2">
        <v>400040107</v>
      </c>
      <c r="B2900" s="2" t="s">
        <v>3583</v>
      </c>
      <c r="C2900" s="3" t="s">
        <v>824</v>
      </c>
      <c r="D2900" s="4">
        <v>3100</v>
      </c>
      <c r="E2900" s="4">
        <v>40</v>
      </c>
      <c r="F2900" s="4">
        <v>124000</v>
      </c>
      <c r="G2900" s="4">
        <v>40</v>
      </c>
      <c r="H2900" s="4">
        <v>124000</v>
      </c>
    </row>
    <row r="2901" s="1" customFormat="1" ht="14" spans="1:8">
      <c r="A2901" s="2">
        <v>400040108</v>
      </c>
      <c r="B2901" s="2" t="s">
        <v>3584</v>
      </c>
      <c r="C2901" s="3" t="s">
        <v>824</v>
      </c>
      <c r="D2901" s="4">
        <v>31000</v>
      </c>
      <c r="E2901" s="4">
        <v>2</v>
      </c>
      <c r="F2901" s="4">
        <v>62000</v>
      </c>
      <c r="G2901" s="4">
        <v>2</v>
      </c>
      <c r="H2901" s="4">
        <v>62000</v>
      </c>
    </row>
    <row r="2902" s="1" customFormat="1" ht="14" spans="1:8">
      <c r="A2902" s="2">
        <v>400040110</v>
      </c>
      <c r="B2902" s="2" t="s">
        <v>3585</v>
      </c>
      <c r="C2902" s="3" t="s">
        <v>3586</v>
      </c>
      <c r="D2902" s="4">
        <v>247</v>
      </c>
      <c r="E2902" s="4">
        <v>960</v>
      </c>
      <c r="F2902" s="4">
        <v>237120</v>
      </c>
      <c r="G2902" s="4">
        <v>960</v>
      </c>
      <c r="H2902" s="4">
        <v>237120</v>
      </c>
    </row>
    <row r="2903" s="1" customFormat="1" ht="14" spans="1:8">
      <c r="A2903" s="2">
        <v>400040111</v>
      </c>
      <c r="B2903" s="2" t="s">
        <v>3587</v>
      </c>
      <c r="C2903" s="3" t="s">
        <v>3586</v>
      </c>
      <c r="D2903" s="4">
        <v>480</v>
      </c>
      <c r="E2903" s="4">
        <v>584</v>
      </c>
      <c r="F2903" s="4">
        <v>280320</v>
      </c>
      <c r="G2903" s="4">
        <v>584</v>
      </c>
      <c r="H2903" s="4">
        <v>280320</v>
      </c>
    </row>
    <row r="2904" s="1" customFormat="1" ht="14" spans="1:8">
      <c r="A2904" s="2">
        <v>400040112</v>
      </c>
      <c r="B2904" s="2" t="s">
        <v>3588</v>
      </c>
      <c r="C2904" s="3" t="s">
        <v>3586</v>
      </c>
      <c r="D2904" s="4">
        <v>3531</v>
      </c>
      <c r="E2904" s="4">
        <v>512</v>
      </c>
      <c r="F2904" s="4">
        <v>1807872</v>
      </c>
      <c r="G2904" s="4">
        <v>512</v>
      </c>
      <c r="H2904" s="4">
        <v>1807872</v>
      </c>
    </row>
    <row r="2905" s="1" customFormat="1" ht="14" spans="1:8">
      <c r="A2905" s="2">
        <v>400040113</v>
      </c>
      <c r="B2905" s="2" t="s">
        <v>3589</v>
      </c>
      <c r="C2905" s="3" t="s">
        <v>3586</v>
      </c>
      <c r="D2905" s="4">
        <v>1834</v>
      </c>
      <c r="E2905" s="4">
        <v>412</v>
      </c>
      <c r="F2905" s="4">
        <v>755608</v>
      </c>
      <c r="G2905" s="4">
        <v>412</v>
      </c>
      <c r="H2905" s="4">
        <v>755608</v>
      </c>
    </row>
    <row r="2906" s="1" customFormat="1" ht="14" spans="1:8">
      <c r="A2906" s="2">
        <v>400040114</v>
      </c>
      <c r="B2906" s="2" t="s">
        <v>3590</v>
      </c>
      <c r="C2906" s="3" t="s">
        <v>3586</v>
      </c>
      <c r="D2906" s="4">
        <v>956</v>
      </c>
      <c r="E2906" s="4">
        <v>428</v>
      </c>
      <c r="F2906" s="4">
        <v>409168</v>
      </c>
      <c r="G2906" s="4">
        <v>428</v>
      </c>
      <c r="H2906" s="4">
        <v>409168</v>
      </c>
    </row>
    <row r="2907" s="1" customFormat="1" ht="14" spans="1:8">
      <c r="A2907" s="2">
        <v>400060018</v>
      </c>
      <c r="B2907" s="2" t="s">
        <v>3591</v>
      </c>
      <c r="C2907" s="3" t="s">
        <v>472</v>
      </c>
      <c r="D2907" s="4">
        <v>109050</v>
      </c>
      <c r="E2907" s="4">
        <v>8.3</v>
      </c>
      <c r="F2907" s="4">
        <v>905115</v>
      </c>
      <c r="G2907" s="4">
        <v>8.3</v>
      </c>
      <c r="H2907" s="4">
        <v>905115</v>
      </c>
    </row>
    <row r="2908" s="1" customFormat="1" ht="28" spans="1:8">
      <c r="A2908" s="2">
        <v>400060019</v>
      </c>
      <c r="B2908" s="2" t="s">
        <v>3592</v>
      </c>
      <c r="C2908" s="3" t="s">
        <v>472</v>
      </c>
      <c r="D2908" s="4">
        <v>79500</v>
      </c>
      <c r="E2908" s="4">
        <v>11.9</v>
      </c>
      <c r="F2908" s="4">
        <v>946050</v>
      </c>
      <c r="G2908" s="4">
        <v>11.9</v>
      </c>
      <c r="H2908" s="4">
        <v>946050</v>
      </c>
    </row>
    <row r="2909" s="1" customFormat="1" ht="14" spans="1:8">
      <c r="A2909" s="2">
        <v>400060020</v>
      </c>
      <c r="B2909" s="2" t="s">
        <v>3593</v>
      </c>
      <c r="C2909" s="3" t="s">
        <v>725</v>
      </c>
      <c r="D2909" s="4">
        <v>3013</v>
      </c>
      <c r="E2909" s="4">
        <v>1405.1</v>
      </c>
      <c r="F2909" s="4">
        <v>4233566.3</v>
      </c>
      <c r="G2909" s="4">
        <v>1405.1</v>
      </c>
      <c r="H2909" s="4">
        <v>4233566.3</v>
      </c>
    </row>
    <row r="2910" s="1" customFormat="1" ht="14" spans="1:8">
      <c r="A2910" s="2">
        <v>400060021</v>
      </c>
      <c r="B2910" s="2" t="s">
        <v>3594</v>
      </c>
      <c r="C2910" s="3" t="s">
        <v>725</v>
      </c>
      <c r="D2910" s="4">
        <v>1321</v>
      </c>
      <c r="E2910" s="4">
        <v>2233.85</v>
      </c>
      <c r="F2910" s="4">
        <v>2950915.85</v>
      </c>
      <c r="G2910" s="4">
        <v>2233.85</v>
      </c>
      <c r="H2910" s="4">
        <v>2950915.85</v>
      </c>
    </row>
    <row r="2911" s="1" customFormat="1" ht="14" spans="1:8">
      <c r="A2911" s="2">
        <v>400060037</v>
      </c>
      <c r="B2911" s="2" t="s">
        <v>3595</v>
      </c>
      <c r="C2911" s="3" t="s">
        <v>3596</v>
      </c>
      <c r="D2911" s="4">
        <v>31</v>
      </c>
      <c r="E2911" s="4">
        <v>50000</v>
      </c>
      <c r="F2911" s="4">
        <v>1550000</v>
      </c>
      <c r="G2911" s="4">
        <v>50000</v>
      </c>
      <c r="H2911" s="4">
        <v>1550000</v>
      </c>
    </row>
    <row r="2912" s="1" customFormat="1" ht="14" spans="1:8">
      <c r="A2912" s="2">
        <v>400060045</v>
      </c>
      <c r="B2912" s="2" t="s">
        <v>3597</v>
      </c>
      <c r="C2912" s="3" t="s">
        <v>61</v>
      </c>
      <c r="D2912" s="4">
        <v>930</v>
      </c>
      <c r="E2912" s="4">
        <v>20</v>
      </c>
      <c r="F2912" s="4">
        <v>18600</v>
      </c>
      <c r="G2912" s="4">
        <v>20</v>
      </c>
      <c r="H2912" s="4">
        <v>18600</v>
      </c>
    </row>
    <row r="2913" s="1" customFormat="1" ht="14" spans="1:8">
      <c r="A2913" s="2">
        <v>400060051</v>
      </c>
      <c r="B2913" s="2" t="s">
        <v>3598</v>
      </c>
      <c r="C2913" s="3" t="s">
        <v>472</v>
      </c>
      <c r="D2913" s="4">
        <v>17050</v>
      </c>
      <c r="E2913" s="4">
        <v>60.5</v>
      </c>
      <c r="F2913" s="4">
        <v>1031525</v>
      </c>
      <c r="G2913" s="4">
        <v>60.5</v>
      </c>
      <c r="H2913" s="4">
        <v>1031525</v>
      </c>
    </row>
    <row r="2914" s="1" customFormat="1" ht="14" spans="1:8">
      <c r="A2914" s="2">
        <v>400060055</v>
      </c>
      <c r="B2914" s="2" t="s">
        <v>3599</v>
      </c>
      <c r="C2914" s="3" t="s">
        <v>472</v>
      </c>
      <c r="D2914" s="4">
        <v>8500</v>
      </c>
      <c r="E2914" s="4">
        <v>144.2</v>
      </c>
      <c r="F2914" s="4">
        <v>1225700</v>
      </c>
      <c r="G2914" s="4">
        <v>144.2</v>
      </c>
      <c r="H2914" s="4">
        <v>1225700</v>
      </c>
    </row>
    <row r="2915" s="1" customFormat="1" ht="14" spans="1:8">
      <c r="A2915" s="2">
        <v>400060134</v>
      </c>
      <c r="B2915" s="2" t="s">
        <v>3600</v>
      </c>
      <c r="C2915" s="3" t="s">
        <v>472</v>
      </c>
      <c r="D2915" s="4">
        <v>1550</v>
      </c>
      <c r="E2915" s="4">
        <v>33.56</v>
      </c>
      <c r="F2915" s="4">
        <v>52018</v>
      </c>
      <c r="G2915" s="4">
        <v>33.56</v>
      </c>
      <c r="H2915" s="4">
        <v>52018</v>
      </c>
    </row>
    <row r="2916" s="1" customFormat="1" ht="14" spans="1:8">
      <c r="A2916" s="2">
        <v>400060204</v>
      </c>
      <c r="B2916" s="2" t="s">
        <v>3601</v>
      </c>
      <c r="C2916" s="3" t="s">
        <v>472</v>
      </c>
      <c r="D2916" s="4">
        <v>20185</v>
      </c>
      <c r="E2916" s="4">
        <v>182.57</v>
      </c>
      <c r="F2916" s="4">
        <v>3685175.45</v>
      </c>
      <c r="G2916" s="4">
        <v>233.57</v>
      </c>
      <c r="H2916" s="4">
        <v>4714610.45</v>
      </c>
    </row>
    <row r="2917" s="1" customFormat="1" ht="14" spans="1:8">
      <c r="A2917" s="2">
        <v>400060207</v>
      </c>
      <c r="B2917" s="2" t="s">
        <v>3602</v>
      </c>
      <c r="C2917" s="3" t="s">
        <v>472</v>
      </c>
      <c r="D2917" s="4">
        <v>37636</v>
      </c>
      <c r="E2917" s="4">
        <v>48.67</v>
      </c>
      <c r="F2917" s="4">
        <v>1831744.12</v>
      </c>
      <c r="G2917" s="4">
        <v>48.67</v>
      </c>
      <c r="H2917" s="4">
        <v>1831744.12</v>
      </c>
    </row>
    <row r="2918" s="1" customFormat="1" ht="14" spans="1:8">
      <c r="A2918" s="2">
        <v>400060208</v>
      </c>
      <c r="B2918" s="2" t="s">
        <v>3603</v>
      </c>
      <c r="C2918" s="3" t="s">
        <v>472</v>
      </c>
      <c r="D2918" s="4">
        <v>15425</v>
      </c>
      <c r="E2918" s="4">
        <v>124.7</v>
      </c>
      <c r="F2918" s="4">
        <v>1923497.5</v>
      </c>
      <c r="G2918" s="4">
        <v>124.7</v>
      </c>
      <c r="H2918" s="4">
        <v>1923497.5</v>
      </c>
    </row>
    <row r="2919" s="1" customFormat="1" ht="14" spans="1:8">
      <c r="A2919" s="2">
        <v>400060209</v>
      </c>
      <c r="B2919" s="2" t="s">
        <v>3604</v>
      </c>
      <c r="C2919" s="3" t="s">
        <v>472</v>
      </c>
      <c r="D2919" s="4">
        <v>3867.5</v>
      </c>
      <c r="E2919" s="4">
        <v>170.83</v>
      </c>
      <c r="F2919" s="4">
        <v>660685.03</v>
      </c>
      <c r="G2919" s="4">
        <v>170.83</v>
      </c>
      <c r="H2919" s="4">
        <v>660685.03</v>
      </c>
    </row>
    <row r="2920" s="1" customFormat="1" ht="14" spans="1:8">
      <c r="A2920" s="2">
        <v>400060210</v>
      </c>
      <c r="B2920" s="2" t="s">
        <v>3605</v>
      </c>
      <c r="C2920" s="3" t="s">
        <v>472</v>
      </c>
      <c r="D2920" s="4">
        <v>450</v>
      </c>
      <c r="E2920" s="4">
        <v>234.52</v>
      </c>
      <c r="F2920" s="4">
        <v>105534</v>
      </c>
      <c r="G2920" s="4">
        <v>234.52</v>
      </c>
      <c r="H2920" s="4">
        <v>105534</v>
      </c>
    </row>
    <row r="2921" s="1" customFormat="1" ht="14" spans="1:8">
      <c r="A2921" s="2">
        <v>400060211</v>
      </c>
      <c r="B2921" s="2" t="s">
        <v>3606</v>
      </c>
      <c r="C2921" s="3" t="s">
        <v>472</v>
      </c>
      <c r="D2921" s="4">
        <v>2212</v>
      </c>
      <c r="E2921" s="4">
        <v>284.68</v>
      </c>
      <c r="F2921" s="4">
        <v>629712.16</v>
      </c>
      <c r="G2921" s="4">
        <v>284.68</v>
      </c>
      <c r="H2921" s="4">
        <v>629712.16</v>
      </c>
    </row>
    <row r="2922" s="1" customFormat="1" ht="14" spans="1:8">
      <c r="A2922" s="2">
        <v>400060212</v>
      </c>
      <c r="B2922" s="2" t="s">
        <v>3607</v>
      </c>
      <c r="C2922" s="3" t="s">
        <v>472</v>
      </c>
      <c r="D2922" s="4">
        <v>3910</v>
      </c>
      <c r="E2922" s="4">
        <v>357.86</v>
      </c>
      <c r="F2922" s="4">
        <v>1399232.6</v>
      </c>
      <c r="G2922" s="4">
        <v>357.86</v>
      </c>
      <c r="H2922" s="4">
        <v>1399232.6</v>
      </c>
    </row>
    <row r="2923" s="1" customFormat="1" ht="14" spans="1:8">
      <c r="A2923" s="2">
        <v>400060214</v>
      </c>
      <c r="B2923" s="2" t="s">
        <v>3608</v>
      </c>
      <c r="C2923" s="3" t="s">
        <v>472</v>
      </c>
      <c r="D2923" s="4">
        <v>19250</v>
      </c>
      <c r="E2923" s="4">
        <v>22.7</v>
      </c>
      <c r="F2923" s="4">
        <v>436975</v>
      </c>
      <c r="G2923" s="4">
        <v>22.7</v>
      </c>
      <c r="H2923" s="4">
        <v>436975</v>
      </c>
    </row>
    <row r="2924" s="1" customFormat="1" ht="14" spans="1:8">
      <c r="A2924" s="2">
        <v>400060215</v>
      </c>
      <c r="B2924" s="2" t="s">
        <v>3609</v>
      </c>
      <c r="C2924" s="3" t="s">
        <v>472</v>
      </c>
      <c r="D2924" s="4">
        <v>800</v>
      </c>
      <c r="E2924" s="4">
        <v>17.49</v>
      </c>
      <c r="F2924" s="4">
        <v>13992</v>
      </c>
      <c r="G2924" s="4">
        <v>17.49</v>
      </c>
      <c r="H2924" s="4">
        <v>13992</v>
      </c>
    </row>
    <row r="2925" s="1" customFormat="1" ht="14" spans="1:8">
      <c r="A2925" s="2">
        <v>400060216</v>
      </c>
      <c r="B2925" s="2" t="s">
        <v>3610</v>
      </c>
      <c r="C2925" s="3" t="s">
        <v>472</v>
      </c>
      <c r="D2925" s="4">
        <v>5181</v>
      </c>
      <c r="E2925" s="4">
        <v>26.73</v>
      </c>
      <c r="F2925" s="4">
        <v>138488.14</v>
      </c>
      <c r="G2925" s="4">
        <v>26.73</v>
      </c>
      <c r="H2925" s="4">
        <v>138488.14</v>
      </c>
    </row>
    <row r="2926" s="1" customFormat="1" ht="14" spans="1:8">
      <c r="A2926" s="2">
        <v>400060217</v>
      </c>
      <c r="B2926" s="2" t="s">
        <v>3611</v>
      </c>
      <c r="C2926" s="3" t="s">
        <v>472</v>
      </c>
      <c r="D2926" s="4">
        <v>29934.8</v>
      </c>
      <c r="E2926" s="4">
        <v>60.17</v>
      </c>
      <c r="F2926" s="4">
        <v>1801176.93</v>
      </c>
      <c r="G2926" s="4">
        <v>60.17</v>
      </c>
      <c r="H2926" s="4">
        <v>1801176.93</v>
      </c>
    </row>
    <row r="2927" s="1" customFormat="1" ht="14" spans="1:8">
      <c r="A2927" s="2">
        <v>400060233</v>
      </c>
      <c r="B2927" s="2" t="s">
        <v>3612</v>
      </c>
      <c r="C2927" s="3" t="s">
        <v>472</v>
      </c>
      <c r="D2927" s="4">
        <v>50</v>
      </c>
      <c r="E2927" s="4">
        <v>391.37</v>
      </c>
      <c r="F2927" s="4">
        <v>19568.5</v>
      </c>
      <c r="G2927" s="4">
        <v>391.37</v>
      </c>
      <c r="H2927" s="4">
        <v>19568.5</v>
      </c>
    </row>
    <row r="2928" s="1" customFormat="1" ht="14" spans="1:8">
      <c r="A2928" s="2">
        <v>400060263</v>
      </c>
      <c r="B2928" s="2" t="s">
        <v>3613</v>
      </c>
      <c r="C2928" s="3" t="s">
        <v>472</v>
      </c>
      <c r="D2928" s="4">
        <v>806</v>
      </c>
      <c r="E2928" s="4">
        <v>336.3</v>
      </c>
      <c r="F2928" s="4">
        <v>271057.8</v>
      </c>
      <c r="G2928" s="4">
        <v>336.3</v>
      </c>
      <c r="H2928" s="4">
        <v>271057.8</v>
      </c>
    </row>
    <row r="2929" s="1" customFormat="1" ht="14" spans="1:8">
      <c r="A2929" s="2">
        <v>400060264</v>
      </c>
      <c r="B2929" s="2" t="s">
        <v>3614</v>
      </c>
      <c r="C2929" s="3" t="s">
        <v>472</v>
      </c>
      <c r="D2929" s="4">
        <v>1252</v>
      </c>
      <c r="E2929" s="4">
        <v>430.4</v>
      </c>
      <c r="F2929" s="4">
        <v>538860.8</v>
      </c>
      <c r="G2929" s="4">
        <v>430.4</v>
      </c>
      <c r="H2929" s="4">
        <v>538860.8</v>
      </c>
    </row>
    <row r="2930" s="1" customFormat="1" ht="14" spans="1:8">
      <c r="A2930" s="2">
        <v>400060266</v>
      </c>
      <c r="B2930" s="2" t="s">
        <v>3615</v>
      </c>
      <c r="C2930" s="3" t="s">
        <v>1484</v>
      </c>
      <c r="D2930" s="4">
        <v>1700</v>
      </c>
      <c r="E2930" s="4">
        <v>80</v>
      </c>
      <c r="F2930" s="4">
        <v>136000</v>
      </c>
      <c r="G2930" s="4">
        <v>80</v>
      </c>
      <c r="H2930" s="4">
        <v>136000</v>
      </c>
    </row>
    <row r="2931" s="1" customFormat="1" ht="14" spans="1:8">
      <c r="A2931" s="2">
        <v>400060292</v>
      </c>
      <c r="B2931" s="2" t="s">
        <v>3616</v>
      </c>
      <c r="C2931" s="3" t="s">
        <v>472</v>
      </c>
      <c r="D2931" s="4">
        <v>160</v>
      </c>
      <c r="E2931" s="4">
        <v>135.25</v>
      </c>
      <c r="F2931" s="4">
        <v>21640</v>
      </c>
      <c r="G2931" s="4">
        <v>167.7</v>
      </c>
      <c r="H2931" s="4">
        <v>26832</v>
      </c>
    </row>
    <row r="2932" s="1" customFormat="1" ht="14" spans="1:8">
      <c r="A2932" s="2">
        <v>400060293</v>
      </c>
      <c r="B2932" s="2" t="s">
        <v>3617</v>
      </c>
      <c r="C2932" s="3" t="s">
        <v>472</v>
      </c>
      <c r="D2932" s="4">
        <v>4000</v>
      </c>
      <c r="E2932" s="4">
        <v>98.65</v>
      </c>
      <c r="F2932" s="4">
        <v>394600</v>
      </c>
      <c r="G2932" s="4">
        <v>121.41</v>
      </c>
      <c r="H2932" s="4">
        <v>485640</v>
      </c>
    </row>
    <row r="2933" s="1" customFormat="1" ht="28" spans="1:8">
      <c r="A2933" s="2">
        <v>400060302</v>
      </c>
      <c r="B2933" s="2" t="s">
        <v>3618</v>
      </c>
      <c r="C2933" s="3" t="s">
        <v>472</v>
      </c>
      <c r="D2933" s="4">
        <v>322674</v>
      </c>
      <c r="E2933" s="4">
        <v>8.96</v>
      </c>
      <c r="F2933" s="4">
        <v>2891159.04</v>
      </c>
      <c r="G2933" s="4">
        <v>8.96</v>
      </c>
      <c r="H2933" s="4">
        <v>2891159.04</v>
      </c>
    </row>
    <row r="2934" s="1" customFormat="1" ht="28" spans="1:8">
      <c r="A2934" s="2">
        <v>400060303</v>
      </c>
      <c r="B2934" s="2" t="s">
        <v>3619</v>
      </c>
      <c r="C2934" s="3" t="s">
        <v>472</v>
      </c>
      <c r="D2934" s="4">
        <v>166200</v>
      </c>
      <c r="E2934" s="4">
        <v>9.68</v>
      </c>
      <c r="F2934" s="4">
        <v>1608816</v>
      </c>
      <c r="G2934" s="4">
        <v>9.68</v>
      </c>
      <c r="H2934" s="4">
        <v>1608816</v>
      </c>
    </row>
    <row r="2935" s="1" customFormat="1" ht="14" spans="1:8">
      <c r="A2935" s="2">
        <v>400060306</v>
      </c>
      <c r="B2935" s="2" t="s">
        <v>3620</v>
      </c>
      <c r="C2935" s="3" t="s">
        <v>472</v>
      </c>
      <c r="D2935" s="4">
        <v>16350</v>
      </c>
      <c r="E2935" s="4">
        <v>438</v>
      </c>
      <c r="F2935" s="4">
        <v>7161300</v>
      </c>
      <c r="G2935" s="4">
        <v>423.5</v>
      </c>
      <c r="H2935" s="4">
        <v>6924225</v>
      </c>
    </row>
    <row r="2936" s="1" customFormat="1" ht="14" spans="1:8">
      <c r="A2936" s="2">
        <v>400060310</v>
      </c>
      <c r="B2936" s="2" t="s">
        <v>3621</v>
      </c>
      <c r="C2936" s="3" t="s">
        <v>472</v>
      </c>
      <c r="D2936" s="4">
        <v>959.5</v>
      </c>
      <c r="E2936" s="4">
        <v>305.2</v>
      </c>
      <c r="F2936" s="4">
        <v>292839.4</v>
      </c>
      <c r="G2936" s="4">
        <v>305.2</v>
      </c>
      <c r="H2936" s="4">
        <v>292839.4</v>
      </c>
    </row>
    <row r="2937" s="1" customFormat="1" ht="14" spans="1:8">
      <c r="A2937" s="2">
        <v>400060319</v>
      </c>
      <c r="B2937" s="2" t="s">
        <v>3622</v>
      </c>
      <c r="C2937" s="3" t="s">
        <v>876</v>
      </c>
      <c r="D2937" s="4">
        <v>9102</v>
      </c>
      <c r="E2937" s="4">
        <v>30</v>
      </c>
      <c r="F2937" s="4">
        <v>273060</v>
      </c>
      <c r="G2937" s="4">
        <v>30</v>
      </c>
      <c r="H2937" s="4">
        <v>273060</v>
      </c>
    </row>
    <row r="2938" s="1" customFormat="1" ht="28" spans="1:8">
      <c r="A2938" s="2">
        <v>400060323</v>
      </c>
      <c r="B2938" s="2" t="s">
        <v>3623</v>
      </c>
      <c r="C2938" s="3" t="s">
        <v>472</v>
      </c>
      <c r="D2938" s="4">
        <v>21300</v>
      </c>
      <c r="E2938" s="4">
        <v>19.7</v>
      </c>
      <c r="F2938" s="4">
        <v>419610</v>
      </c>
      <c r="G2938" s="4">
        <v>19.7</v>
      </c>
      <c r="H2938" s="4">
        <v>419610</v>
      </c>
    </row>
    <row r="2939" s="1" customFormat="1" ht="14" spans="1:8">
      <c r="A2939" s="2">
        <v>400060333</v>
      </c>
      <c r="B2939" s="2" t="s">
        <v>3624</v>
      </c>
      <c r="C2939" s="3" t="s">
        <v>3625</v>
      </c>
      <c r="D2939" s="4">
        <v>1860</v>
      </c>
      <c r="E2939" s="4">
        <v>25</v>
      </c>
      <c r="F2939" s="4">
        <v>46500</v>
      </c>
      <c r="G2939" s="4">
        <v>25</v>
      </c>
      <c r="H2939" s="4">
        <v>46500</v>
      </c>
    </row>
    <row r="2940" s="1" customFormat="1" ht="14" spans="1:8">
      <c r="A2940" s="2">
        <v>400060334</v>
      </c>
      <c r="B2940" s="2" t="s">
        <v>3626</v>
      </c>
      <c r="C2940" s="3" t="s">
        <v>472</v>
      </c>
      <c r="D2940" s="4">
        <v>1550</v>
      </c>
      <c r="E2940" s="4">
        <v>53</v>
      </c>
      <c r="F2940" s="4">
        <v>82150</v>
      </c>
      <c r="G2940" s="4">
        <v>53</v>
      </c>
      <c r="H2940" s="4">
        <v>82150</v>
      </c>
    </row>
    <row r="2941" s="1" customFormat="1" ht="14" spans="1:8">
      <c r="A2941" s="2">
        <v>400060352</v>
      </c>
      <c r="B2941" s="2" t="s">
        <v>3627</v>
      </c>
      <c r="C2941" s="3" t="s">
        <v>472</v>
      </c>
      <c r="D2941" s="4">
        <v>500</v>
      </c>
      <c r="E2941" s="4">
        <v>164.3</v>
      </c>
      <c r="F2941" s="4">
        <v>82150</v>
      </c>
      <c r="G2941" s="4">
        <v>164.3</v>
      </c>
      <c r="H2941" s="4">
        <v>82150</v>
      </c>
    </row>
    <row r="2942" s="1" customFormat="1" ht="28" spans="1:8">
      <c r="A2942" s="2">
        <v>400060361</v>
      </c>
      <c r="B2942" s="2" t="s">
        <v>3628</v>
      </c>
      <c r="C2942" s="3" t="s">
        <v>876</v>
      </c>
      <c r="D2942" s="4">
        <v>1</v>
      </c>
      <c r="E2942" s="4">
        <v>100000</v>
      </c>
      <c r="F2942" s="4">
        <v>100000</v>
      </c>
      <c r="G2942" s="4">
        <v>100000</v>
      </c>
      <c r="H2942" s="4">
        <v>100000</v>
      </c>
    </row>
    <row r="2943" s="1" customFormat="1" ht="14" spans="1:8">
      <c r="A2943" s="2">
        <v>400060363</v>
      </c>
      <c r="B2943" s="2" t="s">
        <v>3629</v>
      </c>
      <c r="C2943" s="3" t="s">
        <v>3630</v>
      </c>
      <c r="D2943" s="4">
        <v>158</v>
      </c>
      <c r="E2943" s="4">
        <v>28800</v>
      </c>
      <c r="F2943" s="4">
        <v>4550400</v>
      </c>
      <c r="G2943" s="4">
        <v>28800</v>
      </c>
      <c r="H2943" s="4">
        <v>4550400</v>
      </c>
    </row>
    <row r="2944" s="1" customFormat="1" ht="14" spans="1:8">
      <c r="A2944" s="2">
        <v>400060365</v>
      </c>
      <c r="B2944" s="2" t="s">
        <v>3631</v>
      </c>
      <c r="C2944" s="3" t="s">
        <v>3632</v>
      </c>
      <c r="D2944" s="4">
        <v>5</v>
      </c>
      <c r="E2944" s="4">
        <v>150000</v>
      </c>
      <c r="F2944" s="4">
        <v>750000</v>
      </c>
      <c r="G2944" s="4">
        <v>150000</v>
      </c>
      <c r="H2944" s="4">
        <v>750000</v>
      </c>
    </row>
    <row r="2945" s="1" customFormat="1" ht="14" spans="1:8">
      <c r="A2945" s="2">
        <v>400060396</v>
      </c>
      <c r="B2945" s="2" t="s">
        <v>3633</v>
      </c>
      <c r="C2945" s="3" t="s">
        <v>876</v>
      </c>
      <c r="D2945" s="4">
        <v>992</v>
      </c>
      <c r="E2945" s="4">
        <v>180</v>
      </c>
      <c r="F2945" s="4">
        <v>178560</v>
      </c>
      <c r="G2945" s="4">
        <v>180</v>
      </c>
      <c r="H2945" s="4">
        <v>178560</v>
      </c>
    </row>
    <row r="2946" s="1" customFormat="1" ht="14" spans="1:8">
      <c r="A2946" s="2">
        <v>400060404</v>
      </c>
      <c r="B2946" s="2" t="s">
        <v>3634</v>
      </c>
      <c r="C2946" s="3" t="s">
        <v>824</v>
      </c>
      <c r="D2946" s="4">
        <v>5032.4</v>
      </c>
      <c r="E2946" s="4">
        <v>70</v>
      </c>
      <c r="F2946" s="4">
        <v>352268</v>
      </c>
      <c r="G2946" s="4">
        <v>70</v>
      </c>
      <c r="H2946" s="4">
        <v>352268</v>
      </c>
    </row>
    <row r="2947" s="1" customFormat="1" ht="14" spans="1:8">
      <c r="A2947" s="2">
        <v>400060405</v>
      </c>
      <c r="B2947" s="2" t="s">
        <v>3635</v>
      </c>
      <c r="C2947" s="3" t="s">
        <v>3553</v>
      </c>
      <c r="D2947" s="4">
        <v>1</v>
      </c>
      <c r="E2947" s="4">
        <v>150000</v>
      </c>
      <c r="F2947" s="4">
        <v>150000</v>
      </c>
      <c r="G2947" s="4">
        <v>150000</v>
      </c>
      <c r="H2947" s="4">
        <v>150000</v>
      </c>
    </row>
    <row r="2948" s="1" customFormat="1" ht="14" spans="1:8">
      <c r="A2948" s="2">
        <v>400060408</v>
      </c>
      <c r="B2948" s="2" t="s">
        <v>3636</v>
      </c>
      <c r="C2948" s="3" t="s">
        <v>472</v>
      </c>
      <c r="D2948" s="4">
        <v>10600</v>
      </c>
      <c r="E2948" s="4">
        <v>648</v>
      </c>
      <c r="F2948" s="4">
        <v>6868800</v>
      </c>
      <c r="G2948" s="4">
        <v>558.8</v>
      </c>
      <c r="H2948" s="4">
        <v>5923280</v>
      </c>
    </row>
    <row r="2949" s="1" customFormat="1" ht="28" spans="1:8">
      <c r="A2949" s="2">
        <v>400060411</v>
      </c>
      <c r="B2949" s="2" t="s">
        <v>3637</v>
      </c>
      <c r="C2949" s="3" t="s">
        <v>472</v>
      </c>
      <c r="D2949" s="4">
        <v>54900</v>
      </c>
      <c r="E2949" s="4">
        <v>24.9</v>
      </c>
      <c r="F2949" s="4">
        <v>1367010</v>
      </c>
      <c r="G2949" s="4">
        <v>24.9</v>
      </c>
      <c r="H2949" s="4">
        <v>1367010</v>
      </c>
    </row>
    <row r="2950" s="1" customFormat="1" ht="14" spans="1:8">
      <c r="A2950" s="2">
        <v>400060420</v>
      </c>
      <c r="B2950" s="2" t="s">
        <v>3638</v>
      </c>
      <c r="C2950" s="3" t="s">
        <v>472</v>
      </c>
      <c r="D2950" s="4">
        <v>268335</v>
      </c>
      <c r="E2950" s="4">
        <v>7</v>
      </c>
      <c r="F2950" s="4">
        <v>1878345</v>
      </c>
      <c r="G2950" s="4">
        <v>7</v>
      </c>
      <c r="H2950" s="4">
        <v>1878345</v>
      </c>
    </row>
    <row r="2951" s="1" customFormat="1" ht="14" spans="1:8">
      <c r="A2951" s="2">
        <v>400060425</v>
      </c>
      <c r="B2951" s="2" t="s">
        <v>3639</v>
      </c>
      <c r="C2951" s="3" t="s">
        <v>3586</v>
      </c>
      <c r="D2951" s="4">
        <v>28</v>
      </c>
      <c r="E2951" s="4">
        <v>30000</v>
      </c>
      <c r="F2951" s="4">
        <v>840000</v>
      </c>
      <c r="G2951" s="4">
        <v>30000</v>
      </c>
      <c r="H2951" s="4">
        <v>840000</v>
      </c>
    </row>
    <row r="2952" s="1" customFormat="1" ht="14" spans="1:8">
      <c r="A2952" s="2">
        <v>400060427</v>
      </c>
      <c r="B2952" s="2" t="s">
        <v>3640</v>
      </c>
      <c r="C2952" s="3" t="s">
        <v>3468</v>
      </c>
      <c r="D2952" s="4">
        <v>500</v>
      </c>
      <c r="E2952" s="4">
        <v>550</v>
      </c>
      <c r="F2952" s="4">
        <v>275000</v>
      </c>
      <c r="G2952" s="4">
        <v>550</v>
      </c>
      <c r="H2952" s="4">
        <v>275000</v>
      </c>
    </row>
    <row r="2953" s="1" customFormat="1" ht="14" spans="1:8">
      <c r="A2953" s="2">
        <v>400060428</v>
      </c>
      <c r="B2953" s="2" t="s">
        <v>3641</v>
      </c>
      <c r="C2953" s="3" t="s">
        <v>472</v>
      </c>
      <c r="D2953" s="4">
        <v>1616</v>
      </c>
      <c r="E2953" s="4">
        <v>480</v>
      </c>
      <c r="F2953" s="4">
        <v>775680</v>
      </c>
      <c r="G2953" s="4">
        <v>480</v>
      </c>
      <c r="H2953" s="4">
        <v>775680</v>
      </c>
    </row>
    <row r="2954" s="1" customFormat="1" ht="14" spans="1:8">
      <c r="A2954" s="2">
        <v>400060432</v>
      </c>
      <c r="B2954" s="2" t="s">
        <v>3642</v>
      </c>
      <c r="C2954" s="3" t="s">
        <v>725</v>
      </c>
      <c r="D2954" s="4">
        <v>1508</v>
      </c>
      <c r="E2954" s="4">
        <v>1589.33</v>
      </c>
      <c r="F2954" s="4">
        <v>2396709.64</v>
      </c>
      <c r="G2954" s="4">
        <v>1589.33</v>
      </c>
      <c r="H2954" s="4">
        <v>2396709.64</v>
      </c>
    </row>
    <row r="2955" s="1" customFormat="1" ht="14" spans="1:8">
      <c r="A2955" s="2">
        <v>400060434</v>
      </c>
      <c r="B2955" s="2" t="s">
        <v>3643</v>
      </c>
      <c r="C2955" s="3" t="s">
        <v>472</v>
      </c>
      <c r="D2955" s="4">
        <v>3787.5</v>
      </c>
      <c r="E2955" s="4">
        <v>24.26</v>
      </c>
      <c r="F2955" s="4">
        <v>91884.75</v>
      </c>
      <c r="G2955" s="4">
        <v>24.26</v>
      </c>
      <c r="H2955" s="4">
        <v>91884.75</v>
      </c>
    </row>
    <row r="2956" s="1" customFormat="1" ht="14" spans="1:8">
      <c r="A2956" s="2">
        <v>400060435</v>
      </c>
      <c r="B2956" s="2" t="s">
        <v>3644</v>
      </c>
      <c r="C2956" s="3" t="s">
        <v>472</v>
      </c>
      <c r="D2956" s="4">
        <v>3787.5</v>
      </c>
      <c r="E2956" s="4">
        <v>30.68</v>
      </c>
      <c r="F2956" s="4">
        <v>116200.5</v>
      </c>
      <c r="G2956" s="4">
        <v>30.68</v>
      </c>
      <c r="H2956" s="4">
        <v>116200.5</v>
      </c>
    </row>
    <row r="2957" s="1" customFormat="1" ht="14" spans="1:8">
      <c r="A2957" s="2">
        <v>400060436</v>
      </c>
      <c r="B2957" s="2" t="s">
        <v>3645</v>
      </c>
      <c r="C2957" s="3" t="s">
        <v>472</v>
      </c>
      <c r="D2957" s="4">
        <v>1919</v>
      </c>
      <c r="E2957" s="4">
        <v>35.06</v>
      </c>
      <c r="F2957" s="4">
        <v>67280.14</v>
      </c>
      <c r="G2957" s="4">
        <v>35.06</v>
      </c>
      <c r="H2957" s="4">
        <v>67280.14</v>
      </c>
    </row>
    <row r="2958" s="1" customFormat="1" ht="14" spans="1:8">
      <c r="A2958" s="2">
        <v>400060437</v>
      </c>
      <c r="B2958" s="2" t="s">
        <v>3646</v>
      </c>
      <c r="C2958" s="3" t="s">
        <v>472</v>
      </c>
      <c r="D2958" s="4">
        <v>101</v>
      </c>
      <c r="E2958" s="4">
        <v>43.58</v>
      </c>
      <c r="F2958" s="4">
        <v>4401.58</v>
      </c>
      <c r="G2958" s="4">
        <v>43.58</v>
      </c>
      <c r="H2958" s="4">
        <v>4401.58</v>
      </c>
    </row>
    <row r="2959" s="1" customFormat="1" ht="14" spans="1:8">
      <c r="A2959" s="2">
        <v>400060438</v>
      </c>
      <c r="B2959" s="2" t="s">
        <v>3647</v>
      </c>
      <c r="C2959" s="3" t="s">
        <v>472</v>
      </c>
      <c r="D2959" s="4">
        <v>101</v>
      </c>
      <c r="E2959" s="4">
        <v>62.69</v>
      </c>
      <c r="F2959" s="4">
        <v>6331.69</v>
      </c>
      <c r="G2959" s="4">
        <v>62.69</v>
      </c>
      <c r="H2959" s="4">
        <v>6331.69</v>
      </c>
    </row>
    <row r="2960" s="1" customFormat="1" ht="28" spans="1:8">
      <c r="A2960" s="2">
        <v>400060439</v>
      </c>
      <c r="B2960" s="2" t="s">
        <v>3648</v>
      </c>
      <c r="C2960" s="3" t="s">
        <v>3468</v>
      </c>
      <c r="D2960" s="4">
        <v>5400</v>
      </c>
      <c r="E2960" s="4">
        <v>6.89</v>
      </c>
      <c r="F2960" s="4">
        <v>37206</v>
      </c>
      <c r="G2960" s="4">
        <v>6.89</v>
      </c>
      <c r="H2960" s="4">
        <v>37206</v>
      </c>
    </row>
    <row r="2961" s="1" customFormat="1" ht="14" spans="1:8">
      <c r="A2961" s="2">
        <v>400070015</v>
      </c>
      <c r="B2961" s="2" t="s">
        <v>3649</v>
      </c>
      <c r="C2961" s="3" t="s">
        <v>876</v>
      </c>
      <c r="D2961" s="4">
        <v>0</v>
      </c>
      <c r="E2961" s="4">
        <v>427.35</v>
      </c>
      <c r="F2961" s="4">
        <v>0</v>
      </c>
      <c r="G2961" s="4">
        <v>427.35</v>
      </c>
      <c r="H2961" s="4">
        <v>0</v>
      </c>
    </row>
    <row r="2962" s="1" customFormat="1" ht="14" spans="1:8">
      <c r="A2962" s="2">
        <v>400070019</v>
      </c>
      <c r="B2962" s="2" t="s">
        <v>3650</v>
      </c>
      <c r="C2962" s="3" t="s">
        <v>876</v>
      </c>
      <c r="D2962" s="4">
        <v>0</v>
      </c>
      <c r="E2962" s="4">
        <v>315</v>
      </c>
      <c r="F2962" s="4">
        <v>0</v>
      </c>
      <c r="G2962" s="4">
        <v>315</v>
      </c>
      <c r="H2962" s="4">
        <v>0</v>
      </c>
    </row>
    <row r="2963" s="1" customFormat="1" ht="14" spans="1:8">
      <c r="A2963" s="2">
        <v>400070203</v>
      </c>
      <c r="B2963" s="2" t="s">
        <v>3651</v>
      </c>
      <c r="C2963" s="3" t="s">
        <v>876</v>
      </c>
      <c r="D2963" s="4">
        <v>0</v>
      </c>
      <c r="E2963" s="4">
        <v>160</v>
      </c>
      <c r="F2963" s="4">
        <v>0</v>
      </c>
      <c r="G2963" s="4">
        <v>160</v>
      </c>
      <c r="H2963" s="4">
        <v>0</v>
      </c>
    </row>
    <row r="2964" s="1" customFormat="1" ht="28" spans="1:8">
      <c r="A2964" s="2">
        <v>400070269</v>
      </c>
      <c r="B2964" s="2" t="s">
        <v>3652</v>
      </c>
      <c r="C2964" s="3" t="s">
        <v>876</v>
      </c>
      <c r="D2964" s="4">
        <v>23</v>
      </c>
      <c r="E2964" s="4">
        <v>260</v>
      </c>
      <c r="F2964" s="4">
        <v>5980</v>
      </c>
      <c r="G2964" s="4">
        <v>260</v>
      </c>
      <c r="H2964" s="4">
        <v>5980</v>
      </c>
    </row>
    <row r="2965" s="1" customFormat="1" ht="14" spans="1:8">
      <c r="A2965" s="2">
        <v>400070287</v>
      </c>
      <c r="B2965" s="2" t="s">
        <v>3653</v>
      </c>
      <c r="C2965" s="3" t="s">
        <v>3468</v>
      </c>
      <c r="D2965" s="4">
        <v>1650</v>
      </c>
      <c r="E2965" s="4">
        <v>400</v>
      </c>
      <c r="F2965" s="4">
        <v>660000</v>
      </c>
      <c r="G2965" s="4">
        <v>400</v>
      </c>
      <c r="H2965" s="4">
        <v>660000</v>
      </c>
    </row>
    <row r="2966" s="1" customFormat="1" ht="14" spans="1:8">
      <c r="A2966" s="2">
        <v>400071037</v>
      </c>
      <c r="B2966" s="2" t="s">
        <v>3654</v>
      </c>
      <c r="C2966" s="3" t="s">
        <v>824</v>
      </c>
      <c r="D2966" s="4">
        <v>146</v>
      </c>
      <c r="E2966" s="4">
        <v>90</v>
      </c>
      <c r="F2966" s="4">
        <v>13140</v>
      </c>
      <c r="G2966" s="4">
        <v>90</v>
      </c>
      <c r="H2966" s="4">
        <v>13140</v>
      </c>
    </row>
    <row r="2967" s="1" customFormat="1" ht="14" spans="1:8">
      <c r="A2967" s="2">
        <v>400072079</v>
      </c>
      <c r="B2967" s="2" t="s">
        <v>3655</v>
      </c>
      <c r="C2967" s="3" t="s">
        <v>876</v>
      </c>
      <c r="D2967" s="4">
        <v>7</v>
      </c>
      <c r="E2967" s="4">
        <v>396500</v>
      </c>
      <c r="F2967" s="4">
        <v>2775500</v>
      </c>
      <c r="G2967" s="4">
        <v>396500</v>
      </c>
      <c r="H2967" s="4">
        <v>2775500</v>
      </c>
    </row>
    <row r="2968" s="1" customFormat="1" ht="14" spans="1:8">
      <c r="A2968" s="2">
        <v>400072088</v>
      </c>
      <c r="B2968" s="2" t="s">
        <v>3656</v>
      </c>
      <c r="C2968" s="3" t="s">
        <v>3657</v>
      </c>
      <c r="D2968" s="4">
        <v>546.47</v>
      </c>
      <c r="E2968" s="4">
        <v>12000</v>
      </c>
      <c r="F2968" s="4">
        <v>6557616</v>
      </c>
      <c r="G2968" s="4">
        <v>12000</v>
      </c>
      <c r="H2968" s="4">
        <v>6557616</v>
      </c>
    </row>
    <row r="2969" s="1" customFormat="1" ht="28" spans="1:8">
      <c r="A2969" s="2">
        <v>400072121</v>
      </c>
      <c r="B2969" s="2" t="s">
        <v>3658</v>
      </c>
      <c r="C2969" s="3" t="s">
        <v>472</v>
      </c>
      <c r="D2969" s="4">
        <v>476</v>
      </c>
      <c r="E2969" s="4">
        <v>510</v>
      </c>
      <c r="F2969" s="4">
        <v>242760</v>
      </c>
      <c r="G2969" s="4">
        <v>510</v>
      </c>
      <c r="H2969" s="4">
        <v>242760</v>
      </c>
    </row>
    <row r="2970" s="1" customFormat="1" ht="14" spans="1:8">
      <c r="A2970" s="2">
        <v>400072122</v>
      </c>
      <c r="B2970" s="2" t="s">
        <v>3659</v>
      </c>
      <c r="C2970" s="3" t="s">
        <v>876</v>
      </c>
      <c r="D2970" s="4">
        <v>6144.17</v>
      </c>
      <c r="E2970" s="4">
        <v>150</v>
      </c>
      <c r="F2970" s="4">
        <v>921625.5</v>
      </c>
      <c r="G2970" s="4">
        <v>150</v>
      </c>
      <c r="H2970" s="4">
        <v>921625.5</v>
      </c>
    </row>
    <row r="2971" s="1" customFormat="1" ht="14" spans="1:8">
      <c r="A2971" s="2">
        <v>400072123</v>
      </c>
      <c r="B2971" s="2" t="s">
        <v>3660</v>
      </c>
      <c r="C2971" s="3" t="s">
        <v>59</v>
      </c>
      <c r="D2971" s="4">
        <v>14094</v>
      </c>
      <c r="E2971" s="4">
        <v>30</v>
      </c>
      <c r="F2971" s="4">
        <v>422820</v>
      </c>
      <c r="G2971" s="4">
        <v>30</v>
      </c>
      <c r="H2971" s="4">
        <v>422820</v>
      </c>
    </row>
    <row r="2972" s="1" customFormat="1" ht="14" spans="1:8">
      <c r="A2972" s="2">
        <v>400072126</v>
      </c>
      <c r="B2972" s="2" t="s">
        <v>3661</v>
      </c>
      <c r="C2972" s="3" t="s">
        <v>725</v>
      </c>
      <c r="D2972" s="4">
        <v>120</v>
      </c>
      <c r="E2972" s="4">
        <v>100</v>
      </c>
      <c r="F2972" s="4">
        <v>12000</v>
      </c>
      <c r="G2972" s="4">
        <v>100</v>
      </c>
      <c r="H2972" s="4">
        <v>12000</v>
      </c>
    </row>
    <row r="2973" s="1" customFormat="1" ht="14" spans="1:8">
      <c r="A2973" s="2">
        <v>400072231</v>
      </c>
      <c r="B2973" s="2" t="s">
        <v>3662</v>
      </c>
      <c r="C2973" s="3" t="s">
        <v>725</v>
      </c>
      <c r="D2973" s="4">
        <v>0</v>
      </c>
      <c r="E2973" s="4">
        <v>4750</v>
      </c>
      <c r="F2973" s="4">
        <v>0</v>
      </c>
      <c r="G2973" s="4">
        <v>4750</v>
      </c>
      <c r="H2973" s="4">
        <v>0</v>
      </c>
    </row>
    <row r="2974" s="1" customFormat="1" ht="14" spans="1:8">
      <c r="A2974" s="2">
        <v>400072232</v>
      </c>
      <c r="B2974" s="2" t="s">
        <v>3663</v>
      </c>
      <c r="C2974" s="3" t="s">
        <v>725</v>
      </c>
      <c r="D2974" s="4">
        <v>0</v>
      </c>
      <c r="E2974" s="4">
        <v>4950</v>
      </c>
      <c r="F2974" s="4">
        <v>0</v>
      </c>
      <c r="G2974" s="4">
        <v>4950</v>
      </c>
      <c r="H2974" s="4">
        <v>0</v>
      </c>
    </row>
    <row r="2975" s="1" customFormat="1" ht="14" spans="1:8">
      <c r="A2975" s="2">
        <v>400072233</v>
      </c>
      <c r="B2975" s="2" t="s">
        <v>3664</v>
      </c>
      <c r="C2975" s="3" t="s">
        <v>824</v>
      </c>
      <c r="D2975" s="4">
        <v>66195</v>
      </c>
      <c r="E2975" s="4">
        <v>282.62</v>
      </c>
      <c r="F2975" s="4">
        <v>18708030.9</v>
      </c>
      <c r="G2975" s="4">
        <v>282.62</v>
      </c>
      <c r="H2975" s="4">
        <v>18708030.9</v>
      </c>
    </row>
    <row r="2976" s="1" customFormat="1" ht="14" spans="1:8">
      <c r="A2976" s="2">
        <v>400072234</v>
      </c>
      <c r="B2976" s="2" t="s">
        <v>3665</v>
      </c>
      <c r="C2976" s="3" t="s">
        <v>824</v>
      </c>
      <c r="D2976" s="4">
        <v>56925</v>
      </c>
      <c r="E2976" s="4">
        <v>247.45</v>
      </c>
      <c r="F2976" s="4">
        <v>14086091.25</v>
      </c>
      <c r="G2976" s="4">
        <v>247.45</v>
      </c>
      <c r="H2976" s="4">
        <v>14086091.25</v>
      </c>
    </row>
    <row r="2977" s="1" customFormat="1" ht="14" spans="1:8">
      <c r="A2977" s="2">
        <v>400072235</v>
      </c>
      <c r="B2977" s="2" t="s">
        <v>3666</v>
      </c>
      <c r="C2977" s="3" t="s">
        <v>824</v>
      </c>
      <c r="D2977" s="4">
        <v>9270</v>
      </c>
      <c r="E2977" s="4">
        <v>348.06</v>
      </c>
      <c r="F2977" s="4">
        <v>3226516.2</v>
      </c>
      <c r="G2977" s="4">
        <v>348.06</v>
      </c>
      <c r="H2977" s="4">
        <v>3226516.2</v>
      </c>
    </row>
    <row r="2978" s="1" customFormat="1" ht="14" spans="1:8">
      <c r="A2978" s="2">
        <v>400072236</v>
      </c>
      <c r="B2978" s="2" t="s">
        <v>3667</v>
      </c>
      <c r="C2978" s="3" t="s">
        <v>876</v>
      </c>
      <c r="D2978" s="4">
        <v>22</v>
      </c>
      <c r="E2978" s="4">
        <v>150332</v>
      </c>
      <c r="F2978" s="4">
        <v>3307304</v>
      </c>
      <c r="G2978" s="4">
        <v>150332</v>
      </c>
      <c r="H2978" s="4">
        <v>3307304</v>
      </c>
    </row>
    <row r="2979" s="1" customFormat="1" ht="14" spans="1:8">
      <c r="A2979" s="2">
        <v>400073011</v>
      </c>
      <c r="B2979" s="2" t="s">
        <v>3668</v>
      </c>
      <c r="C2979" s="3" t="s">
        <v>876</v>
      </c>
      <c r="D2979" s="4">
        <v>0</v>
      </c>
      <c r="E2979" s="4">
        <v>265</v>
      </c>
      <c r="F2979" s="4">
        <v>0</v>
      </c>
      <c r="G2979" s="4">
        <v>265</v>
      </c>
      <c r="H2979" s="4">
        <v>0</v>
      </c>
    </row>
    <row r="2980" s="1" customFormat="1" ht="14" spans="1:8">
      <c r="A2980" s="2">
        <v>400073012</v>
      </c>
      <c r="B2980" s="2" t="s">
        <v>3669</v>
      </c>
      <c r="C2980" s="3" t="s">
        <v>876</v>
      </c>
      <c r="D2980" s="4">
        <v>0</v>
      </c>
      <c r="E2980" s="4">
        <v>100</v>
      </c>
      <c r="F2980" s="4">
        <v>0</v>
      </c>
      <c r="G2980" s="4">
        <v>100</v>
      </c>
      <c r="H2980" s="4">
        <v>0</v>
      </c>
    </row>
    <row r="2981" s="1" customFormat="1" ht="14" spans="1:8">
      <c r="A2981" s="2">
        <v>400073015</v>
      </c>
      <c r="B2981" s="2" t="s">
        <v>3670</v>
      </c>
      <c r="C2981" s="3" t="s">
        <v>876</v>
      </c>
      <c r="D2981" s="4">
        <v>0</v>
      </c>
      <c r="E2981" s="4">
        <v>309</v>
      </c>
      <c r="F2981" s="4">
        <v>0</v>
      </c>
      <c r="G2981" s="4">
        <v>309</v>
      </c>
      <c r="H2981" s="4">
        <v>0</v>
      </c>
    </row>
    <row r="2982" s="1" customFormat="1" ht="14" spans="1:8">
      <c r="A2982" s="2">
        <v>400073018</v>
      </c>
      <c r="B2982" s="2" t="s">
        <v>3671</v>
      </c>
      <c r="C2982" s="3" t="s">
        <v>876</v>
      </c>
      <c r="D2982" s="4">
        <v>0</v>
      </c>
      <c r="E2982" s="4">
        <v>412</v>
      </c>
      <c r="F2982" s="4">
        <v>0</v>
      </c>
      <c r="G2982" s="4">
        <v>412</v>
      </c>
      <c r="H2982" s="4">
        <v>0</v>
      </c>
    </row>
    <row r="2983" s="1" customFormat="1" ht="14" spans="1:8">
      <c r="A2983" s="2">
        <v>400073019</v>
      </c>
      <c r="B2983" s="2" t="s">
        <v>3672</v>
      </c>
      <c r="C2983" s="3" t="s">
        <v>876</v>
      </c>
      <c r="D2983" s="4">
        <v>0</v>
      </c>
      <c r="E2983" s="4">
        <v>45</v>
      </c>
      <c r="F2983" s="4">
        <v>0</v>
      </c>
      <c r="G2983" s="4">
        <v>45</v>
      </c>
      <c r="H2983" s="4">
        <v>0</v>
      </c>
    </row>
    <row r="2984" s="1" customFormat="1" ht="14" spans="1:8">
      <c r="A2984" s="2">
        <v>400073021</v>
      </c>
      <c r="B2984" s="2" t="s">
        <v>3673</v>
      </c>
      <c r="C2984" s="3" t="s">
        <v>876</v>
      </c>
      <c r="D2984" s="4">
        <v>0</v>
      </c>
      <c r="E2984" s="4">
        <v>650</v>
      </c>
      <c r="F2984" s="4">
        <v>0</v>
      </c>
      <c r="G2984" s="4">
        <v>650</v>
      </c>
      <c r="H2984" s="4">
        <v>0</v>
      </c>
    </row>
    <row r="2985" s="1" customFormat="1" ht="14" spans="1:8">
      <c r="A2985" s="2">
        <v>400073023</v>
      </c>
      <c r="B2985" s="2" t="s">
        <v>3674</v>
      </c>
      <c r="C2985" s="3" t="s">
        <v>876</v>
      </c>
      <c r="D2985" s="4">
        <v>0</v>
      </c>
      <c r="E2985" s="4">
        <v>435</v>
      </c>
      <c r="F2985" s="4">
        <v>0</v>
      </c>
      <c r="G2985" s="4">
        <v>435</v>
      </c>
      <c r="H2985" s="4">
        <v>0</v>
      </c>
    </row>
    <row r="2986" s="1" customFormat="1" ht="14" spans="1:8">
      <c r="A2986" s="2">
        <v>400073079</v>
      </c>
      <c r="B2986" s="2" t="s">
        <v>3675</v>
      </c>
      <c r="C2986" s="3" t="s">
        <v>876</v>
      </c>
      <c r="D2986" s="4">
        <v>0</v>
      </c>
      <c r="E2986" s="4">
        <v>66</v>
      </c>
      <c r="F2986" s="4">
        <v>0</v>
      </c>
      <c r="G2986" s="4">
        <v>66</v>
      </c>
      <c r="H2986" s="4">
        <v>0</v>
      </c>
    </row>
    <row r="2987" s="1" customFormat="1" ht="14" spans="1:8">
      <c r="A2987" s="2">
        <v>400073080</v>
      </c>
      <c r="B2987" s="2" t="s">
        <v>3676</v>
      </c>
      <c r="C2987" s="3" t="s">
        <v>876</v>
      </c>
      <c r="D2987" s="4">
        <v>0</v>
      </c>
      <c r="E2987" s="4">
        <v>74</v>
      </c>
      <c r="F2987" s="4">
        <v>0</v>
      </c>
      <c r="G2987" s="4">
        <v>74</v>
      </c>
      <c r="H2987" s="4">
        <v>0</v>
      </c>
    </row>
    <row r="2988" s="1" customFormat="1" ht="14" spans="1:8">
      <c r="A2988" s="2">
        <v>400073089</v>
      </c>
      <c r="B2988" s="2" t="s">
        <v>3677</v>
      </c>
      <c r="C2988" s="3" t="s">
        <v>876</v>
      </c>
      <c r="D2988" s="4">
        <v>0</v>
      </c>
      <c r="E2988" s="4">
        <v>37</v>
      </c>
      <c r="F2988" s="4">
        <v>0</v>
      </c>
      <c r="G2988" s="4">
        <v>37</v>
      </c>
      <c r="H2988" s="4">
        <v>0</v>
      </c>
    </row>
    <row r="2989" s="1" customFormat="1" ht="14" spans="1:8">
      <c r="A2989" s="2">
        <v>400073093</v>
      </c>
      <c r="B2989" s="2" t="s">
        <v>3678</v>
      </c>
      <c r="C2989" s="3" t="s">
        <v>876</v>
      </c>
      <c r="D2989" s="4">
        <v>0</v>
      </c>
      <c r="E2989" s="4">
        <v>66</v>
      </c>
      <c r="F2989" s="4">
        <v>0</v>
      </c>
      <c r="G2989" s="4">
        <v>66</v>
      </c>
      <c r="H2989" s="4">
        <v>0</v>
      </c>
    </row>
    <row r="2990" s="1" customFormat="1" ht="14" spans="1:8">
      <c r="A2990" s="2">
        <v>400073098</v>
      </c>
      <c r="B2990" s="2" t="s">
        <v>3679</v>
      </c>
      <c r="C2990" s="3" t="s">
        <v>876</v>
      </c>
      <c r="D2990" s="4">
        <v>0</v>
      </c>
      <c r="E2990" s="4">
        <v>102</v>
      </c>
      <c r="F2990" s="4">
        <v>0</v>
      </c>
      <c r="G2990" s="4">
        <v>102</v>
      </c>
      <c r="H2990" s="4">
        <v>0</v>
      </c>
    </row>
    <row r="2991" s="1" customFormat="1" ht="14" spans="1:8">
      <c r="A2991" s="2">
        <v>400073157</v>
      </c>
      <c r="B2991" s="2" t="s">
        <v>3680</v>
      </c>
      <c r="C2991" s="3" t="s">
        <v>876</v>
      </c>
      <c r="D2991" s="4">
        <v>0</v>
      </c>
      <c r="E2991" s="4">
        <v>115</v>
      </c>
      <c r="F2991" s="4">
        <v>0</v>
      </c>
      <c r="G2991" s="4">
        <v>115</v>
      </c>
      <c r="H2991" s="4">
        <v>0</v>
      </c>
    </row>
    <row r="2992" s="1" customFormat="1" ht="14" spans="1:8">
      <c r="A2992" s="2">
        <v>400073158</v>
      </c>
      <c r="B2992" s="2" t="s">
        <v>3681</v>
      </c>
      <c r="C2992" s="3" t="s">
        <v>876</v>
      </c>
      <c r="D2992" s="4">
        <v>0</v>
      </c>
      <c r="E2992" s="4">
        <v>120</v>
      </c>
      <c r="F2992" s="4">
        <v>0</v>
      </c>
      <c r="G2992" s="4">
        <v>120</v>
      </c>
      <c r="H2992" s="4">
        <v>0</v>
      </c>
    </row>
    <row r="2993" s="1" customFormat="1" ht="14" spans="1:8">
      <c r="A2993" s="2">
        <v>400073159</v>
      </c>
      <c r="B2993" s="2" t="s">
        <v>3682</v>
      </c>
      <c r="C2993" s="3" t="s">
        <v>876</v>
      </c>
      <c r="D2993" s="4">
        <v>0</v>
      </c>
      <c r="E2993" s="4">
        <v>169</v>
      </c>
      <c r="F2993" s="4">
        <v>0</v>
      </c>
      <c r="G2993" s="4">
        <v>169</v>
      </c>
      <c r="H2993" s="4">
        <v>0</v>
      </c>
    </row>
    <row r="2994" s="1" customFormat="1" ht="14" spans="1:8">
      <c r="A2994" s="2">
        <v>400073162</v>
      </c>
      <c r="B2994" s="2" t="s">
        <v>3683</v>
      </c>
      <c r="C2994" s="3" t="s">
        <v>876</v>
      </c>
      <c r="D2994" s="4">
        <v>0</v>
      </c>
      <c r="E2994" s="4">
        <v>62</v>
      </c>
      <c r="F2994" s="4">
        <v>0</v>
      </c>
      <c r="G2994" s="4">
        <v>62</v>
      </c>
      <c r="H2994" s="4">
        <v>0</v>
      </c>
    </row>
    <row r="2995" s="1" customFormat="1" ht="14" spans="1:8">
      <c r="A2995" s="2">
        <v>400073168</v>
      </c>
      <c r="B2995" s="2" t="s">
        <v>3684</v>
      </c>
      <c r="C2995" s="3" t="s">
        <v>876</v>
      </c>
      <c r="D2995" s="4">
        <v>0</v>
      </c>
      <c r="E2995" s="4">
        <v>96</v>
      </c>
      <c r="F2995" s="4">
        <v>0</v>
      </c>
      <c r="G2995" s="4">
        <v>96</v>
      </c>
      <c r="H2995" s="4">
        <v>0</v>
      </c>
    </row>
    <row r="2996" s="1" customFormat="1" ht="14" spans="1:8">
      <c r="A2996" s="2">
        <v>400073178</v>
      </c>
      <c r="B2996" s="2" t="s">
        <v>3685</v>
      </c>
      <c r="C2996" s="3" t="s">
        <v>876</v>
      </c>
      <c r="D2996" s="4">
        <v>0</v>
      </c>
      <c r="E2996" s="4">
        <v>153</v>
      </c>
      <c r="F2996" s="4">
        <v>0</v>
      </c>
      <c r="G2996" s="4">
        <v>153</v>
      </c>
      <c r="H2996" s="4">
        <v>0</v>
      </c>
    </row>
    <row r="2997" s="1" customFormat="1" ht="14" spans="1:8">
      <c r="A2997" s="2">
        <v>400073179</v>
      </c>
      <c r="B2997" s="2" t="s">
        <v>3686</v>
      </c>
      <c r="C2997" s="3" t="s">
        <v>876</v>
      </c>
      <c r="D2997" s="4">
        <v>0</v>
      </c>
      <c r="E2997" s="4">
        <v>159</v>
      </c>
      <c r="F2997" s="4">
        <v>0</v>
      </c>
      <c r="G2997" s="4">
        <v>159</v>
      </c>
      <c r="H2997" s="4">
        <v>0</v>
      </c>
    </row>
    <row r="2998" s="1" customFormat="1" ht="14" spans="1:8">
      <c r="A2998" s="2">
        <v>400073181</v>
      </c>
      <c r="B2998" s="2" t="s">
        <v>3687</v>
      </c>
      <c r="C2998" s="3" t="s">
        <v>876</v>
      </c>
      <c r="D2998" s="4">
        <v>0</v>
      </c>
      <c r="E2998" s="4">
        <v>171</v>
      </c>
      <c r="F2998" s="4">
        <v>0</v>
      </c>
      <c r="G2998" s="4">
        <v>171</v>
      </c>
      <c r="H2998" s="4">
        <v>0</v>
      </c>
    </row>
    <row r="2999" s="1" customFormat="1" ht="14" spans="1:8">
      <c r="A2999" s="2">
        <v>400073183</v>
      </c>
      <c r="B2999" s="2" t="s">
        <v>3688</v>
      </c>
      <c r="C2999" s="3" t="s">
        <v>876</v>
      </c>
      <c r="D2999" s="4">
        <v>0</v>
      </c>
      <c r="E2999" s="4">
        <v>182</v>
      </c>
      <c r="F2999" s="4">
        <v>0</v>
      </c>
      <c r="G2999" s="4">
        <v>182</v>
      </c>
      <c r="H2999" s="4">
        <v>0</v>
      </c>
    </row>
    <row r="3000" s="1" customFormat="1" ht="14" spans="1:8">
      <c r="A3000" s="2">
        <v>400073186</v>
      </c>
      <c r="B3000" s="2" t="s">
        <v>3689</v>
      </c>
      <c r="C3000" s="3" t="s">
        <v>876</v>
      </c>
      <c r="D3000" s="4">
        <v>0</v>
      </c>
      <c r="E3000" s="4">
        <v>199</v>
      </c>
      <c r="F3000" s="4">
        <v>0</v>
      </c>
      <c r="G3000" s="4">
        <v>199</v>
      </c>
      <c r="H3000" s="4">
        <v>0</v>
      </c>
    </row>
    <row r="3001" s="1" customFormat="1" ht="14" spans="1:8">
      <c r="A3001" s="2">
        <v>400073189</v>
      </c>
      <c r="B3001" s="2" t="s">
        <v>3690</v>
      </c>
      <c r="C3001" s="3" t="s">
        <v>876</v>
      </c>
      <c r="D3001" s="4">
        <v>0</v>
      </c>
      <c r="E3001" s="4">
        <v>216</v>
      </c>
      <c r="F3001" s="4">
        <v>0</v>
      </c>
      <c r="G3001" s="4">
        <v>216</v>
      </c>
      <c r="H3001" s="4">
        <v>0</v>
      </c>
    </row>
    <row r="3002" s="1" customFormat="1" ht="14" spans="1:8">
      <c r="A3002" s="2">
        <v>400073192</v>
      </c>
      <c r="B3002" s="2" t="s">
        <v>3691</v>
      </c>
      <c r="C3002" s="3" t="s">
        <v>876</v>
      </c>
      <c r="D3002" s="4">
        <v>0</v>
      </c>
      <c r="E3002" s="4">
        <v>168</v>
      </c>
      <c r="F3002" s="4">
        <v>0</v>
      </c>
      <c r="G3002" s="4">
        <v>152</v>
      </c>
      <c r="H3002" s="4">
        <v>0</v>
      </c>
    </row>
    <row r="3003" s="1" customFormat="1" ht="14" spans="1:8">
      <c r="A3003" s="2">
        <v>400073202</v>
      </c>
      <c r="B3003" s="2" t="s">
        <v>3692</v>
      </c>
      <c r="C3003" s="3" t="s">
        <v>876</v>
      </c>
      <c r="D3003" s="4">
        <v>0</v>
      </c>
      <c r="E3003" s="4">
        <v>171</v>
      </c>
      <c r="F3003" s="4">
        <v>0</v>
      </c>
      <c r="G3003" s="4">
        <v>171</v>
      </c>
      <c r="H3003" s="4">
        <v>0</v>
      </c>
    </row>
    <row r="3004" s="1" customFormat="1" ht="14" spans="1:8">
      <c r="A3004" s="2">
        <v>400073205</v>
      </c>
      <c r="B3004" s="2" t="s">
        <v>3693</v>
      </c>
      <c r="C3004" s="3" t="s">
        <v>876</v>
      </c>
      <c r="D3004" s="4">
        <v>0</v>
      </c>
      <c r="E3004" s="4">
        <v>192</v>
      </c>
      <c r="F3004" s="4">
        <v>0</v>
      </c>
      <c r="G3004" s="4">
        <v>192</v>
      </c>
      <c r="H3004" s="4">
        <v>0</v>
      </c>
    </row>
    <row r="3005" s="1" customFormat="1" ht="14" spans="1:8">
      <c r="A3005" s="2">
        <v>400073207</v>
      </c>
      <c r="B3005" s="2" t="s">
        <v>3694</v>
      </c>
      <c r="C3005" s="3" t="s">
        <v>876</v>
      </c>
      <c r="D3005" s="4">
        <v>0</v>
      </c>
      <c r="E3005" s="4">
        <v>205</v>
      </c>
      <c r="F3005" s="4">
        <v>0</v>
      </c>
      <c r="G3005" s="4">
        <v>205</v>
      </c>
      <c r="H3005" s="4">
        <v>0</v>
      </c>
    </row>
    <row r="3006" s="1" customFormat="1" ht="14" spans="1:8">
      <c r="A3006" s="2">
        <v>400073208</v>
      </c>
      <c r="B3006" s="2" t="s">
        <v>3695</v>
      </c>
      <c r="C3006" s="3" t="s">
        <v>876</v>
      </c>
      <c r="D3006" s="4">
        <v>0</v>
      </c>
      <c r="E3006" s="4">
        <v>233</v>
      </c>
      <c r="F3006" s="4">
        <v>0</v>
      </c>
      <c r="G3006" s="4">
        <v>233</v>
      </c>
      <c r="H3006" s="4">
        <v>0</v>
      </c>
    </row>
    <row r="3007" s="1" customFormat="1" ht="14" spans="1:8">
      <c r="A3007" s="2">
        <v>400073215</v>
      </c>
      <c r="B3007" s="2" t="s">
        <v>3696</v>
      </c>
      <c r="C3007" s="3" t="s">
        <v>876</v>
      </c>
      <c r="D3007" s="4">
        <v>0</v>
      </c>
      <c r="E3007" s="4">
        <v>230</v>
      </c>
      <c r="F3007" s="4">
        <v>0</v>
      </c>
      <c r="G3007" s="4">
        <v>230</v>
      </c>
      <c r="H3007" s="4">
        <v>0</v>
      </c>
    </row>
    <row r="3008" s="1" customFormat="1" ht="14" spans="1:8">
      <c r="A3008" s="2">
        <v>400073217</v>
      </c>
      <c r="B3008" s="2" t="s">
        <v>3697</v>
      </c>
      <c r="C3008" s="3" t="s">
        <v>876</v>
      </c>
      <c r="D3008" s="4">
        <v>0</v>
      </c>
      <c r="E3008" s="4">
        <v>247</v>
      </c>
      <c r="F3008" s="4">
        <v>0</v>
      </c>
      <c r="G3008" s="4">
        <v>247</v>
      </c>
      <c r="H3008" s="4">
        <v>0</v>
      </c>
    </row>
    <row r="3009" s="1" customFormat="1" ht="14" spans="1:8">
      <c r="A3009" s="2">
        <v>400073219</v>
      </c>
      <c r="B3009" s="2" t="s">
        <v>3698</v>
      </c>
      <c r="C3009" s="3" t="s">
        <v>876</v>
      </c>
      <c r="D3009" s="4">
        <v>0</v>
      </c>
      <c r="E3009" s="4">
        <v>259</v>
      </c>
      <c r="F3009" s="4">
        <v>0</v>
      </c>
      <c r="G3009" s="4">
        <v>259</v>
      </c>
      <c r="H3009" s="4">
        <v>0</v>
      </c>
    </row>
    <row r="3010" s="1" customFormat="1" ht="14" spans="1:8">
      <c r="A3010" s="2">
        <v>400073220</v>
      </c>
      <c r="B3010" s="2" t="s">
        <v>3699</v>
      </c>
      <c r="C3010" s="3" t="s">
        <v>876</v>
      </c>
      <c r="D3010" s="4">
        <v>0</v>
      </c>
      <c r="E3010" s="4">
        <v>266</v>
      </c>
      <c r="F3010" s="4">
        <v>0</v>
      </c>
      <c r="G3010" s="4">
        <v>266</v>
      </c>
      <c r="H3010" s="4">
        <v>0</v>
      </c>
    </row>
    <row r="3011" s="1" customFormat="1" ht="14" spans="1:8">
      <c r="A3011" s="2">
        <v>400073221</v>
      </c>
      <c r="B3011" s="2" t="s">
        <v>3700</v>
      </c>
      <c r="C3011" s="3" t="s">
        <v>876</v>
      </c>
      <c r="D3011" s="4">
        <v>0</v>
      </c>
      <c r="E3011" s="4">
        <v>288</v>
      </c>
      <c r="F3011" s="4">
        <v>0</v>
      </c>
      <c r="G3011" s="4">
        <v>288</v>
      </c>
      <c r="H3011" s="4">
        <v>0</v>
      </c>
    </row>
    <row r="3012" s="1" customFormat="1" ht="14" spans="1:8">
      <c r="A3012" s="2">
        <v>400073223</v>
      </c>
      <c r="B3012" s="2" t="s">
        <v>3701</v>
      </c>
      <c r="C3012" s="3" t="s">
        <v>876</v>
      </c>
      <c r="D3012" s="4">
        <v>0</v>
      </c>
      <c r="E3012" s="4">
        <v>297</v>
      </c>
      <c r="F3012" s="4">
        <v>0</v>
      </c>
      <c r="G3012" s="4">
        <v>297</v>
      </c>
      <c r="H3012" s="4">
        <v>0</v>
      </c>
    </row>
    <row r="3013" s="1" customFormat="1" ht="14" spans="1:8">
      <c r="A3013" s="2">
        <v>400073229</v>
      </c>
      <c r="B3013" s="2" t="s">
        <v>3702</v>
      </c>
      <c r="C3013" s="3" t="s">
        <v>876</v>
      </c>
      <c r="D3013" s="4">
        <v>0</v>
      </c>
      <c r="E3013" s="4">
        <v>45</v>
      </c>
      <c r="F3013" s="4">
        <v>0</v>
      </c>
      <c r="G3013" s="4">
        <v>45</v>
      </c>
      <c r="H3013" s="4">
        <v>0</v>
      </c>
    </row>
    <row r="3014" s="1" customFormat="1" ht="14" spans="1:8">
      <c r="A3014" s="2">
        <v>400073230</v>
      </c>
      <c r="B3014" s="2" t="s">
        <v>3691</v>
      </c>
      <c r="C3014" s="3" t="s">
        <v>876</v>
      </c>
      <c r="D3014" s="4">
        <v>0</v>
      </c>
      <c r="E3014" s="4">
        <v>152</v>
      </c>
      <c r="F3014" s="4">
        <v>0</v>
      </c>
      <c r="G3014" s="4">
        <v>152</v>
      </c>
      <c r="H3014" s="4">
        <v>0</v>
      </c>
    </row>
    <row r="3015" s="1" customFormat="1" ht="14" spans="1:8">
      <c r="A3015" s="2">
        <v>400073232</v>
      </c>
      <c r="B3015" s="2" t="s">
        <v>3703</v>
      </c>
      <c r="C3015" s="3" t="s">
        <v>843</v>
      </c>
      <c r="D3015" s="4">
        <v>16168.44</v>
      </c>
      <c r="E3015" s="4">
        <v>42</v>
      </c>
      <c r="F3015" s="4">
        <v>679074.48</v>
      </c>
      <c r="G3015" s="4">
        <v>42</v>
      </c>
      <c r="H3015" s="4">
        <v>679074.48</v>
      </c>
    </row>
    <row r="3016" s="1" customFormat="1" ht="14" spans="1:8">
      <c r="A3016" s="2">
        <v>400090014</v>
      </c>
      <c r="B3016" s="2" t="s">
        <v>3704</v>
      </c>
      <c r="C3016" s="3" t="s">
        <v>876</v>
      </c>
      <c r="D3016" s="4">
        <v>18</v>
      </c>
      <c r="E3016" s="4">
        <v>448</v>
      </c>
      <c r="F3016" s="4">
        <v>8064</v>
      </c>
      <c r="G3016" s="4">
        <v>448</v>
      </c>
      <c r="H3016" s="4">
        <v>8064</v>
      </c>
    </row>
    <row r="3017" s="1" customFormat="1" ht="14" spans="1:8">
      <c r="A3017" s="2">
        <v>400091040</v>
      </c>
      <c r="B3017" s="2" t="s">
        <v>3705</v>
      </c>
      <c r="C3017" s="3" t="s">
        <v>824</v>
      </c>
      <c r="D3017" s="4">
        <v>920</v>
      </c>
      <c r="E3017" s="4">
        <v>5.15</v>
      </c>
      <c r="F3017" s="4">
        <v>4738</v>
      </c>
      <c r="G3017" s="4">
        <v>5.15</v>
      </c>
      <c r="H3017" s="4">
        <v>4738</v>
      </c>
    </row>
    <row r="3018" s="1" customFormat="1" ht="14" spans="1:8">
      <c r="A3018" s="2">
        <v>400092110</v>
      </c>
      <c r="B3018" s="2" t="s">
        <v>3706</v>
      </c>
      <c r="C3018" s="3" t="s">
        <v>824</v>
      </c>
      <c r="D3018" s="4">
        <v>36</v>
      </c>
      <c r="E3018" s="4">
        <v>40000</v>
      </c>
      <c r="F3018" s="4">
        <v>1440000</v>
      </c>
      <c r="G3018" s="4">
        <v>40000</v>
      </c>
      <c r="H3018" s="4">
        <v>1440000</v>
      </c>
    </row>
    <row r="3019" s="1" customFormat="1" ht="14" spans="1:8">
      <c r="A3019" s="2">
        <v>400092120</v>
      </c>
      <c r="B3019" s="2" t="s">
        <v>3707</v>
      </c>
      <c r="C3019" s="3" t="s">
        <v>3468</v>
      </c>
      <c r="D3019" s="4">
        <v>1512</v>
      </c>
      <c r="E3019" s="4">
        <v>26.27</v>
      </c>
      <c r="F3019" s="4">
        <v>39720.24</v>
      </c>
      <c r="G3019" s="4">
        <v>26.27</v>
      </c>
      <c r="H3019" s="4">
        <v>39720.24</v>
      </c>
    </row>
    <row r="3020" s="1" customFormat="1" ht="14" spans="1:8">
      <c r="A3020" s="2">
        <v>400092121</v>
      </c>
      <c r="B3020" s="2" t="s">
        <v>3708</v>
      </c>
      <c r="C3020" s="3" t="s">
        <v>3468</v>
      </c>
      <c r="D3020" s="4">
        <v>96</v>
      </c>
      <c r="E3020" s="4">
        <v>6.06</v>
      </c>
      <c r="F3020" s="4">
        <v>581.76</v>
      </c>
      <c r="G3020" s="4">
        <v>6.06</v>
      </c>
      <c r="H3020" s="4">
        <v>581.76</v>
      </c>
    </row>
    <row r="3021" s="1" customFormat="1" ht="14" spans="1:8">
      <c r="A3021" s="2">
        <v>400092123</v>
      </c>
      <c r="B3021" s="2" t="s">
        <v>3709</v>
      </c>
      <c r="C3021" s="3" t="s">
        <v>725</v>
      </c>
      <c r="D3021" s="4">
        <v>180</v>
      </c>
      <c r="E3021" s="4">
        <v>9.6</v>
      </c>
      <c r="F3021" s="4">
        <v>1728</v>
      </c>
      <c r="G3021" s="4">
        <v>9.6</v>
      </c>
      <c r="H3021" s="4">
        <v>1728</v>
      </c>
    </row>
    <row r="3022" s="1" customFormat="1" ht="14" spans="1:8">
      <c r="A3022" s="2">
        <v>400092124</v>
      </c>
      <c r="B3022" s="2" t="s">
        <v>3710</v>
      </c>
      <c r="C3022" s="3" t="s">
        <v>472</v>
      </c>
      <c r="D3022" s="4">
        <v>1800</v>
      </c>
      <c r="E3022" s="4">
        <v>14.12</v>
      </c>
      <c r="F3022" s="4">
        <v>25416</v>
      </c>
      <c r="G3022" s="4">
        <v>14.12</v>
      </c>
      <c r="H3022" s="4">
        <v>25416</v>
      </c>
    </row>
    <row r="3023" s="1" customFormat="1" ht="14" spans="1:8">
      <c r="A3023" s="2">
        <v>400092125</v>
      </c>
      <c r="B3023" s="2" t="s">
        <v>3711</v>
      </c>
      <c r="C3023" s="3" t="s">
        <v>824</v>
      </c>
      <c r="D3023" s="4">
        <v>180</v>
      </c>
      <c r="E3023" s="4">
        <v>55</v>
      </c>
      <c r="F3023" s="4">
        <v>9900</v>
      </c>
      <c r="G3023" s="4">
        <v>55</v>
      </c>
      <c r="H3023" s="4">
        <v>9900</v>
      </c>
    </row>
    <row r="3024" s="1" customFormat="1" ht="14" spans="1:8">
      <c r="A3024" s="2">
        <v>400092126</v>
      </c>
      <c r="B3024" s="2" t="s">
        <v>3712</v>
      </c>
      <c r="C3024" s="3" t="s">
        <v>876</v>
      </c>
      <c r="D3024" s="4">
        <v>270</v>
      </c>
      <c r="E3024" s="4">
        <v>268</v>
      </c>
      <c r="F3024" s="4">
        <v>72360</v>
      </c>
      <c r="G3024" s="4">
        <v>268</v>
      </c>
      <c r="H3024" s="4">
        <v>72360</v>
      </c>
    </row>
    <row r="3025" s="1" customFormat="1" ht="14" spans="1:8">
      <c r="A3025" s="2">
        <v>400092127</v>
      </c>
      <c r="B3025" s="2" t="s">
        <v>3713</v>
      </c>
      <c r="C3025" s="3" t="s">
        <v>876</v>
      </c>
      <c r="D3025" s="4">
        <v>270</v>
      </c>
      <c r="E3025" s="4">
        <v>89</v>
      </c>
      <c r="F3025" s="4">
        <v>24030</v>
      </c>
      <c r="G3025" s="4">
        <v>89</v>
      </c>
      <c r="H3025" s="4">
        <v>24030</v>
      </c>
    </row>
    <row r="3026" s="1" customFormat="1" ht="14" spans="1:8">
      <c r="A3026" s="2">
        <v>400092134</v>
      </c>
      <c r="B3026" s="2" t="s">
        <v>3714</v>
      </c>
      <c r="C3026" s="3" t="s">
        <v>725</v>
      </c>
      <c r="D3026" s="4">
        <v>36</v>
      </c>
      <c r="E3026" s="4">
        <v>8400</v>
      </c>
      <c r="F3026" s="4">
        <v>302400</v>
      </c>
      <c r="G3026" s="4">
        <v>8400</v>
      </c>
      <c r="H3026" s="4">
        <v>302400</v>
      </c>
    </row>
    <row r="3027" s="1" customFormat="1" ht="14" spans="1:8">
      <c r="A3027" s="2">
        <v>400092155</v>
      </c>
      <c r="B3027" s="2" t="s">
        <v>3715</v>
      </c>
      <c r="C3027" s="3" t="s">
        <v>725</v>
      </c>
      <c r="D3027" s="4">
        <v>396</v>
      </c>
      <c r="E3027" s="4">
        <v>3100</v>
      </c>
      <c r="F3027" s="4">
        <v>1227600</v>
      </c>
      <c r="G3027" s="4">
        <v>3100</v>
      </c>
      <c r="H3027" s="4">
        <v>1227600</v>
      </c>
    </row>
    <row r="3028" s="1" customFormat="1" ht="14" spans="1:8">
      <c r="A3028" s="2">
        <v>400092156</v>
      </c>
      <c r="B3028" s="2" t="s">
        <v>3716</v>
      </c>
      <c r="C3028" s="3" t="s">
        <v>725</v>
      </c>
      <c r="D3028" s="4">
        <v>36</v>
      </c>
      <c r="E3028" s="4">
        <v>9800</v>
      </c>
      <c r="F3028" s="4">
        <v>352800</v>
      </c>
      <c r="G3028" s="4">
        <v>9800</v>
      </c>
      <c r="H3028" s="4">
        <v>352800</v>
      </c>
    </row>
    <row r="3029" s="1" customFormat="1" ht="14" spans="1:8">
      <c r="A3029" s="2">
        <v>400092157</v>
      </c>
      <c r="B3029" s="2" t="s">
        <v>3717</v>
      </c>
      <c r="C3029" s="3" t="s">
        <v>725</v>
      </c>
      <c r="D3029" s="4">
        <v>36</v>
      </c>
      <c r="E3029" s="4">
        <v>8200</v>
      </c>
      <c r="F3029" s="4">
        <v>295200</v>
      </c>
      <c r="G3029" s="4">
        <v>8200</v>
      </c>
      <c r="H3029" s="4">
        <v>295200</v>
      </c>
    </row>
    <row r="3030" s="1" customFormat="1" ht="14" spans="1:8">
      <c r="A3030" s="2">
        <v>400092158</v>
      </c>
      <c r="B3030" s="2" t="s">
        <v>3718</v>
      </c>
      <c r="C3030" s="3" t="s">
        <v>472</v>
      </c>
      <c r="D3030" s="4">
        <v>7560</v>
      </c>
      <c r="E3030" s="4">
        <v>30.55</v>
      </c>
      <c r="F3030" s="4">
        <v>230958</v>
      </c>
      <c r="G3030" s="4">
        <v>30.55</v>
      </c>
      <c r="H3030" s="4">
        <v>230958</v>
      </c>
    </row>
    <row r="3031" s="1" customFormat="1" ht="14" spans="1:8">
      <c r="A3031" s="2">
        <v>400092162</v>
      </c>
      <c r="B3031" s="2" t="s">
        <v>3719</v>
      </c>
      <c r="C3031" s="3" t="s">
        <v>876</v>
      </c>
      <c r="D3031" s="4">
        <v>78</v>
      </c>
      <c r="E3031" s="4">
        <v>1560</v>
      </c>
      <c r="F3031" s="4">
        <v>121680</v>
      </c>
      <c r="G3031" s="4">
        <v>1560</v>
      </c>
      <c r="H3031" s="4">
        <v>121680</v>
      </c>
    </row>
    <row r="3032" s="1" customFormat="1" ht="14" spans="1:8">
      <c r="A3032" s="2">
        <v>400100023</v>
      </c>
      <c r="B3032" s="2" t="s">
        <v>3720</v>
      </c>
      <c r="C3032" s="3" t="s">
        <v>3586</v>
      </c>
      <c r="D3032" s="4">
        <v>18</v>
      </c>
      <c r="E3032" s="4">
        <v>17094</v>
      </c>
      <c r="F3032" s="4">
        <v>307692</v>
      </c>
      <c r="G3032" s="4">
        <v>17094</v>
      </c>
      <c r="H3032" s="4">
        <v>307692</v>
      </c>
    </row>
    <row r="3033" s="1" customFormat="1" ht="14" spans="1:8">
      <c r="A3033" s="2">
        <v>400100081</v>
      </c>
      <c r="B3033" s="2" t="s">
        <v>3721</v>
      </c>
      <c r="C3033" s="3" t="s">
        <v>824</v>
      </c>
      <c r="D3033" s="4">
        <v>2</v>
      </c>
      <c r="E3033" s="4">
        <v>7413</v>
      </c>
      <c r="F3033" s="4">
        <v>14826</v>
      </c>
      <c r="G3033" s="4">
        <v>7413</v>
      </c>
      <c r="H3033" s="4">
        <v>14826</v>
      </c>
    </row>
    <row r="3034" s="1" customFormat="1" ht="14" spans="1:8">
      <c r="A3034" s="2">
        <v>400100082</v>
      </c>
      <c r="B3034" s="2" t="s">
        <v>3722</v>
      </c>
      <c r="C3034" s="3" t="s">
        <v>824</v>
      </c>
      <c r="D3034" s="4">
        <v>6</v>
      </c>
      <c r="E3034" s="4">
        <v>500</v>
      </c>
      <c r="F3034" s="4">
        <v>3000</v>
      </c>
      <c r="G3034" s="4">
        <v>500</v>
      </c>
      <c r="H3034" s="4">
        <v>3000</v>
      </c>
    </row>
    <row r="3035" s="1" customFormat="1" ht="14" spans="1:8">
      <c r="A3035" s="2">
        <v>400100108</v>
      </c>
      <c r="B3035" s="2" t="s">
        <v>3723</v>
      </c>
      <c r="C3035" s="3" t="s">
        <v>824</v>
      </c>
      <c r="D3035" s="4">
        <v>12</v>
      </c>
      <c r="E3035" s="4">
        <v>2000</v>
      </c>
      <c r="F3035" s="4">
        <v>24000</v>
      </c>
      <c r="G3035" s="4">
        <v>2000</v>
      </c>
      <c r="H3035" s="4">
        <v>24000</v>
      </c>
    </row>
    <row r="3036" s="1" customFormat="1" ht="14" spans="1:8">
      <c r="A3036" s="2">
        <v>400100124</v>
      </c>
      <c r="B3036" s="2" t="s">
        <v>3724</v>
      </c>
      <c r="C3036" s="3" t="s">
        <v>824</v>
      </c>
      <c r="D3036" s="4">
        <v>1</v>
      </c>
      <c r="E3036" s="4">
        <v>321100.92</v>
      </c>
      <c r="F3036" s="4">
        <v>321100.92</v>
      </c>
      <c r="G3036" s="4">
        <v>321100.92</v>
      </c>
      <c r="H3036" s="4">
        <v>321100.92</v>
      </c>
    </row>
    <row r="3037" s="1" customFormat="1" ht="14" spans="1:8">
      <c r="A3037" s="2">
        <v>400100127</v>
      </c>
      <c r="B3037" s="2" t="s">
        <v>3725</v>
      </c>
      <c r="C3037" s="3" t="s">
        <v>824</v>
      </c>
      <c r="D3037" s="4">
        <v>2</v>
      </c>
      <c r="E3037" s="4">
        <v>20000</v>
      </c>
      <c r="F3037" s="4">
        <v>40000</v>
      </c>
      <c r="G3037" s="4">
        <v>20000</v>
      </c>
      <c r="H3037" s="4">
        <v>40000</v>
      </c>
    </row>
    <row r="3038" s="1" customFormat="1" ht="14" spans="1:8">
      <c r="A3038" s="2">
        <v>400100128</v>
      </c>
      <c r="B3038" s="2" t="s">
        <v>3726</v>
      </c>
      <c r="C3038" s="3" t="s">
        <v>824</v>
      </c>
      <c r="D3038" s="4">
        <v>360</v>
      </c>
      <c r="E3038" s="4">
        <v>500</v>
      </c>
      <c r="F3038" s="4">
        <v>180000</v>
      </c>
      <c r="G3038" s="4">
        <v>500</v>
      </c>
      <c r="H3038" s="4">
        <v>180000</v>
      </c>
    </row>
    <row r="3039" s="1" customFormat="1" ht="14" spans="1:8">
      <c r="A3039" s="2">
        <v>400100129</v>
      </c>
      <c r="B3039" s="2" t="s">
        <v>3727</v>
      </c>
      <c r="C3039" s="3" t="s">
        <v>679</v>
      </c>
      <c r="D3039" s="4">
        <v>1654</v>
      </c>
      <c r="E3039" s="4">
        <v>100</v>
      </c>
      <c r="F3039" s="4">
        <v>165400</v>
      </c>
      <c r="G3039" s="4">
        <v>100</v>
      </c>
      <c r="H3039" s="4">
        <v>165400</v>
      </c>
    </row>
    <row r="3040" s="1" customFormat="1" ht="14" spans="1:8">
      <c r="A3040" s="2">
        <v>400100130</v>
      </c>
      <c r="B3040" s="2" t="s">
        <v>3728</v>
      </c>
      <c r="C3040" s="3" t="s">
        <v>824</v>
      </c>
      <c r="D3040" s="4">
        <v>5</v>
      </c>
      <c r="E3040" s="4">
        <v>30000</v>
      </c>
      <c r="F3040" s="4">
        <v>150000</v>
      </c>
      <c r="G3040" s="4">
        <v>30000</v>
      </c>
      <c r="H3040" s="4">
        <v>150000</v>
      </c>
    </row>
    <row r="3041" s="1" customFormat="1" ht="14" spans="1:8">
      <c r="A3041" s="2">
        <v>400100131</v>
      </c>
      <c r="B3041" s="2" t="s">
        <v>3729</v>
      </c>
      <c r="C3041" s="3" t="s">
        <v>3031</v>
      </c>
      <c r="D3041" s="4">
        <v>120000</v>
      </c>
      <c r="E3041" s="4">
        <v>1</v>
      </c>
      <c r="F3041" s="4">
        <v>120000</v>
      </c>
      <c r="G3041" s="4">
        <v>1</v>
      </c>
      <c r="H3041" s="4">
        <v>120000</v>
      </c>
    </row>
    <row r="3042" s="1" customFormat="1" ht="14" spans="1:8">
      <c r="A3042" s="2">
        <v>400100132</v>
      </c>
      <c r="B3042" s="2" t="s">
        <v>3730</v>
      </c>
      <c r="C3042" s="3" t="s">
        <v>824</v>
      </c>
      <c r="D3042" s="4">
        <v>3</v>
      </c>
      <c r="E3042" s="4">
        <v>37.9</v>
      </c>
      <c r="F3042" s="4">
        <v>113.7</v>
      </c>
      <c r="G3042" s="4">
        <v>37.9</v>
      </c>
      <c r="H3042" s="4">
        <v>113.7</v>
      </c>
    </row>
    <row r="3043" s="1" customFormat="1" ht="14" spans="1:8">
      <c r="A3043" s="2">
        <v>400100133</v>
      </c>
      <c r="B3043" s="2" t="s">
        <v>3731</v>
      </c>
      <c r="C3043" s="3" t="s">
        <v>824</v>
      </c>
      <c r="D3043" s="4">
        <v>902</v>
      </c>
      <c r="E3043" s="4">
        <v>28.12</v>
      </c>
      <c r="F3043" s="4">
        <v>25364.24</v>
      </c>
      <c r="G3043" s="4">
        <v>28.12</v>
      </c>
      <c r="H3043" s="4">
        <v>25364.24</v>
      </c>
    </row>
    <row r="3044" s="1" customFormat="1" ht="14" spans="1:8">
      <c r="A3044" s="2">
        <v>400100134</v>
      </c>
      <c r="B3044" s="2" t="s">
        <v>3732</v>
      </c>
      <c r="C3044" s="3">
        <v>1</v>
      </c>
      <c r="D3044" s="4">
        <v>56</v>
      </c>
      <c r="E3044" s="4">
        <v>67.78</v>
      </c>
      <c r="F3044" s="4">
        <v>3795.68</v>
      </c>
      <c r="G3044" s="4">
        <v>67.78</v>
      </c>
      <c r="H3044" s="4">
        <v>3795.68</v>
      </c>
    </row>
    <row r="3045" s="1" customFormat="1" ht="14" spans="1:8">
      <c r="A3045" s="2">
        <v>400100137</v>
      </c>
      <c r="B3045" s="2" t="s">
        <v>3733</v>
      </c>
      <c r="C3045" s="3" t="s">
        <v>472</v>
      </c>
      <c r="D3045" s="4">
        <v>18.36</v>
      </c>
      <c r="E3045" s="4">
        <v>46.02</v>
      </c>
      <c r="F3045" s="4">
        <v>844.93</v>
      </c>
      <c r="G3045" s="4">
        <v>46.02</v>
      </c>
      <c r="H3045" s="4">
        <v>844.93</v>
      </c>
    </row>
    <row r="3046" s="1" customFormat="1" ht="14" spans="1:8">
      <c r="A3046" s="2">
        <v>400100138</v>
      </c>
      <c r="B3046" s="2" t="s">
        <v>3734</v>
      </c>
      <c r="C3046" s="3" t="s">
        <v>472</v>
      </c>
      <c r="D3046" s="4">
        <v>61.2</v>
      </c>
      <c r="E3046" s="4">
        <v>59.13</v>
      </c>
      <c r="F3046" s="4">
        <v>3618.76</v>
      </c>
      <c r="G3046" s="4">
        <v>59.13</v>
      </c>
      <c r="H3046" s="4">
        <v>3618.76</v>
      </c>
    </row>
    <row r="3047" s="1" customFormat="1" ht="14" spans="1:8">
      <c r="A3047" s="2">
        <v>400100139</v>
      </c>
      <c r="B3047" s="2" t="s">
        <v>3735</v>
      </c>
      <c r="C3047" s="3" t="s">
        <v>472</v>
      </c>
      <c r="D3047" s="4">
        <v>10.2</v>
      </c>
      <c r="E3047" s="4">
        <v>81.75</v>
      </c>
      <c r="F3047" s="4">
        <v>833.85</v>
      </c>
      <c r="G3047" s="4">
        <v>81.75</v>
      </c>
      <c r="H3047" s="4">
        <v>833.85</v>
      </c>
    </row>
    <row r="3048" s="1" customFormat="1" ht="14" spans="1:8">
      <c r="A3048" s="2">
        <v>400100140</v>
      </c>
      <c r="B3048" s="2" t="s">
        <v>3736</v>
      </c>
      <c r="C3048" s="3" t="s">
        <v>472</v>
      </c>
      <c r="D3048" s="4">
        <v>30.6</v>
      </c>
      <c r="E3048" s="4">
        <v>97.7</v>
      </c>
      <c r="F3048" s="4">
        <v>2989.62</v>
      </c>
      <c r="G3048" s="4">
        <v>97.7</v>
      </c>
      <c r="H3048" s="4">
        <v>2989.62</v>
      </c>
    </row>
    <row r="3049" s="1" customFormat="1" ht="14" spans="1:8">
      <c r="A3049" s="2">
        <v>400100142</v>
      </c>
      <c r="B3049" s="2" t="s">
        <v>3737</v>
      </c>
      <c r="C3049" s="3" t="s">
        <v>824</v>
      </c>
      <c r="D3049" s="4">
        <v>9</v>
      </c>
      <c r="E3049" s="4">
        <v>150</v>
      </c>
      <c r="F3049" s="4">
        <v>1350</v>
      </c>
      <c r="G3049" s="4">
        <v>150</v>
      </c>
      <c r="H3049" s="4">
        <v>1350</v>
      </c>
    </row>
    <row r="3050" s="1" customFormat="1" ht="14" spans="1:8">
      <c r="A3050" s="2">
        <v>400100144</v>
      </c>
      <c r="B3050" s="2" t="s">
        <v>3738</v>
      </c>
      <c r="C3050" s="3" t="s">
        <v>824</v>
      </c>
      <c r="D3050" s="4">
        <v>261</v>
      </c>
      <c r="E3050" s="4">
        <v>375.38</v>
      </c>
      <c r="F3050" s="4">
        <v>97974.18</v>
      </c>
      <c r="G3050" s="4">
        <v>375.38</v>
      </c>
      <c r="H3050" s="4">
        <v>97974.18</v>
      </c>
    </row>
    <row r="3051" s="1" customFormat="1" ht="14" spans="1:8">
      <c r="A3051" s="2">
        <v>400100145</v>
      </c>
      <c r="B3051" s="2" t="s">
        <v>3739</v>
      </c>
      <c r="C3051" s="3" t="s">
        <v>824</v>
      </c>
      <c r="D3051" s="4">
        <v>39</v>
      </c>
      <c r="E3051" s="4">
        <v>40.67</v>
      </c>
      <c r="F3051" s="4">
        <v>1586.13</v>
      </c>
      <c r="G3051" s="4">
        <v>40.67</v>
      </c>
      <c r="H3051" s="4">
        <v>1586.13</v>
      </c>
    </row>
    <row r="3052" s="1" customFormat="1" ht="14" spans="1:8">
      <c r="A3052" s="2">
        <v>400100146</v>
      </c>
      <c r="B3052" s="2" t="s">
        <v>3730</v>
      </c>
      <c r="C3052" s="3" t="s">
        <v>824</v>
      </c>
      <c r="D3052" s="4">
        <v>84</v>
      </c>
      <c r="E3052" s="4">
        <v>83.03</v>
      </c>
      <c r="F3052" s="4">
        <v>6974.52</v>
      </c>
      <c r="G3052" s="4">
        <v>83.03</v>
      </c>
      <c r="H3052" s="4">
        <v>6974.52</v>
      </c>
    </row>
    <row r="3053" s="1" customFormat="1" ht="14" spans="1:8">
      <c r="A3053" s="2">
        <v>400100147</v>
      </c>
      <c r="B3053" s="2" t="s">
        <v>3740</v>
      </c>
      <c r="C3053" s="3" t="s">
        <v>824</v>
      </c>
      <c r="D3053" s="4">
        <v>125</v>
      </c>
      <c r="E3053" s="4">
        <v>149.32</v>
      </c>
      <c r="F3053" s="4">
        <v>18665</v>
      </c>
      <c r="G3053" s="4">
        <v>149.32</v>
      </c>
      <c r="H3053" s="4">
        <v>18665</v>
      </c>
    </row>
    <row r="3054" s="1" customFormat="1" ht="14" spans="1:8">
      <c r="A3054" s="2">
        <v>400100148</v>
      </c>
      <c r="B3054" s="2" t="s">
        <v>3741</v>
      </c>
      <c r="C3054" s="3" t="s">
        <v>824</v>
      </c>
      <c r="D3054" s="4">
        <v>73</v>
      </c>
      <c r="E3054" s="4">
        <v>239.54</v>
      </c>
      <c r="F3054" s="4">
        <v>17486.42</v>
      </c>
      <c r="G3054" s="4">
        <v>239.54</v>
      </c>
      <c r="H3054" s="4">
        <v>17486.42</v>
      </c>
    </row>
    <row r="3055" s="1" customFormat="1" ht="14" spans="1:8">
      <c r="A3055" s="2">
        <v>400100149</v>
      </c>
      <c r="B3055" s="2" t="s">
        <v>3742</v>
      </c>
      <c r="C3055" s="3" t="s">
        <v>3468</v>
      </c>
      <c r="D3055" s="4">
        <v>530.4</v>
      </c>
      <c r="E3055" s="4">
        <v>26.22</v>
      </c>
      <c r="F3055" s="4">
        <v>13907.05</v>
      </c>
      <c r="G3055" s="4">
        <v>26.22</v>
      </c>
      <c r="H3055" s="4">
        <v>13907.05</v>
      </c>
    </row>
    <row r="3056" s="1" customFormat="1" ht="14" spans="1:8">
      <c r="A3056" s="2">
        <v>400100150</v>
      </c>
      <c r="B3056" s="2" t="s">
        <v>3743</v>
      </c>
      <c r="C3056" s="3" t="s">
        <v>3468</v>
      </c>
      <c r="D3056" s="4">
        <v>1051.62</v>
      </c>
      <c r="E3056" s="4">
        <v>16.83</v>
      </c>
      <c r="F3056" s="4">
        <v>17698.81</v>
      </c>
      <c r="G3056" s="4">
        <v>16.83</v>
      </c>
      <c r="H3056" s="4">
        <v>17698.81</v>
      </c>
    </row>
    <row r="3057" s="1" customFormat="1" ht="14" spans="1:8">
      <c r="A3057" s="2">
        <v>400100151</v>
      </c>
      <c r="B3057" s="2" t="s">
        <v>3744</v>
      </c>
      <c r="C3057" s="3" t="s">
        <v>3468</v>
      </c>
      <c r="D3057" s="4">
        <v>667.08</v>
      </c>
      <c r="E3057" s="4">
        <v>10.52</v>
      </c>
      <c r="F3057" s="4">
        <v>7017.65</v>
      </c>
      <c r="G3057" s="4">
        <v>10.52</v>
      </c>
      <c r="H3057" s="4">
        <v>7017.65</v>
      </c>
    </row>
    <row r="3058" s="1" customFormat="1" ht="14" spans="1:8">
      <c r="A3058" s="2">
        <v>400100152</v>
      </c>
      <c r="B3058" s="2" t="s">
        <v>3745</v>
      </c>
      <c r="C3058" s="3" t="s">
        <v>3468</v>
      </c>
      <c r="D3058" s="4">
        <v>520.96</v>
      </c>
      <c r="E3058" s="4">
        <v>8.43</v>
      </c>
      <c r="F3058" s="4">
        <v>4391.78</v>
      </c>
      <c r="G3058" s="4">
        <v>8.43</v>
      </c>
      <c r="H3058" s="4">
        <v>4391.78</v>
      </c>
    </row>
    <row r="3059" s="1" customFormat="1" ht="14" spans="1:8">
      <c r="A3059" s="2">
        <v>400100153</v>
      </c>
      <c r="B3059" s="2" t="s">
        <v>3746</v>
      </c>
      <c r="C3059" s="3" t="s">
        <v>824</v>
      </c>
      <c r="D3059" s="4">
        <v>165</v>
      </c>
      <c r="E3059" s="4">
        <v>129.32</v>
      </c>
      <c r="F3059" s="4">
        <v>21337.8</v>
      </c>
      <c r="G3059" s="4">
        <v>129.32</v>
      </c>
      <c r="H3059" s="4">
        <v>21337.8</v>
      </c>
    </row>
    <row r="3060" s="1" customFormat="1" ht="14" spans="1:8">
      <c r="A3060" s="2">
        <v>400100154</v>
      </c>
      <c r="B3060" s="2" t="s">
        <v>3747</v>
      </c>
      <c r="C3060" s="3" t="s">
        <v>3468</v>
      </c>
      <c r="D3060" s="4">
        <v>223.38</v>
      </c>
      <c r="E3060" s="4">
        <v>8.4</v>
      </c>
      <c r="F3060" s="4">
        <v>1876.38</v>
      </c>
      <c r="G3060" s="4">
        <v>8.4</v>
      </c>
      <c r="H3060" s="4">
        <v>1876.38</v>
      </c>
    </row>
    <row r="3061" s="1" customFormat="1" ht="14" spans="1:8">
      <c r="A3061" s="2">
        <v>400100155</v>
      </c>
      <c r="B3061" s="2" t="s">
        <v>3748</v>
      </c>
      <c r="C3061" s="3" t="s">
        <v>725</v>
      </c>
      <c r="D3061" s="4">
        <v>315</v>
      </c>
      <c r="E3061" s="4">
        <v>39.55</v>
      </c>
      <c r="F3061" s="4">
        <v>12458.25</v>
      </c>
      <c r="G3061" s="4">
        <v>39.55</v>
      </c>
      <c r="H3061" s="4">
        <v>12458.25</v>
      </c>
    </row>
    <row r="3062" s="1" customFormat="1" ht="14" spans="1:8">
      <c r="A3062" s="2">
        <v>400100156</v>
      </c>
      <c r="B3062" s="2" t="s">
        <v>3749</v>
      </c>
      <c r="C3062" s="3" t="s">
        <v>824</v>
      </c>
      <c r="D3062" s="4">
        <v>31</v>
      </c>
      <c r="E3062" s="4">
        <v>2490</v>
      </c>
      <c r="F3062" s="4">
        <v>77190</v>
      </c>
      <c r="G3062" s="4">
        <v>2490</v>
      </c>
      <c r="H3062" s="4">
        <v>77190</v>
      </c>
    </row>
    <row r="3063" s="1" customFormat="1" ht="14" spans="1:8">
      <c r="A3063" s="2">
        <v>400100157</v>
      </c>
      <c r="B3063" s="2" t="s">
        <v>3750</v>
      </c>
      <c r="C3063" s="3" t="s">
        <v>824</v>
      </c>
      <c r="D3063" s="4">
        <v>38</v>
      </c>
      <c r="E3063" s="4">
        <v>300</v>
      </c>
      <c r="F3063" s="4">
        <v>11400</v>
      </c>
      <c r="G3063" s="4">
        <v>300</v>
      </c>
      <c r="H3063" s="4">
        <v>11400</v>
      </c>
    </row>
    <row r="3064" s="1" customFormat="1" ht="14" spans="1:8">
      <c r="A3064" s="2">
        <v>400100158</v>
      </c>
      <c r="B3064" s="2" t="s">
        <v>3751</v>
      </c>
      <c r="C3064" s="3" t="s">
        <v>824</v>
      </c>
      <c r="D3064" s="4">
        <v>97.09</v>
      </c>
      <c r="E3064" s="4">
        <v>300</v>
      </c>
      <c r="F3064" s="4">
        <v>29127</v>
      </c>
      <c r="G3064" s="4">
        <v>300</v>
      </c>
      <c r="H3064" s="4">
        <v>29127</v>
      </c>
    </row>
    <row r="3065" s="1" customFormat="1" ht="14" spans="1:8">
      <c r="A3065" s="2">
        <v>400100159</v>
      </c>
      <c r="B3065" s="2" t="s">
        <v>3752</v>
      </c>
      <c r="C3065" s="3" t="s">
        <v>3468</v>
      </c>
      <c r="D3065" s="4">
        <v>1377</v>
      </c>
      <c r="E3065" s="4">
        <v>36.17</v>
      </c>
      <c r="F3065" s="4">
        <v>49806.06</v>
      </c>
      <c r="G3065" s="4">
        <v>36.17</v>
      </c>
      <c r="H3065" s="4">
        <v>49806.06</v>
      </c>
    </row>
    <row r="3066" s="1" customFormat="1" ht="14" spans="1:8">
      <c r="A3066" s="2">
        <v>400100160</v>
      </c>
      <c r="B3066" s="2" t="s">
        <v>3753</v>
      </c>
      <c r="C3066" s="3" t="s">
        <v>3468</v>
      </c>
      <c r="D3066" s="4">
        <v>543.66</v>
      </c>
      <c r="E3066" s="4">
        <v>21.56</v>
      </c>
      <c r="F3066" s="4">
        <v>11721.27</v>
      </c>
      <c r="G3066" s="4">
        <v>21.56</v>
      </c>
      <c r="H3066" s="4">
        <v>11721.27</v>
      </c>
    </row>
    <row r="3067" s="1" customFormat="1" ht="14" spans="1:8">
      <c r="A3067" s="2">
        <v>400100162</v>
      </c>
      <c r="B3067" s="2" t="s">
        <v>3754</v>
      </c>
      <c r="C3067" s="3" t="s">
        <v>824</v>
      </c>
      <c r="D3067" s="4">
        <v>6</v>
      </c>
      <c r="E3067" s="4">
        <v>1500</v>
      </c>
      <c r="F3067" s="4">
        <v>9000</v>
      </c>
      <c r="G3067" s="4">
        <v>1500</v>
      </c>
      <c r="H3067" s="4">
        <v>9000</v>
      </c>
    </row>
    <row r="3068" s="1" customFormat="1" ht="14" spans="1:8">
      <c r="A3068" s="2">
        <v>400100163</v>
      </c>
      <c r="B3068" s="2" t="s">
        <v>3755</v>
      </c>
      <c r="C3068" s="3" t="s">
        <v>876</v>
      </c>
      <c r="D3068" s="4">
        <v>6</v>
      </c>
      <c r="E3068" s="4">
        <v>5000</v>
      </c>
      <c r="F3068" s="4">
        <v>30000</v>
      </c>
      <c r="G3068" s="4">
        <v>5000</v>
      </c>
      <c r="H3068" s="4">
        <v>30000</v>
      </c>
    </row>
    <row r="3069" s="1" customFormat="1" ht="14" spans="1:8">
      <c r="A3069" s="2">
        <v>400100164</v>
      </c>
      <c r="B3069" s="2" t="s">
        <v>3756</v>
      </c>
      <c r="C3069" s="3" t="s">
        <v>824</v>
      </c>
      <c r="D3069" s="4">
        <v>49</v>
      </c>
      <c r="E3069" s="4">
        <v>57.63</v>
      </c>
      <c r="F3069" s="4">
        <v>2823.87</v>
      </c>
      <c r="G3069" s="4">
        <v>57.63</v>
      </c>
      <c r="H3069" s="4">
        <v>2823.87</v>
      </c>
    </row>
    <row r="3070" s="1" customFormat="1" ht="14" spans="1:8">
      <c r="A3070" s="2">
        <v>400100165</v>
      </c>
      <c r="B3070" s="2" t="s">
        <v>3757</v>
      </c>
      <c r="C3070" s="3" t="s">
        <v>3468</v>
      </c>
      <c r="D3070" s="4">
        <v>380.46</v>
      </c>
      <c r="E3070" s="4">
        <v>92</v>
      </c>
      <c r="F3070" s="4">
        <v>35002.32</v>
      </c>
      <c r="G3070" s="4">
        <v>92</v>
      </c>
      <c r="H3070" s="4">
        <v>35002.32</v>
      </c>
    </row>
    <row r="3071" s="1" customFormat="1" ht="14" spans="1:8">
      <c r="A3071" s="2">
        <v>400100166</v>
      </c>
      <c r="B3071" s="2" t="s">
        <v>3758</v>
      </c>
      <c r="C3071" s="3" t="s">
        <v>52</v>
      </c>
      <c r="D3071" s="4">
        <v>3090</v>
      </c>
      <c r="E3071" s="4">
        <v>7</v>
      </c>
      <c r="F3071" s="4">
        <v>21630</v>
      </c>
      <c r="G3071" s="4">
        <v>7</v>
      </c>
      <c r="H3071" s="4">
        <v>21630</v>
      </c>
    </row>
    <row r="3072" s="1" customFormat="1" ht="14" spans="1:8">
      <c r="A3072" s="2">
        <v>400100167</v>
      </c>
      <c r="B3072" s="2" t="s">
        <v>3759</v>
      </c>
      <c r="C3072" s="3" t="s">
        <v>45</v>
      </c>
      <c r="D3072" s="4">
        <v>26.3</v>
      </c>
      <c r="E3072" s="4">
        <v>501</v>
      </c>
      <c r="F3072" s="4">
        <v>13176.3</v>
      </c>
      <c r="G3072" s="4">
        <v>501</v>
      </c>
      <c r="H3072" s="4">
        <v>13176.3</v>
      </c>
    </row>
    <row r="3073" s="1" customFormat="1" ht="14" spans="1:8">
      <c r="A3073" s="2">
        <v>400100168</v>
      </c>
      <c r="B3073" s="2" t="s">
        <v>3760</v>
      </c>
      <c r="C3073" s="3" t="s">
        <v>876</v>
      </c>
      <c r="D3073" s="4">
        <v>20</v>
      </c>
      <c r="E3073" s="4">
        <v>5000</v>
      </c>
      <c r="F3073" s="4">
        <v>100000</v>
      </c>
      <c r="G3073" s="4">
        <v>5000</v>
      </c>
      <c r="H3073" s="4">
        <v>100000</v>
      </c>
    </row>
    <row r="3074" s="1" customFormat="1" ht="14" spans="1:8">
      <c r="A3074" s="2">
        <v>400100169</v>
      </c>
      <c r="B3074" s="2" t="s">
        <v>3761</v>
      </c>
      <c r="C3074" s="3" t="s">
        <v>824</v>
      </c>
      <c r="D3074" s="4">
        <v>10</v>
      </c>
      <c r="E3074" s="4">
        <v>251.28</v>
      </c>
      <c r="F3074" s="4">
        <v>2512.8</v>
      </c>
      <c r="G3074" s="4">
        <v>251.28</v>
      </c>
      <c r="H3074" s="4">
        <v>2512.8</v>
      </c>
    </row>
    <row r="3075" s="1" customFormat="1" ht="14" spans="1:8">
      <c r="A3075" s="2">
        <v>400100170</v>
      </c>
      <c r="B3075" s="2" t="s">
        <v>3762</v>
      </c>
      <c r="C3075" s="3" t="s">
        <v>3468</v>
      </c>
      <c r="D3075" s="4">
        <v>311.1</v>
      </c>
      <c r="E3075" s="4">
        <v>47.84</v>
      </c>
      <c r="F3075" s="4">
        <v>14883.04</v>
      </c>
      <c r="G3075" s="4">
        <v>47.84</v>
      </c>
      <c r="H3075" s="4">
        <v>14883.04</v>
      </c>
    </row>
    <row r="3076" s="1" customFormat="1" ht="14" spans="1:8">
      <c r="A3076" s="2">
        <v>400100171</v>
      </c>
      <c r="B3076" s="2" t="s">
        <v>3763</v>
      </c>
      <c r="C3076" s="3" t="s">
        <v>3468</v>
      </c>
      <c r="D3076" s="4">
        <v>1152.6</v>
      </c>
      <c r="E3076" s="4">
        <v>12.9</v>
      </c>
      <c r="F3076" s="4">
        <v>14868.54</v>
      </c>
      <c r="G3076" s="4">
        <v>12.9</v>
      </c>
      <c r="H3076" s="4">
        <v>14868.54</v>
      </c>
    </row>
    <row r="3077" s="1" customFormat="1" ht="14" spans="1:8">
      <c r="A3077" s="2">
        <v>400100172</v>
      </c>
      <c r="B3077" s="2" t="s">
        <v>3764</v>
      </c>
      <c r="C3077" s="3" t="s">
        <v>824</v>
      </c>
      <c r="D3077" s="4">
        <v>47</v>
      </c>
      <c r="E3077" s="4">
        <v>251.52</v>
      </c>
      <c r="F3077" s="4">
        <v>11821.44</v>
      </c>
      <c r="G3077" s="4">
        <v>251.52</v>
      </c>
      <c r="H3077" s="4">
        <v>11821.44</v>
      </c>
    </row>
    <row r="3078" s="1" customFormat="1" ht="14" spans="1:8">
      <c r="A3078" s="2">
        <v>400100173</v>
      </c>
      <c r="B3078" s="2" t="s">
        <v>3765</v>
      </c>
      <c r="C3078" s="3" t="s">
        <v>824</v>
      </c>
      <c r="D3078" s="4">
        <v>53</v>
      </c>
      <c r="E3078" s="4">
        <v>325</v>
      </c>
      <c r="F3078" s="4">
        <v>17225</v>
      </c>
      <c r="G3078" s="4">
        <v>325</v>
      </c>
      <c r="H3078" s="4">
        <v>17225</v>
      </c>
    </row>
    <row r="3079" s="1" customFormat="1" ht="14" spans="1:8">
      <c r="A3079" s="2">
        <v>400100174</v>
      </c>
      <c r="B3079" s="2" t="s">
        <v>3766</v>
      </c>
      <c r="C3079" s="3" t="s">
        <v>824</v>
      </c>
      <c r="D3079" s="4">
        <v>13</v>
      </c>
      <c r="E3079" s="4">
        <v>589</v>
      </c>
      <c r="F3079" s="4">
        <v>7657</v>
      </c>
      <c r="G3079" s="4">
        <v>589</v>
      </c>
      <c r="H3079" s="4">
        <v>7657</v>
      </c>
    </row>
    <row r="3080" s="1" customFormat="1" ht="14" spans="1:8">
      <c r="A3080" s="2">
        <v>400100175</v>
      </c>
      <c r="B3080" s="2" t="s">
        <v>3767</v>
      </c>
      <c r="C3080" s="3" t="s">
        <v>876</v>
      </c>
      <c r="D3080" s="4">
        <v>490</v>
      </c>
      <c r="E3080" s="4">
        <v>1600</v>
      </c>
      <c r="F3080" s="4">
        <v>784000</v>
      </c>
      <c r="G3080" s="4">
        <v>1600</v>
      </c>
      <c r="H3080" s="4">
        <v>784000</v>
      </c>
    </row>
    <row r="3081" s="1" customFormat="1" ht="14" spans="1:8">
      <c r="A3081" s="2">
        <v>400100176</v>
      </c>
      <c r="B3081" s="2" t="s">
        <v>3768</v>
      </c>
      <c r="C3081" s="3" t="s">
        <v>824</v>
      </c>
      <c r="D3081" s="4">
        <v>627</v>
      </c>
      <c r="E3081" s="4">
        <v>93.5</v>
      </c>
      <c r="F3081" s="4">
        <v>58624.5</v>
      </c>
      <c r="G3081" s="4">
        <v>93.5</v>
      </c>
      <c r="H3081" s="4">
        <v>58624.5</v>
      </c>
    </row>
    <row r="3082" s="1" customFormat="1" ht="14" spans="1:8">
      <c r="A3082" s="2">
        <v>400100178</v>
      </c>
      <c r="B3082" s="2" t="s">
        <v>3769</v>
      </c>
      <c r="C3082" s="3" t="s">
        <v>824</v>
      </c>
      <c r="D3082" s="4">
        <v>1002</v>
      </c>
      <c r="E3082" s="4">
        <v>53.82</v>
      </c>
      <c r="F3082" s="4">
        <v>53927.64</v>
      </c>
      <c r="G3082" s="4">
        <v>53.82</v>
      </c>
      <c r="H3082" s="4">
        <v>53927.64</v>
      </c>
    </row>
    <row r="3083" s="1" customFormat="1" ht="14" spans="1:8">
      <c r="A3083" s="2">
        <v>400100179</v>
      </c>
      <c r="B3083" s="2" t="s">
        <v>3770</v>
      </c>
      <c r="C3083" s="3" t="s">
        <v>3468</v>
      </c>
      <c r="D3083" s="4">
        <v>163.2</v>
      </c>
      <c r="E3083" s="4">
        <v>150</v>
      </c>
      <c r="F3083" s="4">
        <v>24480</v>
      </c>
      <c r="G3083" s="4">
        <v>150</v>
      </c>
      <c r="H3083" s="4">
        <v>24480</v>
      </c>
    </row>
    <row r="3084" s="1" customFormat="1" ht="14" spans="1:8">
      <c r="A3084" s="2">
        <v>400100180</v>
      </c>
      <c r="B3084" s="2" t="s">
        <v>3771</v>
      </c>
      <c r="C3084" s="3" t="s">
        <v>824</v>
      </c>
      <c r="D3084" s="4">
        <v>77</v>
      </c>
      <c r="E3084" s="4">
        <v>152.56</v>
      </c>
      <c r="F3084" s="4">
        <v>11747.12</v>
      </c>
      <c r="G3084" s="4">
        <v>152.56</v>
      </c>
      <c r="H3084" s="4">
        <v>11747.12</v>
      </c>
    </row>
    <row r="3085" s="1" customFormat="1" ht="14" spans="1:8">
      <c r="A3085" s="2">
        <v>400100181</v>
      </c>
      <c r="B3085" s="2" t="s">
        <v>3772</v>
      </c>
      <c r="C3085" s="3" t="s">
        <v>824</v>
      </c>
      <c r="D3085" s="4">
        <v>19</v>
      </c>
      <c r="E3085" s="4">
        <v>321.28</v>
      </c>
      <c r="F3085" s="4">
        <v>6104.32</v>
      </c>
      <c r="G3085" s="4">
        <v>321.28</v>
      </c>
      <c r="H3085" s="4">
        <v>6104.32</v>
      </c>
    </row>
    <row r="3086" s="1" customFormat="1" ht="14" spans="1:8">
      <c r="A3086" s="2">
        <v>400100182</v>
      </c>
      <c r="B3086" s="2" t="s">
        <v>3773</v>
      </c>
      <c r="C3086" s="3" t="s">
        <v>824</v>
      </c>
      <c r="D3086" s="4">
        <v>9</v>
      </c>
      <c r="E3086" s="4">
        <v>575.38</v>
      </c>
      <c r="F3086" s="4">
        <v>5178.42</v>
      </c>
      <c r="G3086" s="4">
        <v>575.38</v>
      </c>
      <c r="H3086" s="4">
        <v>5178.42</v>
      </c>
    </row>
    <row r="3087" s="1" customFormat="1" ht="14" spans="1:8">
      <c r="A3087" s="2">
        <v>400100183</v>
      </c>
      <c r="B3087" s="2" t="s">
        <v>3774</v>
      </c>
      <c r="C3087" s="3" t="s">
        <v>824</v>
      </c>
      <c r="D3087" s="4">
        <v>3</v>
      </c>
      <c r="E3087" s="4">
        <v>321</v>
      </c>
      <c r="F3087" s="4">
        <v>963</v>
      </c>
      <c r="G3087" s="4">
        <v>321</v>
      </c>
      <c r="H3087" s="4">
        <v>963</v>
      </c>
    </row>
    <row r="3088" s="1" customFormat="1" ht="14" spans="1:8">
      <c r="A3088" s="2">
        <v>400100184</v>
      </c>
      <c r="B3088" s="2" t="s">
        <v>3775</v>
      </c>
      <c r="C3088" s="3" t="s">
        <v>824</v>
      </c>
      <c r="D3088" s="4">
        <v>24</v>
      </c>
      <c r="E3088" s="4">
        <v>200</v>
      </c>
      <c r="F3088" s="4">
        <v>4800</v>
      </c>
      <c r="G3088" s="4">
        <v>200</v>
      </c>
      <c r="H3088" s="4">
        <v>4800</v>
      </c>
    </row>
    <row r="3089" s="1" customFormat="1" ht="14" spans="1:8">
      <c r="A3089" s="2">
        <v>400100185</v>
      </c>
      <c r="B3089" s="2" t="s">
        <v>3776</v>
      </c>
      <c r="C3089" s="3" t="s">
        <v>824</v>
      </c>
      <c r="D3089" s="4">
        <v>12</v>
      </c>
      <c r="E3089" s="4">
        <v>950</v>
      </c>
      <c r="F3089" s="4">
        <v>11400</v>
      </c>
      <c r="G3089" s="4">
        <v>950</v>
      </c>
      <c r="H3089" s="4">
        <v>11400</v>
      </c>
    </row>
    <row r="3090" s="1" customFormat="1" ht="14" spans="1:8">
      <c r="A3090" s="2">
        <v>400100186</v>
      </c>
      <c r="B3090" s="2" t="s">
        <v>3777</v>
      </c>
      <c r="C3090" s="3" t="s">
        <v>3468</v>
      </c>
      <c r="D3090" s="4">
        <v>173.15</v>
      </c>
      <c r="E3090" s="4">
        <v>1128</v>
      </c>
      <c r="F3090" s="4">
        <v>195310.94</v>
      </c>
      <c r="G3090" s="4">
        <v>1128</v>
      </c>
      <c r="H3090" s="4">
        <v>195310.94</v>
      </c>
    </row>
    <row r="3091" s="1" customFormat="1" ht="14" spans="1:8">
      <c r="A3091" s="2">
        <v>400100187</v>
      </c>
      <c r="B3091" s="2" t="s">
        <v>3778</v>
      </c>
      <c r="C3091" s="3" t="s">
        <v>824</v>
      </c>
      <c r="D3091" s="4">
        <v>18.18</v>
      </c>
      <c r="E3091" s="4">
        <v>220</v>
      </c>
      <c r="F3091" s="4">
        <v>3999.6</v>
      </c>
      <c r="G3091" s="4">
        <v>220</v>
      </c>
      <c r="H3091" s="4">
        <v>3999.6</v>
      </c>
    </row>
    <row r="3092" s="1" customFormat="1" ht="14" spans="1:8">
      <c r="A3092" s="2">
        <v>400100188</v>
      </c>
      <c r="B3092" s="2" t="s">
        <v>3779</v>
      </c>
      <c r="C3092" s="3" t="s">
        <v>824</v>
      </c>
      <c r="D3092" s="4">
        <v>8</v>
      </c>
      <c r="E3092" s="4">
        <v>55</v>
      </c>
      <c r="F3092" s="4">
        <v>440</v>
      </c>
      <c r="G3092" s="4">
        <v>55</v>
      </c>
      <c r="H3092" s="4">
        <v>440</v>
      </c>
    </row>
    <row r="3093" s="1" customFormat="1" ht="28" spans="1:8">
      <c r="A3093" s="2">
        <v>400100189</v>
      </c>
      <c r="B3093" s="2" t="s">
        <v>3780</v>
      </c>
      <c r="C3093" s="3" t="s">
        <v>824</v>
      </c>
      <c r="D3093" s="4">
        <v>5</v>
      </c>
      <c r="E3093" s="4">
        <v>704.36</v>
      </c>
      <c r="F3093" s="4">
        <v>3521.8</v>
      </c>
      <c r="G3093" s="4">
        <v>704.36</v>
      </c>
      <c r="H3093" s="4">
        <v>3521.8</v>
      </c>
    </row>
    <row r="3094" s="1" customFormat="1" ht="28" spans="1:8">
      <c r="A3094" s="2">
        <v>400100190</v>
      </c>
      <c r="B3094" s="2" t="s">
        <v>3781</v>
      </c>
      <c r="C3094" s="3" t="s">
        <v>824</v>
      </c>
      <c r="D3094" s="4">
        <v>37</v>
      </c>
      <c r="E3094" s="4">
        <v>540</v>
      </c>
      <c r="F3094" s="4">
        <v>19980</v>
      </c>
      <c r="G3094" s="4">
        <v>540</v>
      </c>
      <c r="H3094" s="4">
        <v>19980</v>
      </c>
    </row>
    <row r="3095" s="1" customFormat="1" ht="14" spans="1:8">
      <c r="A3095" s="2">
        <v>400100191</v>
      </c>
      <c r="B3095" s="2" t="s">
        <v>3782</v>
      </c>
      <c r="C3095" s="3" t="s">
        <v>3468</v>
      </c>
      <c r="D3095" s="4">
        <v>285.6</v>
      </c>
      <c r="E3095" s="4">
        <v>85</v>
      </c>
      <c r="F3095" s="4">
        <v>24276</v>
      </c>
      <c r="G3095" s="4">
        <v>85</v>
      </c>
      <c r="H3095" s="4">
        <v>24276</v>
      </c>
    </row>
    <row r="3096" s="1" customFormat="1" ht="14" spans="1:8">
      <c r="A3096" s="2">
        <v>400100192</v>
      </c>
      <c r="B3096" s="2" t="s">
        <v>3783</v>
      </c>
      <c r="C3096" s="3" t="s">
        <v>3468</v>
      </c>
      <c r="D3096" s="4">
        <v>81.6</v>
      </c>
      <c r="E3096" s="4">
        <v>28</v>
      </c>
      <c r="F3096" s="4">
        <v>2284.8</v>
      </c>
      <c r="G3096" s="4">
        <v>28</v>
      </c>
      <c r="H3096" s="4">
        <v>2284.8</v>
      </c>
    </row>
    <row r="3097" s="1" customFormat="1" ht="14" spans="1:8">
      <c r="A3097" s="2">
        <v>400100193</v>
      </c>
      <c r="B3097" s="2" t="s">
        <v>3784</v>
      </c>
      <c r="C3097" s="3" t="s">
        <v>824</v>
      </c>
      <c r="D3097" s="4">
        <v>8</v>
      </c>
      <c r="E3097" s="4">
        <v>700</v>
      </c>
      <c r="F3097" s="4">
        <v>5600</v>
      </c>
      <c r="G3097" s="4">
        <v>700</v>
      </c>
      <c r="H3097" s="4">
        <v>5600</v>
      </c>
    </row>
    <row r="3098" s="1" customFormat="1" ht="14" spans="1:8">
      <c r="A3098" s="2">
        <v>400100194</v>
      </c>
      <c r="B3098" s="2" t="s">
        <v>3785</v>
      </c>
      <c r="C3098" s="3" t="s">
        <v>824</v>
      </c>
      <c r="D3098" s="4">
        <v>20</v>
      </c>
      <c r="E3098" s="4">
        <v>200</v>
      </c>
      <c r="F3098" s="4">
        <v>4000</v>
      </c>
      <c r="G3098" s="4">
        <v>200</v>
      </c>
      <c r="H3098" s="4">
        <v>4000</v>
      </c>
    </row>
    <row r="3099" s="1" customFormat="1" ht="14" spans="1:8">
      <c r="A3099" s="2">
        <v>400100195</v>
      </c>
      <c r="B3099" s="2" t="s">
        <v>3786</v>
      </c>
      <c r="C3099" s="3" t="s">
        <v>824</v>
      </c>
      <c r="D3099" s="4">
        <v>6</v>
      </c>
      <c r="E3099" s="4">
        <v>300</v>
      </c>
      <c r="F3099" s="4">
        <v>1800</v>
      </c>
      <c r="G3099" s="4">
        <v>300</v>
      </c>
      <c r="H3099" s="4">
        <v>1800</v>
      </c>
    </row>
    <row r="3100" s="1" customFormat="1" ht="14" spans="1:8">
      <c r="A3100" s="2">
        <v>400100196</v>
      </c>
      <c r="B3100" s="2" t="s">
        <v>3787</v>
      </c>
      <c r="C3100" s="3" t="s">
        <v>679</v>
      </c>
      <c r="D3100" s="4">
        <v>622.05</v>
      </c>
      <c r="E3100" s="4">
        <v>247</v>
      </c>
      <c r="F3100" s="4">
        <v>153646.6</v>
      </c>
      <c r="G3100" s="4">
        <v>247</v>
      </c>
      <c r="H3100" s="4">
        <v>153646.6</v>
      </c>
    </row>
    <row r="3101" s="1" customFormat="1" ht="14" spans="1:8">
      <c r="A3101" s="2">
        <v>400100197</v>
      </c>
      <c r="B3101" s="2" t="s">
        <v>3788</v>
      </c>
      <c r="C3101" s="3" t="s">
        <v>824</v>
      </c>
      <c r="D3101" s="4">
        <v>4</v>
      </c>
      <c r="E3101" s="4">
        <v>2654.86</v>
      </c>
      <c r="F3101" s="4">
        <v>10619.44</v>
      </c>
      <c r="G3101" s="4">
        <v>2654.86</v>
      </c>
      <c r="H3101" s="4">
        <v>10619.44</v>
      </c>
    </row>
    <row r="3102" s="1" customFormat="1" ht="14" spans="1:8">
      <c r="A3102" s="2">
        <v>400100198</v>
      </c>
      <c r="B3102" s="2" t="s">
        <v>3789</v>
      </c>
      <c r="C3102" s="3" t="s">
        <v>824</v>
      </c>
      <c r="D3102" s="4">
        <v>13</v>
      </c>
      <c r="E3102" s="4">
        <v>1954.86</v>
      </c>
      <c r="F3102" s="4">
        <v>25413.18</v>
      </c>
      <c r="G3102" s="4">
        <v>1954.86</v>
      </c>
      <c r="H3102" s="4">
        <v>25413.18</v>
      </c>
    </row>
    <row r="3103" s="1" customFormat="1" ht="14" spans="1:8">
      <c r="A3103" s="2">
        <v>400100199</v>
      </c>
      <c r="B3103" s="2" t="s">
        <v>3790</v>
      </c>
      <c r="C3103" s="3" t="s">
        <v>824</v>
      </c>
      <c r="D3103" s="4">
        <v>8</v>
      </c>
      <c r="E3103" s="4">
        <v>4601.77</v>
      </c>
      <c r="F3103" s="4">
        <v>36814.16</v>
      </c>
      <c r="G3103" s="4">
        <v>4601.77</v>
      </c>
      <c r="H3103" s="4">
        <v>36814.16</v>
      </c>
    </row>
    <row r="3104" s="1" customFormat="1" ht="14" spans="1:8">
      <c r="A3104" s="2">
        <v>400100200</v>
      </c>
      <c r="B3104" s="2" t="s">
        <v>3791</v>
      </c>
      <c r="C3104" s="3" t="s">
        <v>824</v>
      </c>
      <c r="D3104" s="4">
        <v>416</v>
      </c>
      <c r="E3104" s="4">
        <v>171.68</v>
      </c>
      <c r="F3104" s="4">
        <v>71418.88</v>
      </c>
      <c r="G3104" s="4">
        <v>171.68</v>
      </c>
      <c r="H3104" s="4">
        <v>71418.88</v>
      </c>
    </row>
    <row r="3105" s="1" customFormat="1" ht="14" spans="1:8">
      <c r="A3105" s="2">
        <v>400100201</v>
      </c>
      <c r="B3105" s="2" t="s">
        <v>3792</v>
      </c>
      <c r="C3105" s="3" t="s">
        <v>824</v>
      </c>
      <c r="D3105" s="4">
        <v>19</v>
      </c>
      <c r="E3105" s="4">
        <v>291.6</v>
      </c>
      <c r="F3105" s="4">
        <v>5540.4</v>
      </c>
      <c r="G3105" s="4">
        <v>291.6</v>
      </c>
      <c r="H3105" s="4">
        <v>5540.4</v>
      </c>
    </row>
    <row r="3106" s="1" customFormat="1" ht="14" spans="1:8">
      <c r="A3106" s="2">
        <v>400100203</v>
      </c>
      <c r="B3106" s="2" t="s">
        <v>3793</v>
      </c>
      <c r="C3106" s="3" t="s">
        <v>824</v>
      </c>
      <c r="D3106" s="4">
        <v>139</v>
      </c>
      <c r="E3106" s="4">
        <v>461.7</v>
      </c>
      <c r="F3106" s="4">
        <v>64176.3</v>
      </c>
      <c r="G3106" s="4">
        <v>461.7</v>
      </c>
      <c r="H3106" s="4">
        <v>64176.3</v>
      </c>
    </row>
    <row r="3107" s="1" customFormat="1" ht="14" spans="1:8">
      <c r="A3107" s="2">
        <v>400100204</v>
      </c>
      <c r="B3107" s="2" t="s">
        <v>3794</v>
      </c>
      <c r="C3107" s="3" t="s">
        <v>824</v>
      </c>
      <c r="D3107" s="4">
        <v>82</v>
      </c>
      <c r="E3107" s="4">
        <v>611.7</v>
      </c>
      <c r="F3107" s="4">
        <v>50159.4</v>
      </c>
      <c r="G3107" s="4">
        <v>611.7</v>
      </c>
      <c r="H3107" s="4">
        <v>50159.4</v>
      </c>
    </row>
    <row r="3108" s="1" customFormat="1" ht="14" spans="1:8">
      <c r="A3108" s="2">
        <v>400100205</v>
      </c>
      <c r="B3108" s="2" t="s">
        <v>3795</v>
      </c>
      <c r="C3108" s="3" t="s">
        <v>824</v>
      </c>
      <c r="D3108" s="4">
        <v>88</v>
      </c>
      <c r="E3108" s="4">
        <v>778</v>
      </c>
      <c r="F3108" s="4">
        <v>68464</v>
      </c>
      <c r="G3108" s="4">
        <v>778</v>
      </c>
      <c r="H3108" s="4">
        <v>68464</v>
      </c>
    </row>
    <row r="3109" s="1" customFormat="1" ht="14" spans="1:8">
      <c r="A3109" s="2">
        <v>400100206</v>
      </c>
      <c r="B3109" s="2" t="s">
        <v>3796</v>
      </c>
      <c r="C3109" s="3" t="s">
        <v>824</v>
      </c>
      <c r="D3109" s="4">
        <v>28</v>
      </c>
      <c r="E3109" s="4">
        <v>205</v>
      </c>
      <c r="F3109" s="4">
        <v>5740</v>
      </c>
      <c r="G3109" s="4">
        <v>205</v>
      </c>
      <c r="H3109" s="4">
        <v>5740</v>
      </c>
    </row>
    <row r="3110" s="1" customFormat="1" ht="14" spans="1:8">
      <c r="A3110" s="2">
        <v>400100207</v>
      </c>
      <c r="B3110" s="2" t="s">
        <v>3797</v>
      </c>
      <c r="C3110" s="3" t="s">
        <v>824</v>
      </c>
      <c r="D3110" s="4">
        <v>82</v>
      </c>
      <c r="E3110" s="4">
        <v>177.99</v>
      </c>
      <c r="F3110" s="4">
        <v>14595.18</v>
      </c>
      <c r="G3110" s="4">
        <v>177.99</v>
      </c>
      <c r="H3110" s="4">
        <v>14595.18</v>
      </c>
    </row>
    <row r="3111" s="1" customFormat="1" ht="14" spans="1:8">
      <c r="A3111" s="2">
        <v>400100208</v>
      </c>
      <c r="B3111" s="2" t="s">
        <v>3798</v>
      </c>
      <c r="C3111" s="3" t="s">
        <v>824</v>
      </c>
      <c r="D3111" s="4">
        <v>62</v>
      </c>
      <c r="E3111" s="4">
        <v>300.85</v>
      </c>
      <c r="F3111" s="4">
        <v>18652.7</v>
      </c>
      <c r="G3111" s="4">
        <v>300.85</v>
      </c>
      <c r="H3111" s="4">
        <v>18652.7</v>
      </c>
    </row>
    <row r="3112" s="1" customFormat="1" ht="14" spans="1:8">
      <c r="A3112" s="2">
        <v>400100209</v>
      </c>
      <c r="B3112" s="2" t="s">
        <v>3799</v>
      </c>
      <c r="C3112" s="3" t="s">
        <v>824</v>
      </c>
      <c r="D3112" s="4">
        <v>55</v>
      </c>
      <c r="E3112" s="4">
        <v>456</v>
      </c>
      <c r="F3112" s="4">
        <v>25080</v>
      </c>
      <c r="G3112" s="4">
        <v>456</v>
      </c>
      <c r="H3112" s="4">
        <v>25080</v>
      </c>
    </row>
    <row r="3113" s="1" customFormat="1" ht="14" spans="1:8">
      <c r="A3113" s="2">
        <v>400100210</v>
      </c>
      <c r="B3113" s="2" t="s">
        <v>3800</v>
      </c>
      <c r="C3113" s="3" t="s">
        <v>824</v>
      </c>
      <c r="D3113" s="4">
        <v>152</v>
      </c>
      <c r="E3113" s="4">
        <v>350</v>
      </c>
      <c r="F3113" s="4">
        <v>53200</v>
      </c>
      <c r="G3113" s="4">
        <v>350</v>
      </c>
      <c r="H3113" s="4">
        <v>53200</v>
      </c>
    </row>
    <row r="3114" s="1" customFormat="1" ht="14" spans="1:8">
      <c r="A3114" s="2">
        <v>400100211</v>
      </c>
      <c r="B3114" s="2" t="s">
        <v>3801</v>
      </c>
      <c r="C3114" s="3" t="s">
        <v>97</v>
      </c>
      <c r="D3114" s="4">
        <v>866.05</v>
      </c>
      <c r="E3114" s="4">
        <v>761.06</v>
      </c>
      <c r="F3114" s="4">
        <v>659115.99</v>
      </c>
      <c r="G3114" s="4">
        <v>761.06</v>
      </c>
      <c r="H3114" s="4">
        <v>659115.99</v>
      </c>
    </row>
    <row r="3115" s="1" customFormat="1" ht="14" spans="1:8">
      <c r="A3115" s="2">
        <v>400100212</v>
      </c>
      <c r="B3115" s="2" t="s">
        <v>3802</v>
      </c>
      <c r="C3115" s="3" t="s">
        <v>824</v>
      </c>
      <c r="D3115" s="4">
        <v>23</v>
      </c>
      <c r="E3115" s="4">
        <v>888</v>
      </c>
      <c r="F3115" s="4">
        <v>20424</v>
      </c>
      <c r="G3115" s="4">
        <v>888</v>
      </c>
      <c r="H3115" s="4">
        <v>20424</v>
      </c>
    </row>
    <row r="3116" s="1" customFormat="1" ht="14" spans="1:8">
      <c r="A3116" s="2">
        <v>400100213</v>
      </c>
      <c r="B3116" s="2" t="s">
        <v>3803</v>
      </c>
      <c r="C3116" s="3" t="s">
        <v>824</v>
      </c>
      <c r="D3116" s="4">
        <v>25</v>
      </c>
      <c r="E3116" s="4">
        <v>1024</v>
      </c>
      <c r="F3116" s="4">
        <v>25600</v>
      </c>
      <c r="G3116" s="4">
        <v>1024</v>
      </c>
      <c r="H3116" s="4">
        <v>25600</v>
      </c>
    </row>
    <row r="3117" s="1" customFormat="1" ht="14" spans="1:8">
      <c r="A3117" s="2">
        <v>400100214</v>
      </c>
      <c r="B3117" s="2" t="s">
        <v>3804</v>
      </c>
      <c r="C3117" s="3" t="s">
        <v>3468</v>
      </c>
      <c r="D3117" s="4">
        <v>91.8</v>
      </c>
      <c r="E3117" s="4">
        <v>57.68</v>
      </c>
      <c r="F3117" s="4">
        <v>5295.02</v>
      </c>
      <c r="G3117" s="4">
        <v>57.68</v>
      </c>
      <c r="H3117" s="4">
        <v>5295.02</v>
      </c>
    </row>
    <row r="3118" s="1" customFormat="1" ht="14" spans="1:8">
      <c r="A3118" s="2">
        <v>400100215</v>
      </c>
      <c r="B3118" s="2" t="s">
        <v>3805</v>
      </c>
      <c r="C3118" s="3" t="s">
        <v>824</v>
      </c>
      <c r="D3118" s="4">
        <v>20.2</v>
      </c>
      <c r="E3118" s="4">
        <v>350</v>
      </c>
      <c r="F3118" s="4">
        <v>7070</v>
      </c>
      <c r="G3118" s="4">
        <v>350</v>
      </c>
      <c r="H3118" s="4">
        <v>7070</v>
      </c>
    </row>
    <row r="3119" s="1" customFormat="1" ht="14" spans="1:8">
      <c r="A3119" s="2">
        <v>400100216</v>
      </c>
      <c r="B3119" s="2" t="s">
        <v>3806</v>
      </c>
      <c r="C3119" s="3" t="s">
        <v>824</v>
      </c>
      <c r="D3119" s="4">
        <v>29</v>
      </c>
      <c r="E3119" s="4">
        <v>1379</v>
      </c>
      <c r="F3119" s="4">
        <v>39991</v>
      </c>
      <c r="G3119" s="4">
        <v>1379</v>
      </c>
      <c r="H3119" s="4">
        <v>39991</v>
      </c>
    </row>
    <row r="3120" s="1" customFormat="1" ht="14" spans="1:8">
      <c r="A3120" s="2">
        <v>400100217</v>
      </c>
      <c r="B3120" s="2" t="s">
        <v>3807</v>
      </c>
      <c r="C3120" s="3" t="s">
        <v>824</v>
      </c>
      <c r="D3120" s="4">
        <v>21</v>
      </c>
      <c r="E3120" s="4">
        <v>2304</v>
      </c>
      <c r="F3120" s="4">
        <v>48384</v>
      </c>
      <c r="G3120" s="4">
        <v>2304</v>
      </c>
      <c r="H3120" s="4">
        <v>48384</v>
      </c>
    </row>
    <row r="3121" s="1" customFormat="1" ht="14" spans="1:8">
      <c r="A3121" s="2">
        <v>400100218</v>
      </c>
      <c r="B3121" s="2" t="s">
        <v>3808</v>
      </c>
      <c r="C3121" s="3" t="s">
        <v>824</v>
      </c>
      <c r="D3121" s="4">
        <v>1</v>
      </c>
      <c r="E3121" s="4">
        <v>183</v>
      </c>
      <c r="F3121" s="4">
        <v>183</v>
      </c>
      <c r="G3121" s="4">
        <v>183</v>
      </c>
      <c r="H3121" s="4">
        <v>183</v>
      </c>
    </row>
    <row r="3122" s="1" customFormat="1" ht="14" spans="1:8">
      <c r="A3122" s="2">
        <v>400100222</v>
      </c>
      <c r="B3122" s="2" t="s">
        <v>3809</v>
      </c>
      <c r="C3122" s="3" t="s">
        <v>97</v>
      </c>
      <c r="D3122" s="4">
        <v>146</v>
      </c>
      <c r="E3122" s="4">
        <v>858</v>
      </c>
      <c r="F3122" s="4">
        <v>125268</v>
      </c>
      <c r="G3122" s="4">
        <v>858</v>
      </c>
      <c r="H3122" s="4">
        <v>125268</v>
      </c>
    </row>
    <row r="3123" s="1" customFormat="1" ht="14" spans="1:8">
      <c r="A3123" s="2">
        <v>400100223</v>
      </c>
      <c r="B3123" s="2" t="s">
        <v>3810</v>
      </c>
      <c r="C3123" s="3" t="s">
        <v>876</v>
      </c>
      <c r="D3123" s="4">
        <v>12</v>
      </c>
      <c r="E3123" s="4">
        <v>897</v>
      </c>
      <c r="F3123" s="4">
        <v>10764</v>
      </c>
      <c r="G3123" s="4">
        <v>897</v>
      </c>
      <c r="H3123" s="4">
        <v>10764</v>
      </c>
    </row>
    <row r="3124" s="1" customFormat="1" ht="14" spans="1:8">
      <c r="A3124" s="2">
        <v>400100225</v>
      </c>
      <c r="B3124" s="2" t="s">
        <v>3811</v>
      </c>
      <c r="C3124" s="3" t="s">
        <v>59</v>
      </c>
      <c r="D3124" s="4">
        <v>206</v>
      </c>
      <c r="E3124" s="4">
        <v>200</v>
      </c>
      <c r="F3124" s="4">
        <v>41200</v>
      </c>
      <c r="G3124" s="4">
        <v>200</v>
      </c>
      <c r="H3124" s="4">
        <v>41200</v>
      </c>
    </row>
    <row r="3125" s="1" customFormat="1" ht="14" spans="1:8">
      <c r="A3125" s="2">
        <v>400100226</v>
      </c>
      <c r="B3125" s="2" t="s">
        <v>3812</v>
      </c>
      <c r="C3125" s="3" t="s">
        <v>472</v>
      </c>
      <c r="D3125" s="4">
        <v>1780.31</v>
      </c>
      <c r="E3125" s="4">
        <v>56</v>
      </c>
      <c r="F3125" s="4">
        <v>99697.36</v>
      </c>
      <c r="G3125" s="4">
        <v>56</v>
      </c>
      <c r="H3125" s="4">
        <v>99697.36</v>
      </c>
    </row>
    <row r="3126" s="1" customFormat="1" ht="14" spans="1:8">
      <c r="A3126" s="2">
        <v>400100227</v>
      </c>
      <c r="B3126" s="2" t="s">
        <v>3813</v>
      </c>
      <c r="C3126" s="3" t="s">
        <v>472</v>
      </c>
      <c r="D3126" s="4">
        <v>299.43</v>
      </c>
      <c r="E3126" s="4">
        <v>82</v>
      </c>
      <c r="F3126" s="4">
        <v>24552.85</v>
      </c>
      <c r="G3126" s="4">
        <v>82</v>
      </c>
      <c r="H3126" s="4">
        <v>24552.85</v>
      </c>
    </row>
    <row r="3127" s="1" customFormat="1" ht="14" spans="1:8">
      <c r="A3127" s="2">
        <v>400100228</v>
      </c>
      <c r="B3127" s="2" t="s">
        <v>3814</v>
      </c>
      <c r="C3127" s="3" t="s">
        <v>472</v>
      </c>
      <c r="D3127" s="4">
        <v>710.5</v>
      </c>
      <c r="E3127" s="4">
        <v>108</v>
      </c>
      <c r="F3127" s="4">
        <v>76734</v>
      </c>
      <c r="G3127" s="4">
        <v>108</v>
      </c>
      <c r="H3127" s="4">
        <v>76734</v>
      </c>
    </row>
    <row r="3128" s="1" customFormat="1" ht="14" spans="1:8">
      <c r="A3128" s="2">
        <v>400100229</v>
      </c>
      <c r="B3128" s="2" t="s">
        <v>3815</v>
      </c>
      <c r="C3128" s="3" t="s">
        <v>472</v>
      </c>
      <c r="D3128" s="4">
        <v>1231.2</v>
      </c>
      <c r="E3128" s="4">
        <v>128.6</v>
      </c>
      <c r="F3128" s="4">
        <v>158332.32</v>
      </c>
      <c r="G3128" s="4">
        <v>128.6</v>
      </c>
      <c r="H3128" s="4">
        <v>158332.32</v>
      </c>
    </row>
    <row r="3129" s="1" customFormat="1" ht="14" spans="1:8">
      <c r="A3129" s="2">
        <v>400100230</v>
      </c>
      <c r="B3129" s="2" t="s">
        <v>3816</v>
      </c>
      <c r="C3129" s="3" t="s">
        <v>472</v>
      </c>
      <c r="D3129" s="4">
        <v>1770.16</v>
      </c>
      <c r="E3129" s="4">
        <v>215.6</v>
      </c>
      <c r="F3129" s="4">
        <v>381646.49</v>
      </c>
      <c r="G3129" s="4">
        <v>215.6</v>
      </c>
      <c r="H3129" s="4">
        <v>381646.49</v>
      </c>
    </row>
    <row r="3130" s="1" customFormat="1" ht="14" spans="1:8">
      <c r="A3130" s="2">
        <v>400100231</v>
      </c>
      <c r="B3130" s="2" t="s">
        <v>3817</v>
      </c>
      <c r="C3130" s="3" t="s">
        <v>472</v>
      </c>
      <c r="D3130" s="4">
        <v>771.4</v>
      </c>
      <c r="E3130" s="4">
        <v>265</v>
      </c>
      <c r="F3130" s="4">
        <v>204421</v>
      </c>
      <c r="G3130" s="4">
        <v>265</v>
      </c>
      <c r="H3130" s="4">
        <v>204421</v>
      </c>
    </row>
    <row r="3131" s="1" customFormat="1" ht="14" spans="1:8">
      <c r="A3131" s="2">
        <v>400100232</v>
      </c>
      <c r="B3131" s="2" t="s">
        <v>3818</v>
      </c>
      <c r="C3131" s="3" t="s">
        <v>3819</v>
      </c>
      <c r="D3131" s="4">
        <v>38</v>
      </c>
      <c r="E3131" s="4">
        <v>19500</v>
      </c>
      <c r="F3131" s="4">
        <v>741000</v>
      </c>
      <c r="G3131" s="4">
        <v>19500</v>
      </c>
      <c r="H3131" s="4">
        <v>741000</v>
      </c>
    </row>
    <row r="3132" s="1" customFormat="1" ht="14" spans="1:8">
      <c r="A3132" s="2">
        <v>400100233</v>
      </c>
      <c r="B3132" s="2" t="s">
        <v>3820</v>
      </c>
      <c r="C3132" s="3" t="s">
        <v>876</v>
      </c>
      <c r="D3132" s="4">
        <v>35</v>
      </c>
      <c r="E3132" s="4">
        <v>3500</v>
      </c>
      <c r="F3132" s="4">
        <v>122500</v>
      </c>
      <c r="G3132" s="4">
        <v>3500</v>
      </c>
      <c r="H3132" s="4">
        <v>122500</v>
      </c>
    </row>
    <row r="3133" s="1" customFormat="1" ht="14" spans="1:8">
      <c r="A3133" s="2">
        <v>400100234</v>
      </c>
      <c r="B3133" s="2" t="s">
        <v>3821</v>
      </c>
      <c r="C3133" s="3" t="s">
        <v>472</v>
      </c>
      <c r="D3133" s="4">
        <v>203</v>
      </c>
      <c r="E3133" s="4">
        <v>342</v>
      </c>
      <c r="F3133" s="4">
        <v>69426</v>
      </c>
      <c r="G3133" s="4">
        <v>342</v>
      </c>
      <c r="H3133" s="4">
        <v>69426</v>
      </c>
    </row>
    <row r="3134" s="1" customFormat="1" ht="14" spans="1:8">
      <c r="A3134" s="2">
        <v>400100235</v>
      </c>
      <c r="B3134" s="2" t="s">
        <v>3822</v>
      </c>
      <c r="C3134" s="3" t="s">
        <v>472</v>
      </c>
      <c r="D3134" s="4">
        <v>1475.81</v>
      </c>
      <c r="E3134" s="4">
        <v>483</v>
      </c>
      <c r="F3134" s="4">
        <v>712816.23</v>
      </c>
      <c r="G3134" s="4">
        <v>483</v>
      </c>
      <c r="H3134" s="4">
        <v>712816.23</v>
      </c>
    </row>
    <row r="3135" s="1" customFormat="1" ht="14" spans="1:8">
      <c r="A3135" s="2">
        <v>400100236</v>
      </c>
      <c r="B3135" s="2" t="s">
        <v>3823</v>
      </c>
      <c r="C3135" s="3" t="s">
        <v>824</v>
      </c>
      <c r="D3135" s="4">
        <v>1</v>
      </c>
      <c r="E3135" s="4">
        <v>500</v>
      </c>
      <c r="F3135" s="4">
        <v>500</v>
      </c>
      <c r="G3135" s="4">
        <v>500</v>
      </c>
      <c r="H3135" s="4">
        <v>500</v>
      </c>
    </row>
    <row r="3136" s="1" customFormat="1" ht="14" spans="1:8">
      <c r="A3136" s="2">
        <v>400100238</v>
      </c>
      <c r="B3136" s="2" t="s">
        <v>3824</v>
      </c>
      <c r="C3136" s="3" t="s">
        <v>3468</v>
      </c>
      <c r="D3136" s="4">
        <v>81.6</v>
      </c>
      <c r="E3136" s="4">
        <v>75.12</v>
      </c>
      <c r="F3136" s="4">
        <v>6129.79</v>
      </c>
      <c r="G3136" s="4">
        <v>75.12</v>
      </c>
      <c r="H3136" s="4">
        <v>6129.79</v>
      </c>
    </row>
    <row r="3137" s="1" customFormat="1" ht="14" spans="1:8">
      <c r="A3137" s="2">
        <v>400100239</v>
      </c>
      <c r="B3137" s="2" t="s">
        <v>3825</v>
      </c>
      <c r="C3137" s="3" t="s">
        <v>824</v>
      </c>
      <c r="D3137" s="4">
        <v>1</v>
      </c>
      <c r="E3137" s="4">
        <v>900</v>
      </c>
      <c r="F3137" s="4">
        <v>900</v>
      </c>
      <c r="G3137" s="4">
        <v>900</v>
      </c>
      <c r="H3137" s="4">
        <v>900</v>
      </c>
    </row>
    <row r="3138" s="1" customFormat="1" ht="14" spans="1:8">
      <c r="A3138" s="2">
        <v>400100240</v>
      </c>
      <c r="B3138" s="2" t="s">
        <v>3826</v>
      </c>
      <c r="C3138" s="3" t="s">
        <v>824</v>
      </c>
      <c r="D3138" s="4">
        <v>2</v>
      </c>
      <c r="E3138" s="4">
        <v>3000</v>
      </c>
      <c r="F3138" s="4">
        <v>6000</v>
      </c>
      <c r="G3138" s="4">
        <v>3000</v>
      </c>
      <c r="H3138" s="4">
        <v>6000</v>
      </c>
    </row>
    <row r="3139" s="1" customFormat="1" ht="14" spans="1:8">
      <c r="A3139" s="2">
        <v>400100242</v>
      </c>
      <c r="B3139" s="2" t="s">
        <v>3827</v>
      </c>
      <c r="C3139" s="3" t="s">
        <v>824</v>
      </c>
      <c r="D3139" s="4">
        <v>2</v>
      </c>
      <c r="E3139" s="4">
        <v>1500</v>
      </c>
      <c r="F3139" s="4">
        <v>3000</v>
      </c>
      <c r="G3139" s="4">
        <v>1500</v>
      </c>
      <c r="H3139" s="4">
        <v>3000</v>
      </c>
    </row>
    <row r="3140" s="1" customFormat="1" ht="14" spans="1:8">
      <c r="A3140" s="2">
        <v>400100243</v>
      </c>
      <c r="B3140" s="2" t="s">
        <v>3828</v>
      </c>
      <c r="C3140" s="3" t="s">
        <v>824</v>
      </c>
      <c r="D3140" s="4">
        <v>1</v>
      </c>
      <c r="E3140" s="4">
        <v>1600</v>
      </c>
      <c r="F3140" s="4">
        <v>1600</v>
      </c>
      <c r="G3140" s="4">
        <v>1600</v>
      </c>
      <c r="H3140" s="4">
        <v>1600</v>
      </c>
    </row>
    <row r="3141" s="1" customFormat="1" ht="14" spans="1:8">
      <c r="A3141" s="2">
        <v>400100244</v>
      </c>
      <c r="B3141" s="2" t="s">
        <v>3829</v>
      </c>
      <c r="C3141" s="3" t="s">
        <v>824</v>
      </c>
      <c r="D3141" s="4">
        <v>2</v>
      </c>
      <c r="E3141" s="4">
        <v>800</v>
      </c>
      <c r="F3141" s="4">
        <v>1600</v>
      </c>
      <c r="G3141" s="4">
        <v>800</v>
      </c>
      <c r="H3141" s="4">
        <v>1600</v>
      </c>
    </row>
    <row r="3142" s="1" customFormat="1" ht="14" spans="1:8">
      <c r="A3142" s="2">
        <v>400100245</v>
      </c>
      <c r="B3142" s="2" t="s">
        <v>3830</v>
      </c>
      <c r="C3142" s="3" t="s">
        <v>3553</v>
      </c>
      <c r="D3142" s="4">
        <v>33</v>
      </c>
      <c r="E3142" s="4">
        <v>10000</v>
      </c>
      <c r="F3142" s="4">
        <v>330000</v>
      </c>
      <c r="G3142" s="4">
        <v>10000</v>
      </c>
      <c r="H3142" s="4">
        <v>330000</v>
      </c>
    </row>
    <row r="3143" s="1" customFormat="1" ht="14" spans="1:8">
      <c r="A3143" s="2">
        <v>400100246</v>
      </c>
      <c r="B3143" s="2" t="s">
        <v>3831</v>
      </c>
      <c r="C3143" s="3" t="s">
        <v>52</v>
      </c>
      <c r="D3143" s="4">
        <v>6445.78</v>
      </c>
      <c r="E3143" s="4">
        <v>73.72</v>
      </c>
      <c r="F3143" s="4">
        <v>475183.19</v>
      </c>
      <c r="G3143" s="4">
        <v>73.72</v>
      </c>
      <c r="H3143" s="4">
        <v>475183.19</v>
      </c>
    </row>
    <row r="3144" s="1" customFormat="1" ht="14" spans="1:8">
      <c r="A3144" s="2">
        <v>400100285</v>
      </c>
      <c r="B3144" s="2" t="s">
        <v>3832</v>
      </c>
      <c r="C3144" s="3" t="s">
        <v>472</v>
      </c>
      <c r="D3144" s="4">
        <v>28.51</v>
      </c>
      <c r="E3144" s="4">
        <v>2186.65</v>
      </c>
      <c r="F3144" s="4">
        <v>62345.76</v>
      </c>
      <c r="G3144" s="4">
        <v>2186.65</v>
      </c>
      <c r="H3144" s="4">
        <v>62345.76</v>
      </c>
    </row>
    <row r="3145" s="1" customFormat="1" ht="14" spans="1:8">
      <c r="A3145" s="2">
        <v>400100328</v>
      </c>
      <c r="B3145" s="2" t="s">
        <v>3721</v>
      </c>
      <c r="C3145" s="3" t="s">
        <v>824</v>
      </c>
      <c r="D3145" s="4">
        <v>2</v>
      </c>
      <c r="E3145" s="4">
        <v>7413</v>
      </c>
      <c r="F3145" s="4">
        <v>14826</v>
      </c>
      <c r="G3145" s="4">
        <v>7413</v>
      </c>
      <c r="H3145" s="4">
        <v>14826</v>
      </c>
    </row>
    <row r="3146" s="1" customFormat="1" ht="14" spans="1:8">
      <c r="A3146" s="2">
        <v>400100392</v>
      </c>
      <c r="B3146" s="2" t="s">
        <v>3833</v>
      </c>
      <c r="C3146" s="3" t="s">
        <v>472</v>
      </c>
      <c r="D3146" s="4">
        <v>36.72</v>
      </c>
      <c r="E3146" s="4">
        <v>31.19</v>
      </c>
      <c r="F3146" s="4">
        <v>1145.3</v>
      </c>
      <c r="G3146" s="4">
        <v>31.19</v>
      </c>
      <c r="H3146" s="4">
        <v>1145.3</v>
      </c>
    </row>
    <row r="3147" s="1" customFormat="1" ht="14" spans="1:8">
      <c r="A3147" s="2">
        <v>400100393</v>
      </c>
      <c r="B3147" s="2" t="s">
        <v>3834</v>
      </c>
      <c r="C3147" s="3" t="s">
        <v>472</v>
      </c>
      <c r="D3147" s="4">
        <v>25.5</v>
      </c>
      <c r="E3147" s="4">
        <v>20.6</v>
      </c>
      <c r="F3147" s="4">
        <v>525.3</v>
      </c>
      <c r="G3147" s="4">
        <v>20.6</v>
      </c>
      <c r="H3147" s="4">
        <v>525.3</v>
      </c>
    </row>
    <row r="3148" s="1" customFormat="1" ht="14" spans="1:8">
      <c r="A3148" s="2">
        <v>400100394</v>
      </c>
      <c r="B3148" s="2" t="s">
        <v>3835</v>
      </c>
      <c r="C3148" s="3" t="s">
        <v>472</v>
      </c>
      <c r="D3148" s="4">
        <v>24.48</v>
      </c>
      <c r="E3148" s="4">
        <v>14.79</v>
      </c>
      <c r="F3148" s="4">
        <v>362.06</v>
      </c>
      <c r="G3148" s="4">
        <v>14.79</v>
      </c>
      <c r="H3148" s="4">
        <v>362.06</v>
      </c>
    </row>
    <row r="3149" s="1" customFormat="1" ht="14" spans="1:8">
      <c r="A3149" s="2">
        <v>400100395</v>
      </c>
      <c r="B3149" s="2" t="s">
        <v>3836</v>
      </c>
      <c r="C3149" s="3" t="s">
        <v>472</v>
      </c>
      <c r="D3149" s="4">
        <v>40.8</v>
      </c>
      <c r="E3149" s="4">
        <v>12.74</v>
      </c>
      <c r="F3149" s="4">
        <v>519.79</v>
      </c>
      <c r="G3149" s="4">
        <v>12.74</v>
      </c>
      <c r="H3149" s="4">
        <v>519.79</v>
      </c>
    </row>
    <row r="3150" s="1" customFormat="1" ht="14" spans="1:8">
      <c r="A3150" s="2">
        <v>400100398</v>
      </c>
      <c r="B3150" s="2" t="s">
        <v>3837</v>
      </c>
      <c r="C3150" s="3" t="s">
        <v>472</v>
      </c>
      <c r="D3150" s="4">
        <v>100</v>
      </c>
      <c r="E3150" s="4">
        <v>80</v>
      </c>
      <c r="F3150" s="4">
        <v>8000</v>
      </c>
      <c r="G3150" s="4">
        <v>80</v>
      </c>
      <c r="H3150" s="4">
        <v>8000</v>
      </c>
    </row>
    <row r="3151" s="1" customFormat="1" ht="14" spans="1:8">
      <c r="A3151" s="2">
        <v>400100401</v>
      </c>
      <c r="B3151" s="2" t="s">
        <v>3838</v>
      </c>
      <c r="C3151" s="3" t="s">
        <v>876</v>
      </c>
      <c r="D3151" s="4">
        <v>40</v>
      </c>
      <c r="E3151" s="4">
        <v>1000</v>
      </c>
      <c r="F3151" s="4">
        <v>40000</v>
      </c>
      <c r="G3151" s="4">
        <v>1000</v>
      </c>
      <c r="H3151" s="4">
        <v>40000</v>
      </c>
    </row>
    <row r="3152" s="1" customFormat="1" ht="14" spans="1:8">
      <c r="A3152" s="2">
        <v>400100403</v>
      </c>
      <c r="B3152" s="2" t="s">
        <v>3839</v>
      </c>
      <c r="C3152" s="3" t="s">
        <v>679</v>
      </c>
      <c r="D3152" s="4">
        <v>1680</v>
      </c>
      <c r="E3152" s="4">
        <v>20</v>
      </c>
      <c r="F3152" s="4">
        <v>33600</v>
      </c>
      <c r="G3152" s="4">
        <v>20</v>
      </c>
      <c r="H3152" s="4">
        <v>33600</v>
      </c>
    </row>
    <row r="3153" s="1" customFormat="1" ht="14" spans="1:8">
      <c r="A3153" s="2">
        <v>400100404</v>
      </c>
      <c r="B3153" s="2" t="s">
        <v>3840</v>
      </c>
      <c r="C3153" s="3" t="s">
        <v>679</v>
      </c>
      <c r="D3153" s="4">
        <v>1680</v>
      </c>
      <c r="E3153" s="4">
        <v>50</v>
      </c>
      <c r="F3153" s="4">
        <v>84000</v>
      </c>
      <c r="G3153" s="4">
        <v>50</v>
      </c>
      <c r="H3153" s="4">
        <v>84000</v>
      </c>
    </row>
    <row r="3154" s="1" customFormat="1" ht="28" spans="1:8">
      <c r="A3154" s="2">
        <v>400100406</v>
      </c>
      <c r="B3154" s="2" t="s">
        <v>3841</v>
      </c>
      <c r="C3154" s="3" t="s">
        <v>3630</v>
      </c>
      <c r="D3154" s="4">
        <v>24</v>
      </c>
      <c r="E3154" s="4">
        <v>2992.73</v>
      </c>
      <c r="F3154" s="4">
        <v>71825.52</v>
      </c>
      <c r="G3154" s="4">
        <v>2992.73</v>
      </c>
      <c r="H3154" s="4">
        <v>71825.52</v>
      </c>
    </row>
    <row r="3155" s="1" customFormat="1" ht="28" spans="1:8">
      <c r="A3155" s="2">
        <v>400100407</v>
      </c>
      <c r="B3155" s="2" t="s">
        <v>3842</v>
      </c>
      <c r="C3155" s="3" t="s">
        <v>3630</v>
      </c>
      <c r="D3155" s="4">
        <v>16</v>
      </c>
      <c r="E3155" s="4">
        <v>2779.31</v>
      </c>
      <c r="F3155" s="4">
        <v>44468.96</v>
      </c>
      <c r="G3155" s="4">
        <v>2779.31</v>
      </c>
      <c r="H3155" s="4">
        <v>44468.96</v>
      </c>
    </row>
    <row r="3156" s="1" customFormat="1" ht="28" spans="1:8">
      <c r="A3156" s="2">
        <v>400100408</v>
      </c>
      <c r="B3156" s="2" t="s">
        <v>3843</v>
      </c>
      <c r="C3156" s="3" t="s">
        <v>3630</v>
      </c>
      <c r="D3156" s="4">
        <v>16</v>
      </c>
      <c r="E3156" s="4">
        <v>2279.26</v>
      </c>
      <c r="F3156" s="4">
        <v>36468.16</v>
      </c>
      <c r="G3156" s="4">
        <v>2279.26</v>
      </c>
      <c r="H3156" s="4">
        <v>36468.16</v>
      </c>
    </row>
    <row r="3157" s="1" customFormat="1" ht="28" spans="1:8">
      <c r="A3157" s="2">
        <v>400100409</v>
      </c>
      <c r="B3157" s="2" t="s">
        <v>3844</v>
      </c>
      <c r="C3157" s="3" t="s">
        <v>3630</v>
      </c>
      <c r="D3157" s="4">
        <v>16</v>
      </c>
      <c r="E3157" s="4">
        <v>974.08</v>
      </c>
      <c r="F3157" s="4">
        <v>15585.28</v>
      </c>
      <c r="G3157" s="4">
        <v>974.08</v>
      </c>
      <c r="H3157" s="4">
        <v>15585.28</v>
      </c>
    </row>
    <row r="3158" s="1" customFormat="1" ht="28" spans="1:8">
      <c r="A3158" s="2">
        <v>400100410</v>
      </c>
      <c r="B3158" s="2" t="s">
        <v>3845</v>
      </c>
      <c r="C3158" s="3" t="s">
        <v>3630</v>
      </c>
      <c r="D3158" s="4">
        <v>8</v>
      </c>
      <c r="E3158" s="4">
        <v>375.72</v>
      </c>
      <c r="F3158" s="4">
        <v>3005.76</v>
      </c>
      <c r="G3158" s="4">
        <v>375.72</v>
      </c>
      <c r="H3158" s="4">
        <v>3005.76</v>
      </c>
    </row>
    <row r="3159" s="1" customFormat="1" ht="14" spans="1:8">
      <c r="A3159" s="2">
        <v>400100411</v>
      </c>
      <c r="B3159" s="2" t="s">
        <v>3846</v>
      </c>
      <c r="C3159" s="3" t="s">
        <v>824</v>
      </c>
      <c r="D3159" s="4">
        <v>81</v>
      </c>
      <c r="E3159" s="4">
        <v>413.85</v>
      </c>
      <c r="F3159" s="4">
        <v>33521.85</v>
      </c>
      <c r="G3159" s="4">
        <v>413.85</v>
      </c>
      <c r="H3159" s="4">
        <v>33521.85</v>
      </c>
    </row>
    <row r="3160" s="1" customFormat="1" ht="14" spans="1:8">
      <c r="A3160" s="2">
        <v>400100412</v>
      </c>
      <c r="B3160" s="2" t="s">
        <v>3847</v>
      </c>
      <c r="C3160" s="3" t="s">
        <v>824</v>
      </c>
      <c r="D3160" s="4">
        <v>96</v>
      </c>
      <c r="E3160" s="4">
        <v>465.01</v>
      </c>
      <c r="F3160" s="4">
        <v>44640.96</v>
      </c>
      <c r="G3160" s="4">
        <v>465.01</v>
      </c>
      <c r="H3160" s="4">
        <v>44640.96</v>
      </c>
    </row>
    <row r="3161" s="1" customFormat="1" ht="14" spans="1:8">
      <c r="A3161" s="2">
        <v>400100413</v>
      </c>
      <c r="B3161" s="2" t="s">
        <v>3848</v>
      </c>
      <c r="C3161" s="3" t="s">
        <v>824</v>
      </c>
      <c r="D3161" s="4">
        <v>71</v>
      </c>
      <c r="E3161" s="4">
        <v>352.31</v>
      </c>
      <c r="F3161" s="4">
        <v>25014.01</v>
      </c>
      <c r="G3161" s="4">
        <v>352.31</v>
      </c>
      <c r="H3161" s="4">
        <v>25014.01</v>
      </c>
    </row>
    <row r="3162" s="1" customFormat="1" ht="14" spans="1:8">
      <c r="A3162" s="2">
        <v>400100414</v>
      </c>
      <c r="B3162" s="2" t="s">
        <v>3849</v>
      </c>
      <c r="C3162" s="3" t="s">
        <v>824</v>
      </c>
      <c r="D3162" s="4">
        <v>77</v>
      </c>
      <c r="E3162" s="4">
        <v>53.03</v>
      </c>
      <c r="F3162" s="4">
        <v>4083.31</v>
      </c>
      <c r="G3162" s="4">
        <v>53.03</v>
      </c>
      <c r="H3162" s="4">
        <v>4083.31</v>
      </c>
    </row>
    <row r="3163" s="1" customFormat="1" ht="14" spans="1:8">
      <c r="A3163" s="2">
        <v>400100415</v>
      </c>
      <c r="B3163" s="2" t="s">
        <v>3850</v>
      </c>
      <c r="C3163" s="3" t="s">
        <v>824</v>
      </c>
      <c r="D3163" s="4">
        <v>49</v>
      </c>
      <c r="E3163" s="4">
        <v>149.32</v>
      </c>
      <c r="F3163" s="4">
        <v>7316.68</v>
      </c>
      <c r="G3163" s="4">
        <v>149.32</v>
      </c>
      <c r="H3163" s="4">
        <v>7316.68</v>
      </c>
    </row>
    <row r="3164" s="1" customFormat="1" ht="14" spans="1:8">
      <c r="A3164" s="2">
        <v>400100416</v>
      </c>
      <c r="B3164" s="2" t="s">
        <v>3851</v>
      </c>
      <c r="C3164" s="3" t="s">
        <v>824</v>
      </c>
      <c r="D3164" s="4">
        <v>133.32</v>
      </c>
      <c r="E3164" s="4">
        <v>500</v>
      </c>
      <c r="F3164" s="4">
        <v>66660</v>
      </c>
      <c r="G3164" s="4">
        <v>500</v>
      </c>
      <c r="H3164" s="4">
        <v>66660</v>
      </c>
    </row>
    <row r="3165" s="1" customFormat="1" ht="14" spans="1:8">
      <c r="A3165" s="2">
        <v>400100418</v>
      </c>
      <c r="B3165" s="2" t="s">
        <v>3852</v>
      </c>
      <c r="C3165" s="3" t="s">
        <v>3468</v>
      </c>
      <c r="D3165" s="4">
        <v>80.04</v>
      </c>
      <c r="E3165" s="4">
        <v>234.6</v>
      </c>
      <c r="F3165" s="4">
        <v>18777.63</v>
      </c>
      <c r="G3165" s="4">
        <v>234.6</v>
      </c>
      <c r="H3165" s="4">
        <v>18777.63</v>
      </c>
    </row>
    <row r="3166" s="1" customFormat="1" ht="14" spans="1:8">
      <c r="A3166" s="2">
        <v>400100421</v>
      </c>
      <c r="B3166" s="2" t="s">
        <v>3853</v>
      </c>
      <c r="C3166" s="3" t="s">
        <v>824</v>
      </c>
      <c r="D3166" s="4">
        <v>1</v>
      </c>
      <c r="E3166" s="4">
        <v>80</v>
      </c>
      <c r="F3166" s="4">
        <v>80</v>
      </c>
      <c r="G3166" s="4">
        <v>80</v>
      </c>
      <c r="H3166" s="4">
        <v>80</v>
      </c>
    </row>
    <row r="3167" s="1" customFormat="1" ht="14" spans="1:8">
      <c r="A3167" s="2">
        <v>400100422</v>
      </c>
      <c r="B3167" s="2" t="s">
        <v>3854</v>
      </c>
      <c r="C3167" s="3" t="s">
        <v>472</v>
      </c>
      <c r="D3167" s="4">
        <v>444.6</v>
      </c>
      <c r="E3167" s="4">
        <v>100</v>
      </c>
      <c r="F3167" s="4">
        <v>44460</v>
      </c>
      <c r="G3167" s="4">
        <v>100</v>
      </c>
      <c r="H3167" s="4">
        <v>44460</v>
      </c>
    </row>
    <row r="3168" s="1" customFormat="1" ht="14" spans="1:8">
      <c r="A3168" s="2">
        <v>400100423</v>
      </c>
      <c r="B3168" s="2" t="s">
        <v>3855</v>
      </c>
      <c r="C3168" s="3" t="s">
        <v>3553</v>
      </c>
      <c r="D3168" s="4">
        <v>1</v>
      </c>
      <c r="E3168" s="4">
        <v>80000</v>
      </c>
      <c r="F3168" s="4">
        <v>80000</v>
      </c>
      <c r="G3168" s="4">
        <v>80000</v>
      </c>
      <c r="H3168" s="4">
        <v>80000</v>
      </c>
    </row>
    <row r="3169" s="1" customFormat="1" ht="14" spans="1:8">
      <c r="A3169" s="2">
        <v>400160001</v>
      </c>
      <c r="B3169" s="2" t="s">
        <v>3856</v>
      </c>
      <c r="C3169" s="3" t="s">
        <v>3857</v>
      </c>
      <c r="D3169" s="4">
        <v>202.19</v>
      </c>
      <c r="E3169" s="4">
        <v>12066.11</v>
      </c>
      <c r="F3169" s="4">
        <v>2439622.66</v>
      </c>
      <c r="G3169" s="4">
        <v>12066.11</v>
      </c>
      <c r="H3169" s="4">
        <v>2439622.66</v>
      </c>
    </row>
    <row r="3170" s="1" customFormat="1" ht="14" spans="1:8">
      <c r="A3170" s="2">
        <v>400160002</v>
      </c>
      <c r="B3170" s="2" t="s">
        <v>3858</v>
      </c>
      <c r="C3170" s="3" t="s">
        <v>876</v>
      </c>
      <c r="D3170" s="4">
        <v>644</v>
      </c>
      <c r="E3170" s="4">
        <v>319</v>
      </c>
      <c r="F3170" s="4">
        <v>205436</v>
      </c>
      <c r="G3170" s="4">
        <v>319</v>
      </c>
      <c r="H3170" s="4">
        <v>205436</v>
      </c>
    </row>
    <row r="3171" s="1" customFormat="1" ht="14" spans="1:8">
      <c r="A3171" s="2">
        <v>500000001</v>
      </c>
      <c r="B3171" s="2" t="s">
        <v>3859</v>
      </c>
      <c r="C3171" s="3" t="s">
        <v>3038</v>
      </c>
      <c r="D3171" s="4">
        <v>49.89</v>
      </c>
      <c r="E3171" s="4">
        <v>522.13</v>
      </c>
      <c r="F3171" s="4">
        <v>26046.46</v>
      </c>
      <c r="G3171" s="4">
        <v>603.79</v>
      </c>
      <c r="H3171" s="4">
        <v>30120.06</v>
      </c>
    </row>
    <row r="3172" s="1" customFormat="1" ht="14" spans="1:8">
      <c r="A3172" s="2">
        <v>500000002</v>
      </c>
      <c r="B3172" s="2" t="s">
        <v>3860</v>
      </c>
      <c r="C3172" s="3" t="s">
        <v>3038</v>
      </c>
      <c r="D3172" s="4">
        <v>17.31</v>
      </c>
      <c r="E3172" s="4">
        <v>473.22</v>
      </c>
      <c r="F3172" s="4">
        <v>8191.44</v>
      </c>
      <c r="G3172" s="4">
        <v>572.32</v>
      </c>
      <c r="H3172" s="4">
        <v>9906.88</v>
      </c>
    </row>
    <row r="3173" s="1" customFormat="1" ht="14" spans="1:8">
      <c r="A3173" s="2">
        <v>500090001</v>
      </c>
      <c r="B3173" s="2" t="s">
        <v>3861</v>
      </c>
      <c r="C3173" s="3" t="s">
        <v>3038</v>
      </c>
      <c r="D3173" s="4">
        <v>198</v>
      </c>
      <c r="E3173" s="4">
        <v>328.77</v>
      </c>
      <c r="F3173" s="4">
        <v>65096.46</v>
      </c>
      <c r="G3173" s="4">
        <v>330.09</v>
      </c>
      <c r="H3173" s="4">
        <v>65357.82</v>
      </c>
    </row>
    <row r="3174" s="1" customFormat="1" ht="14" spans="1:8">
      <c r="A3174" s="2">
        <v>500090002</v>
      </c>
      <c r="B3174" s="2" t="s">
        <v>3862</v>
      </c>
      <c r="C3174" s="3" t="s">
        <v>3038</v>
      </c>
      <c r="D3174" s="4">
        <v>198</v>
      </c>
      <c r="E3174" s="4">
        <v>54.79</v>
      </c>
      <c r="F3174" s="4">
        <v>10848.42</v>
      </c>
      <c r="G3174" s="4">
        <v>55.01</v>
      </c>
      <c r="H3174" s="4">
        <v>10891.98</v>
      </c>
    </row>
    <row r="3175" s="1" customFormat="1" ht="14" spans="1:8">
      <c r="A3175" s="2">
        <v>500090003</v>
      </c>
      <c r="B3175" s="2" t="s">
        <v>3863</v>
      </c>
      <c r="C3175" s="3" t="s">
        <v>3038</v>
      </c>
      <c r="D3175" s="4">
        <v>126</v>
      </c>
      <c r="E3175" s="4">
        <v>10.41</v>
      </c>
      <c r="F3175" s="4">
        <v>1311.66</v>
      </c>
      <c r="G3175" s="4">
        <v>10.45</v>
      </c>
      <c r="H3175" s="4">
        <v>1316.7</v>
      </c>
    </row>
    <row r="3176" s="1" customFormat="1" ht="28" spans="1:8">
      <c r="A3176" s="2">
        <v>500090004</v>
      </c>
      <c r="B3176" s="2" t="s">
        <v>3864</v>
      </c>
      <c r="C3176" s="3" t="s">
        <v>3038</v>
      </c>
      <c r="D3176" s="4">
        <v>63</v>
      </c>
      <c r="E3176" s="4">
        <v>35.62</v>
      </c>
      <c r="F3176" s="4">
        <v>2244.06</v>
      </c>
      <c r="G3176" s="4">
        <v>35.76</v>
      </c>
      <c r="H3176" s="4">
        <v>2252.88</v>
      </c>
    </row>
    <row r="3177" s="1" customFormat="1" ht="14" spans="1:8">
      <c r="A3177" s="2">
        <v>500090005</v>
      </c>
      <c r="B3177" s="2" t="s">
        <v>3865</v>
      </c>
      <c r="C3177" s="3" t="s">
        <v>3038</v>
      </c>
      <c r="D3177" s="4">
        <v>372.6</v>
      </c>
      <c r="E3177" s="4">
        <v>8.22</v>
      </c>
      <c r="F3177" s="4">
        <v>3062.77</v>
      </c>
      <c r="G3177" s="4">
        <v>8.25</v>
      </c>
      <c r="H3177" s="4">
        <v>3073.95</v>
      </c>
    </row>
    <row r="3178" s="1" customFormat="1" ht="14" spans="1:8">
      <c r="A3178" s="2">
        <v>500090006</v>
      </c>
      <c r="B3178" s="2" t="s">
        <v>3866</v>
      </c>
      <c r="C3178" s="3" t="s">
        <v>3038</v>
      </c>
      <c r="D3178" s="4">
        <v>347.4</v>
      </c>
      <c r="E3178" s="4">
        <v>0.68</v>
      </c>
      <c r="F3178" s="4">
        <v>236.23</v>
      </c>
      <c r="G3178" s="4">
        <v>0.68</v>
      </c>
      <c r="H3178" s="4">
        <v>236.23</v>
      </c>
    </row>
    <row r="3179" s="1" customFormat="1" ht="14" spans="1:8">
      <c r="A3179" s="2">
        <v>500090007</v>
      </c>
      <c r="B3179" s="2" t="s">
        <v>3867</v>
      </c>
      <c r="C3179" s="3" t="s">
        <v>3038</v>
      </c>
      <c r="D3179" s="4">
        <v>792</v>
      </c>
      <c r="E3179" s="4">
        <v>2.05</v>
      </c>
      <c r="F3179" s="4">
        <v>1623.6</v>
      </c>
      <c r="G3179" s="4">
        <v>2.06</v>
      </c>
      <c r="H3179" s="4">
        <v>1631.52</v>
      </c>
    </row>
    <row r="3180" s="1" customFormat="1" ht="14" spans="1:8">
      <c r="A3180" s="2">
        <v>500090008</v>
      </c>
      <c r="B3180" s="2" t="s">
        <v>3868</v>
      </c>
      <c r="C3180" s="3" t="s">
        <v>3038</v>
      </c>
      <c r="D3180" s="4">
        <v>3000.6</v>
      </c>
      <c r="E3180" s="4">
        <v>0.46</v>
      </c>
      <c r="F3180" s="4">
        <v>1380.27</v>
      </c>
      <c r="G3180" s="4">
        <v>0.46</v>
      </c>
      <c r="H3180" s="4">
        <v>1380.27</v>
      </c>
    </row>
    <row r="3181" s="1" customFormat="1" ht="14" spans="1:8">
      <c r="A3181" s="2">
        <v>500090009</v>
      </c>
      <c r="B3181" s="2" t="s">
        <v>3869</v>
      </c>
      <c r="C3181" s="3" t="s">
        <v>3038</v>
      </c>
      <c r="D3181" s="4">
        <v>486</v>
      </c>
      <c r="E3181" s="4">
        <v>683.15</v>
      </c>
      <c r="F3181" s="4">
        <v>332010.9</v>
      </c>
      <c r="G3181" s="4">
        <v>685.88</v>
      </c>
      <c r="H3181" s="4">
        <v>333337.68</v>
      </c>
    </row>
    <row r="3182" s="1" customFormat="1" ht="14" spans="1:8">
      <c r="A3182" s="2">
        <v>500090010</v>
      </c>
      <c r="B3182" s="2" t="s">
        <v>3870</v>
      </c>
      <c r="C3182" s="3" t="s">
        <v>3038</v>
      </c>
      <c r="D3182" s="4">
        <v>750.6</v>
      </c>
      <c r="E3182" s="4">
        <v>4.57</v>
      </c>
      <c r="F3182" s="4">
        <v>3430.24</v>
      </c>
      <c r="G3182" s="4">
        <v>4.59</v>
      </c>
      <c r="H3182" s="4">
        <v>3445.26</v>
      </c>
    </row>
    <row r="3183" s="1" customFormat="1" ht="14" spans="1:8">
      <c r="A3183" s="2">
        <v>500090011</v>
      </c>
      <c r="B3183" s="2" t="s">
        <v>3871</v>
      </c>
      <c r="C3183" s="3" t="s">
        <v>3038</v>
      </c>
      <c r="D3183" s="4">
        <v>900</v>
      </c>
      <c r="E3183" s="4">
        <v>50</v>
      </c>
      <c r="F3183" s="4">
        <v>45000</v>
      </c>
      <c r="G3183" s="4">
        <v>50.2</v>
      </c>
      <c r="H3183" s="4">
        <v>45180</v>
      </c>
    </row>
  </sheetData>
  <mergeCells count="9">
    <mergeCell ref="B1:H1"/>
    <mergeCell ref="B2:D2"/>
    <mergeCell ref="F2:H2"/>
    <mergeCell ref="E3:F3"/>
    <mergeCell ref="G3:H3"/>
    <mergeCell ref="A3:A4"/>
    <mergeCell ref="B3:B4"/>
    <mergeCell ref="C3:C4"/>
    <mergeCell ref="D3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部分</vt:lpstr>
      <vt:lpstr>房屋</vt:lpstr>
      <vt:lpstr>平改立土方部分</vt:lpstr>
      <vt:lpstr>平改立路面部分</vt:lpstr>
      <vt:lpstr>平改立</vt:lpstr>
      <vt:lpstr>平改立统计</vt:lpstr>
      <vt:lpstr>伴站、梁场、铺轨基地</vt:lpstr>
      <vt:lpstr>取土场</vt:lpstr>
      <vt:lpstr>弃土场</vt:lpstr>
      <vt:lpstr>铁路运费计算表</vt:lpstr>
      <vt:lpstr>联系电话表</vt:lpstr>
      <vt:lpstr>劳材表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2016-12-02T16:54:00Z</dcterms:created>
  <dcterms:modified xsi:type="dcterms:W3CDTF">2026-04-19T09:57:51Z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BE33FD0DDE4BEB409F36E469DE2D5BB1_43</vt:lpwstr>
  </property>
  <property fmtid="{D5CDD505-2E9C-101B-9397-08002B2CF9AE}" pid="4" name="CalculationRule">
    <vt:i4>0</vt:i4>
  </property>
</Properties>
</file>